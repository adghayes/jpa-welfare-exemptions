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MFA-CSCDA Grants" sheetId="1" r:id="rId5"/>
    <sheet state="visible" name="Parcels" sheetId="2" r:id="rId6"/>
    <sheet state="visible" name="Tax Rates" sheetId="3" r:id="rId7"/>
    <sheet state="visible" name="County Summaries" sheetId="4" r:id="rId8"/>
    <sheet state="visible" name="Yearly Summaries" sheetId="5" r:id="rId9"/>
    <sheet state="visible" name="BAHFAs Program" sheetId="6" r:id="rId10"/>
    <sheet state="visible" name="Rents" sheetId="7" r:id="rId11"/>
    <sheet state="visible" name="TCAC 2025 Limits" sheetId="8" r:id="rId12"/>
    <sheet state="visible" name="CMFA Accepted Applications Not " sheetId="9" r:id="rId13"/>
    <sheet state="visible" name="SCC Certificate Review" sheetId="10" r:id="rId14"/>
    <sheet state="hidden" name="Preliminary Approval" sheetId="11" r:id="rId15"/>
    <sheet state="hidden" name="ARCHIVE - welfare_exemption_mat" sheetId="12" r:id="rId16"/>
    <sheet state="hidden" name="ARCHIVE - APN-based sheet" sheetId="13" r:id="rId17"/>
    <sheet state="hidden" name="ARCHIVE - Confirmed WTE -- Brok" sheetId="14" r:id="rId18"/>
  </sheets>
  <definedNames>
    <definedName hidden="1" localSheetId="0" name="_xlnm._FilterDatabase">'CMFA-CSCDA Grants'!$A$1:$AH$899</definedName>
    <definedName hidden="1" localSheetId="1" name="_xlnm._FilterDatabase">Parcels!$A$1:$AL$307</definedName>
    <definedName hidden="1" localSheetId="11" name="_xlnm._FilterDatabase">'ARCHIVE - welfare_exemption_mat'!$B$1:$BA$137</definedName>
    <definedName hidden="1" localSheetId="12" name="_xlnm._FilterDatabase">'ARCHIVE - APN-based sheet'!$A$1:$Y$323</definedName>
    <definedName hidden="1" localSheetId="13" name="_xlnm._FilterDatabase">'ARCHIVE - Confirmed WTE -- Brok'!$A$1:$AC$1003</definedName>
    <definedName hidden="1" localSheetId="0" name="Z_E2AEFD14_570D_489C_8B7C_185EE4937C80_.wvu.FilterData">'CMFA-CSCDA Grants'!$C$1:$I$899</definedName>
    <definedName hidden="1" localSheetId="0" name="Z_06009BB2_BAEE_4962_99C6_961CE7DA6E4D_.wvu.FilterData">'CMFA-CSCDA Grants'!$C$1:$I$899</definedName>
    <definedName hidden="1" localSheetId="0" name="Z_77046688_CB6F_4144_89CF_57142D72622A_.wvu.FilterData">'CMFA-CSCDA Grants'!$C$1:$U$899</definedName>
    <definedName hidden="1" localSheetId="0" name="Z_2D20E6CD_A120_4B22_8E93_216155B26B58_.wvu.FilterData">'CMFA-CSCDA Grants'!$C$1:$I$899</definedName>
  </definedNames>
  <calcPr/>
  <customWorkbookViews>
    <customWorkbookView activeSheetId="0" maximized="1" windowHeight="0" windowWidth="0" guid="{E2AEFD14-570D-489C-8B7C-185EE4937C80}" name="Filter 2"/>
    <customWorkbookView activeSheetId="0" maximized="1" windowHeight="0" windowWidth="0" guid="{06009BB2-BAEE-4962-99C6-961CE7DA6E4D}" name="Bay Area Welfare Exemption Properties"/>
    <customWorkbookView activeSheetId="0" maximized="1" windowHeight="0" windowWidth="0" guid="{77046688-CB6F-4144-89CF-57142D72622A}" name="Bay Area Counties"/>
    <customWorkbookView activeSheetId="0" maximized="1" windowHeight="0" windowWidth="0" guid="{2D20E6CD-A120-4B22-8E93-216155B26B58}" name="Filter 1"/>
  </customWorkbookViews>
  <pivotCaches>
    <pivotCache cacheId="0" r:id="rId19"/>
    <pivotCache cacheId="1" r:id="rId20"/>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tc={00cf0058-794b-4795-857d-466b61246f78}</author>
    <author>tc={04cc21dd-7d9e-42ea-a216-07e40df8b8b0}</author>
    <author>tc={0e15cca0-2014-4937-9f85-758fe048b6b7}</author>
    <author>tc={18c90151-0e62-44cf-b194-8292a685fee1}</author>
    <author>tc={1a0d9232-3fc1-4e92-903f-2733410345d6}</author>
    <author>tc={21758172-fd40-4e8a-967b-2bbe45471fd4}</author>
    <author>tc={25c090b9-0467-45ad-8d19-d6a9fc6dbc5e}</author>
    <author>tc={2eb289fc-81a3-4faf-873f-80a0570756d3}</author>
    <author>tc={32ef8168-cf02-4286-8ce4-922eaf5ce470}</author>
    <author>tc={3c42bc19-5afa-4420-af77-b3e0a6955196}</author>
    <author>tc={4894fe20-c989-4c42-a200-66420030c159}</author>
    <author>tc={518c639e-3bf5-4a06-bc5a-55cca0d038c5}</author>
    <author>tc={56809682-1705-43f8-a88f-292b977edfb0}</author>
    <author>tc={5f5bd38d-3755-47d0-8714-b574088cf60c}</author>
    <author>tc={71a9e961-842f-48da-a67e-ca1047f1434c}</author>
    <author>tc={7362e9d1-ad06-4d62-a614-5762e57b8394}</author>
    <author>tc={7441c65b-1181-4b13-a81b-1c548ffe266d}</author>
    <author>tc={808f97c0-035e-4945-ad17-57d2cd30a4cd}</author>
    <author>tc={86d14379-781e-45df-8bda-51bb0408dad7}</author>
    <author>tc={8b9ee968-552b-4056-b399-c1f020bda554}</author>
    <author>tc={a579822d-713d-497f-adcf-7d22762537da}</author>
    <author>tc={a5cf3d02-517e-4170-9c7a-9ae4dfe02255}</author>
    <author>tc={ae9adbcb-21ab-466d-b7b9-c5d128fca3fc}</author>
    <author>tc={ae9d33df-4766-4037-82e3-29d83b016d24}</author>
    <author>tc={c3674f98-383e-4bc0-b0f4-410a59d1900f}</author>
    <author>tc={c81c0eda-8ce8-4036-b2f0-3d8000c8e075}</author>
    <author>tc={ca4b6276-5b61-4612-81fe-b70b3f9b4f1e}</author>
    <author>tc={d3cc2974-4e3e-4f9b-b4b2-df3ad9df5e96}</author>
    <author>tc={dc00e5e2-a73d-4a75-b77d-e5bdc83c23c9}</author>
    <author>tc={f2e0e4c5-f3eb-4be4-9773-22322e36e7b9}</author>
    <author>tc={fc04d715-9603-446b-a157-0101ed4cda99}</author>
  </authors>
  <commentList>
    <comment authorId="0" xr:uid="{00cf0058-794b-4795-857d-466b61246f78}" ref="A1">
      <text>
        <t xml:space="preserve">[Threaded comment]
 Your version of Excel allows you to read this threaded comment; however, any edits to it will get removed if the file is opened in a newer version of Excel. Learn more: https://go.microsoft.com/fwlink/?linkid=870924
Comment:
	4 Terrace View: 006312850
35 Eastmoor: 006312860
45 Eastmoor: 006312870
55 Eastmoor: 006312880
65 Eastmoor: 006312890
75 Eastmoor: 006312900
85 Eastmoor: 006312910
95 Eastmoor: 006312920
</t>
      </text>
    </comment>
    <comment authorId="1" xr:uid="{04cc21dd-7d9e-42ea-a216-07e40df8b8b0}" ref="A1">
      <text>
        <t xml:space="preserve">[Threaded comment]
 Your version of Excel allows you to read this threaded comment; however, any edits to it will get removed if the file is opened in a newer version of Excel. Learn more: https://go.microsoft.com/fwlink/?linkid=870924
Comment:
	The Resolution for 4228 Western Avenue Apartments was previously approved on September 20,
2024. The resolution is being amended because CalSTRS, the California State Teachers’
Retirement System, is purchasing the ownership interest from the original developer, SoLa Impact.
</t>
      </text>
    </comment>
    <comment authorId="2" xr:uid="{0e15cca0-2014-4937-9f85-758fe048b6b7}" ref="AE156">
      <text>
        <t xml:space="preserve">[Threaded comment]
 Your version of Excel allows you to read this threaded comment; however, any edits to it will get removed if the file is opened in a newer version of Excel. Learn more: https://go.microsoft.com/fwlink/?linkid=870924
Comment:
	developer to build 45 new apartments
</t>
      </text>
    </comment>
    <comment authorId="3" xr:uid="{18c90151-0e62-44cf-b194-8292a685fee1}" ref="C73">
      <text>
        <t xml:space="preserve">[Threaded comment]
 Your version of Excel allows you to read this threaded comment; however, any edits to it will get removed if the file is opened in a newer version of Excel. Learn more: https://go.microsoft.com/fwlink/?linkid=870924
Comment:
	might be several different parcels combined?
</t>
      </text>
    </comment>
    <comment authorId="4" xr:uid="{1a0d9232-3fc1-4e92-903f-2733410345d6}" ref="A1">
      <text>
        <t xml:space="preserve">[Threaded comment]
 Your version of Excel allows you to read this threaded comment; however, any edits to it will get removed if the file is opened in a newer version of Excel. Learn more: https://go.microsoft.com/fwlink/?linkid=870924
Comment:
	value was 4,530,218
</t>
      </text>
    </comment>
    <comment authorId="5" xr:uid="{21758172-fd40-4e8a-967b-2bbe45471fd4}" ref="A1">
      <text>
        <t xml:space="preserve">[Threaded comment]
 Your version of Excel allows you to read this threaded comment; however, any edits to it will get removed if the file is opened in a newer version of Excel. Learn more: https://go.microsoft.com/fwlink/?linkid=870924
Comment:
	Green rows indicate they've gotten Welfare Tax Exemption, per the BoE form from Feb 2025.
</t>
      </text>
    </comment>
    <comment authorId="6" xr:uid="{25c090b9-0467-45ad-8d19-d6a9fc6dbc5e}" ref="J1">
      <text>
        <t xml:space="preserve">[Threaded comment]
 Your version of Excel allows you to read this threaded comment; however, any edits to it will get removed if the file is opened in a newer version of Excel. Learn more: https://go.microsoft.com/fwlink/?linkid=870924
Comment:
	CMFA says that the deal was killed / isn't moving forward
</t>
      </text>
    </comment>
    <comment authorId="7" xr:uid="{2eb289fc-81a3-4faf-873f-80a0570756d3}" ref="R71">
      <text>
        <t xml:space="preserve">[Threaded comment]
 Your version of Excel allows you to read this threaded comment; however, any edits to it will get removed if the file is opened in a newer version of Excel. Learn more: https://go.microsoft.com/fwlink/?linkid=870924
Comment:
	check?
</t>
      </text>
    </comment>
    <comment authorId="8" xr:uid="{32ef8168-cf02-4286-8ce4-922eaf5ce470}" ref="R45">
      <text>
        <t xml:space="preserve">[Threaded comment]
 Your version of Excel allows you to read this threaded comment; however, any edits to it will get removed if the file is opened in a newer version of Excel. Learn more: https://go.microsoft.com/fwlink/?linkid=870924
Comment:
	Double check this
Reply:
	https://layimby.com/2023/10/site-prep-begins-for-apartments-at-110-west-imperial-highway-broadway-manchester.html
</t>
      </text>
    </comment>
    <comment authorId="9" xr:uid="{3c42bc19-5afa-4420-af77-b3e0a6955196}" ref="K145">
      <text>
        <t xml:space="preserve">[Threaded comment]
 Your version of Excel allows you to read this threaded comment; however, any edits to it will get removed if the file is opened in a newer version of Excel. Learn more: https://go.microsoft.com/fwlink/?linkid=870924
Comment:
	Ethos Investco LLC
</t>
      </text>
    </comment>
    <comment authorId="10" xr:uid="{4894fe20-c989-4c42-a200-66420030c159}" ref="K139">
      <text>
        <t xml:space="preserve">[Threaded comment]
 Your version of Excel allows you to read this threaded comment; however, any edits to it will get removed if the file is opened in a newer version of Excel. Learn more: https://go.microsoft.com/fwlink/?linkid=870924
Comment:
	CMFA approved a resolution for this project on Feb. 2, 2024 when it was under SoLa Impact LLC
Reply:
	Apparently California State Teachers Retirement foreclosed on SoLa Impact
</t>
      </text>
    </comment>
    <comment authorId="11" xr:uid="{518c639e-3bf5-4a06-bc5a-55cca0d038c5}" ref="P26">
      <text>
        <t xml:space="preserve">[Threaded comment]
 Your version of Excel allows you to read this threaded comment; however, any edits to it will get removed if the file is opened in a newer version of Excel. Learn more: https://go.microsoft.com/fwlink/?linkid=870924
Comment:
	similarly, this is also just a 20-year restriction
</t>
      </text>
    </comment>
    <comment authorId="12" xr:uid="{56809682-1705-43f8-a88f-292b977edfb0}" ref="P138">
      <text>
        <t xml:space="preserve">[Threaded comment]
 Your version of Excel allows you to read this threaded comment; however, any edits to it will get removed if the file is opened in a newer version of Excel. Learn more: https://go.microsoft.com/fwlink/?linkid=870924
Comment:
	20 year term for affordability restrictions
</t>
      </text>
    </comment>
    <comment authorId="13" xr:uid="{5f5bd38d-3755-47d0-8714-b574088cf60c}" ref="I102">
      <text>
        <t xml:space="preserve">[Threaded comment]
 Your version of Excel allows you to read this threaded comment; however, any edits to it will get removed if the file is opened in a newer version of Excel. Learn more: https://go.microsoft.com/fwlink/?linkid=870924
Comment:
	"The City of Fremont is a member of the CMFA and will be notified of the anticipated grant award.
Upon closing, the City is expected to receive approximately $28,800 as part of the CMFA’s sharing
of Closing Fees." -- per the CMFA agenda notes
</t>
      </text>
    </comment>
    <comment authorId="14" xr:uid="{71a9e961-842f-48da-a67e-ca1047f1434c}" ref="AB1">
      <text>
        <t xml:space="preserve">[Threaded comment]
 Your version of Excel allows you to read this threaded comment; however, any edits to it will get removed if the file is opened in a newer version of Excel. Learn more: https://go.microsoft.com/fwlink/?linkid=870924
Comment:
	Need the tax rates for a number of these!
</t>
      </text>
    </comment>
    <comment authorId="15" xr:uid="{7362e9d1-ad06-4d62-a614-5762e57b8394}" ref="P3">
      <text>
        <t xml:space="preserve">[Threaded comment]
 Your version of Excel allows you to read this threaded comment; however, any edits to it will get removed if the file is opened in a newer version of Excel. Learn more: https://go.microsoft.com/fwlink/?linkid=870924
Comment:
	"restricted for at least 15 years, that can be extended to 30"
Reply:
	49 units are restricted by Anaheim at 50% of AMI or less
</t>
      </text>
    </comment>
    <comment authorId="16" xr:uid="{7441c65b-1181-4b13-a81b-1c548ffe266d}" ref="K26">
      <text>
        <t xml:space="preserve">[Threaded comment]
 Your version of Excel allows you to read this threaded comment; however, any edits to it will get removed if the file is opened in a newer version of Excel. Learn more: https://go.microsoft.com/fwlink/?linkid=870924
Comment:
	Equity Consultants Equity Inc., per this article: https://seniorshousingbusiness.com/coldwell-banker-brokers-33-7m-sale-of-seville-gardens-active-adult-community-in-huntington-park-california/
</t>
      </text>
    </comment>
    <comment authorId="17" xr:uid="{808f97c0-035e-4945-ad17-57d2cd30a4cd}" ref="K23">
      <text>
        <t xml:space="preserve">[Threaded comment]
 Your version of Excel allows you to read this threaded comment; however, any edits to it will get removed if the file is opened in a newer version of Excel. Learn more: https://go.microsoft.com/fwlink/?linkid=870924
Comment:
	Subsidiary of Perlman
</t>
      </text>
    </comment>
    <comment authorId="18" xr:uid="{86d14379-781e-45df-8bda-51bb0408dad7}" ref="AB162">
      <text>
        <t xml:space="preserve">[Threaded comment]
 Your version of Excel allows you to read this threaded comment; however, any edits to it will get removed if the file is opened in a newer version of Excel. Learn more: https://go.microsoft.com/fwlink/?linkid=870924
Comment:
	there's a lot of error bars and caveats to this number, but this is the best guess at this point for LA's loss of annual revenue
</t>
      </text>
    </comment>
    <comment authorId="19" xr:uid="{8b9ee968-552b-4056-b399-c1f020bda554}" ref="K140">
      <text>
        <t xml:space="preserve">[Threaded comment]
 Your version of Excel allows you to read this threaded comment; however, any edits to it will get removed if the file is opened in a newer version of Excel. Learn more: https://go.microsoft.com/fwlink/?linkid=870924
Comment:
	Vistria is the partner
</t>
      </text>
    </comment>
    <comment authorId="20" xr:uid="{a579822d-713d-497f-adcf-7d22762537da}" ref="Y216">
      <text>
        <t xml:space="preserve">[Threaded comment]
 Your version of Excel allows you to read this threaded comment; however, any edits to it will get removed if the file is opened in a newer version of Excel. Learn more: https://go.microsoft.com/fwlink/?linkid=870924
Comment:
	I think that this was previously owned by Bridge WF CA Crystal View, L.P. (Bridge Workforce) based on their SCC that they had filed.
</t>
      </text>
    </comment>
    <comment authorId="21" xr:uid="{a5cf3d02-517e-4170-9c7a-9ae4dfe02255}" ref="K52">
      <text>
        <t xml:space="preserve">[Threaded comment]
 Your version of Excel allows you to read this threaded comment; however, any edits to it will get removed if the file is opened in a newer version of Excel. Learn more: https://go.microsoft.com/fwlink/?linkid=870924
Comment:
	An arm of Oak Road
</t>
      </text>
    </comment>
    <comment authorId="22" xr:uid="{ae9adbcb-21ab-466d-b7b9-c5d128fca3fc}" ref="A1">
      <text>
        <t xml:space="preserve">[Threaded comment]
 Your version of Excel allows you to read this threaded comment; however, any edits to it will get removed if the file is opened in a newer version of Excel. Learn more: https://go.microsoft.com/fwlink/?linkid=870924
Comment:
	real value: 4,620,825
</t>
      </text>
    </comment>
    <comment authorId="23" xr:uid="{ae9d33df-4766-4037-82e3-29d83b016d24}" ref="P139">
      <text>
        <t xml:space="preserve">[Threaded comment]
 Your version of Excel allows you to read this threaded comment; however, any edits to it will get removed if the file is opened in a newer version of Excel. Learn more: https://go.microsoft.com/fwlink/?linkid=870924
Comment:
	affordability is only for 20 years
</t>
      </text>
    </comment>
    <comment authorId="24" xr:uid="{c3674f98-383e-4bc0-b0f4-410a59d1900f}" ref="A1">
      <text>
        <t xml:space="preserve">[Threaded comment]
 Your version of Excel allows you to read this threaded comment; however, any edits to it will get removed if the file is opened in a newer version of Excel. Learn more: https://go.microsoft.com/fwlink/?linkid=870924
Comment:
	90+% of this the LA USD
</t>
      </text>
    </comment>
    <comment authorId="25" xr:uid="{c81c0eda-8ce8-4036-b2f0-3d8000c8e075}" ref="O59">
      <text>
        <t xml:space="preserve">[Threaded comment]
 Your version of Excel allows you to read this threaded comment; however, any edits to it will get removed if the file is opened in a newer version of Excel. Learn more: https://go.microsoft.com/fwlink/?linkid=870924
Comment:
	75% rent restricted
Reply:
	71 units restricted
</t>
      </text>
    </comment>
    <comment authorId="26" xr:uid="{ca4b6276-5b61-4612-81fe-b70b3f9b4f1e}" ref="K138">
      <text>
        <t xml:space="preserve">[Threaded comment]
 Your version of Excel allows you to read this threaded comment; however, any edits to it will get removed if the file is opened in a newer version of Excel. Learn more: https://go.microsoft.com/fwlink/?linkid=870924
Comment:
	previously approved on Feb. 2, 2024 under SoLa Impact
</t>
      </text>
    </comment>
    <comment authorId="27" xr:uid="{d3cc2974-4e3e-4f9b-b4b2-df3ad9df5e96}" ref="P23">
      <text>
        <t xml:space="preserve">[Threaded comment]
 Your version of Excel allows you to read this threaded comment; however, any edits to it will get removed if the file is opened in a newer version of Excel. Learn more: https://go.microsoft.com/fwlink/?linkid=870924
Comment:
	The terms are such that these are deed-restricted only 20 years!
</t>
      </text>
    </comment>
    <comment authorId="28" xr:uid="{dc00e5e2-a73d-4a75-b77d-e5bdc83c23c9}" ref="P1">
      <text>
        <t xml:space="preserve">[Threaded comment]
 Your version of Excel allows you to read this threaded comment; however, any edits to it will get removed if the file is opened in a newer version of Excel. Learn more: https://go.microsoft.com/fwlink/?linkid=870924
Comment:
	per CMFA application
</t>
      </text>
    </comment>
    <comment authorId="29" xr:uid="{f2e0e4c5-f3eb-4be4-9773-22322e36e7b9}" ref="P4">
      <text>
        <t xml:space="preserve">[Threaded comment]
 Your version of Excel allows you to read this threaded comment; however, any edits to it will get removed if the file is opened in a newer version of Excel. Learn more: https://go.microsoft.com/fwlink/?linkid=870924
Comment:
	Escondido restricts 39 units at 60% or less of AMI
</t>
      </text>
    </comment>
    <comment authorId="30" xr:uid="{fc04d715-9603-446b-a157-0101ed4cda99}" ref="O17">
      <text>
        <t xml:space="preserve">[Threaded comment]
 Your version of Excel allows you to read this threaded comment; however, any edits to it will get removed if the file is opened in a newer version of Excel. Learn more: https://go.microsoft.com/fwlink/?linkid=870924
Comment:
	Just 45% are rent restricted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tc={008c86ea-1a39-4c6c-8317-ddc94ee4e23a}</author>
    <author>tc={2036dd08-1413-48b2-b410-004ec927eb9d}</author>
    <author>tc={521174a7-9ae2-4778-8918-820049f4c4bb}</author>
    <author>tc={5ee203dc-62dd-404f-88d8-2835224880d9}</author>
    <author>tc={8baacc1a-8980-4503-8690-ff4492caa498}</author>
    <author>tc={9b89d912-8761-4e4c-b108-ce78ce729190}</author>
    <author>tc={9f3032e2-3301-4060-b470-da9ca9e9700f}</author>
    <author>tc={adb9e14b-1dbc-4a4a-b38e-6bbeb9b291f9}</author>
  </authors>
  <commentList>
    <comment authorId="0" ref="AC264">
      <text>
        <t xml:space="preserve">https://oct.estreamone.com/Show.aspx?parcel=03615006&amp;year=2025</t>
      </text>
    </comment>
    <comment authorId="1" xr:uid="{008c86ea-1a39-4c6c-8317-ddc94ee4e23a}" ref="A1">
      <text>
        <t xml:space="preserve">[Threaded comment]
 Your version of Excel allows you to read this threaded comment; however, any edits to it will get removed if the file is opened in a newer version of Excel. Learn more: https://go.microsoft.com/fwlink/?linkid=870924
Comment:
	I've added these "Project ID"s to both sheets to allow us to link reliably between sheets, and so we can indicate on the other sheet, for example, where we've found parcels and where we haven't. They should never change.
Reply:
	great
</t>
      </text>
    </comment>
    <comment authorId="2" xr:uid="{2036dd08-1413-48b2-b410-004ec927eb9d}" ref="F1">
      <text>
        <t xml:space="preserve">[Threaded comment]
 Your version of Excel allows you to read this threaded comment; however, any edits to it will get removed if the file is opened in a newer version of Excel. Learn more: https://go.microsoft.com/fwlink/?linkid=870924
Comment:
	if this is checked, multiple legacy parcels have the same assessment, so presumably they are duplicates and one should be ignored
</t>
      </text>
    </comment>
    <comment authorId="3" xr:uid="{521174a7-9ae2-4778-8918-820049f4c4bb}" ref="O63">
      <text>
        <t xml:space="preserve">[Threaded comment]
 Your version of Excel allows you to read this threaded comment; however, any edits to it will get removed if the file is opened in a newer version of Excel. Learn more: https://go.microsoft.com/fwlink/?linkid=870924
Comment:
	some data is just out of date so we don't have improvements numbers
</t>
      </text>
    </comment>
    <comment authorId="4" xr:uid="{5ee203dc-62dd-404f-88d8-2835224880d9}" ref="E143">
      <text>
        <t xml:space="preserve">[Threaded comment]
 Your version of Excel allows you to read this threaded comment; however, any edits to it will get removed if the file is opened in a newer version of Excel. Learn more: https://go.microsoft.com/fwlink/?linkid=870924
Comment:
	summed across these old parcel entries
</t>
      </text>
    </comment>
    <comment authorId="5" xr:uid="{8baacc1a-8980-4503-8690-ff4492caa498}" ref="Z339">
      <text>
        <t xml:space="preserve">[Threaded comment]
 Your version of Excel allows you to read this threaded comment; however, any edits to it will get removed if the file is opened in a newer version of Excel. Learn more: https://go.microsoft.com/fwlink/?linkid=870924
Comment:
	@kate.talerico@sfchronicle.com one thing to note about these values - these, and anything for a new property, are probably land only. so it will really underestimate the eventual value. I don't think we can project it, but just noting that the reductions in revenue we come up with are probably floors, not ceilings.
</t>
      </text>
    </comment>
    <comment authorId="6" xr:uid="{9b89d912-8761-4e4c-b108-ce78ce729190}" ref="AC76">
      <text>
        <t xml:space="preserve">[Threaded comment]
 Your version of Excel allows you to read this threaded comment; however, any edits to it will get removed if the file is opened in a newer version of Excel. Learn more: https://go.microsoft.com/fwlink/?linkid=870924
Comment:
	I suspect that this 7,000 exemption that appears on San Mateo's website is for something else, because it's way too low for the welfare tax exemption.
</t>
      </text>
    </comment>
    <comment authorId="7" xr:uid="{9f3032e2-3301-4060-b470-da9ca9e9700f}" ref="E1">
      <text>
        <t xml:space="preserve">[Threaded comment]
 Your version of Excel allows you to read this threaded comment; however, any edits to it will get removed if the file is opened in a newer version of Excel. Learn more: https://go.microsoft.com/fwlink/?linkid=870924
Comment:
	The parcels with legacy AINs are ones that have changed in the past year or so. The new AIN has no data yet, so we have to manually look up the legacy AIN.
</t>
      </text>
    </comment>
    <comment authorId="8" xr:uid="{adb9e14b-1dbc-4a4a-b38e-6bbeb9b291f9}" ref="O1">
      <text>
        <t xml:space="preserve">[Threaded comment]
 Your version of Excel allows you to read this threaded comment; however, any edits to it will get removed if the file is opened in a newer version of Excel. Learn more: https://go.microsoft.com/fwlink/?linkid=870924
Comment:
	Based on use_description, there are some that don't really make sense. But with very few exceptions, these parcel numbers match what your colleague found or you found manually, and I confirmed, and there are no other parcels the same address.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tc={32accec1-b35e-4f6b-8fdb-0f399abc7df0}</author>
    <author>tc={79640473-cc03-42c2-8805-dde12a064ddc}</author>
    <author>tc={bfc63542-f38d-4e5d-a910-e8a24dc146d5}</author>
  </authors>
  <commentList>
    <comment authorId="0" xr:uid="{32accec1-b35e-4f6b-8fdb-0f399abc7df0}" ref="E1">
      <text>
        <t xml:space="preserve">[Threaded comment]
 Your version of Excel allows you to read this threaded comment; however, any edits to it will get removed if the file is opened in a newer version of Excel. Learn more: https://go.microsoft.com/fwlink/?linkid=870924
Comment:
	voter approved LA USD and community college bonds
</t>
      </text>
    </comment>
    <comment authorId="1" xr:uid="{79640473-cc03-42c2-8805-dde12a064ddc}" ref="D1">
      <text>
        <t xml:space="preserve">[Threaded comment]
 Your version of Excel allows you to read this threaded comment; however, any edits to it will get removed if the file is opened in a newer version of Excel. Learn more: https://go.microsoft.com/fwlink/?linkid=870924
Comment:
	voter-approved city bonds
</t>
      </text>
    </comment>
    <comment authorId="2" xr:uid="{bfc63542-f38d-4e5d-a910-e8a24dc146d5}" ref="F1">
      <text>
        <t xml:space="preserve">[Threaded comment]
 Your version of Excel allows you to read this threaded comment; however, any edits to it will get removed if the file is opened in a newer version of Excel. Learn more: https://go.microsoft.com/fwlink/?linkid=870924
Comment:
	90+% of this is the Metro Water District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tc={6b35bcf7-184d-49cd-855c-59d7d2b5e07f}</author>
  </authors>
  <commentList>
    <comment authorId="0" xr:uid="{6b35bcf7-184d-49cd-855c-59d7d2b5e07f}" ref="D18">
      <text>
        <t xml:space="preserve">[Threaded comment]
 Your version of Excel allows you to read this threaded comment; however, any edits to it will get removed if the file is opened in a newer version of Excel. Learn more: https://go.microsoft.com/fwlink/?linkid=870924
Comment:
	got carried away and wrapped up the tax rates. going to do some more summary statistics tomorrow. but it looks like the exemptions outside of LA actually do really add up, because they are on average larger buildings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tc={22d3a005-c387-4b22-8313-4eb77a2312e9}</author>
    <author>tc={7af7291c-9f80-4290-8aad-e16250f2553e}</author>
  </authors>
  <commentList>
    <comment authorId="0" xr:uid="{22d3a005-c387-4b22-8313-4eb77a2312e9}" ref="AD3">
      <text>
        <t xml:space="preserve">[Threaded comment]
 Your version of Excel allows you to read this threaded comment; however, any edits to it will get removed if the file is opened in a newer version of Excel. Learn more: https://go.microsoft.com/fwlink/?linkid=870924
Comment:
	Pink indicates that the asking rents are more expensive than market asking rents. Yellow indicates that the project is asking less than market.
Reply:
	the more interesting chart might be that most of these properties pay at or around market rate
</t>
      </text>
    </comment>
    <comment authorId="1" xr:uid="{7af7291c-9f80-4290-8aad-e16250f2553e}" ref="V3">
      <text>
        <t xml:space="preserve">[Threaded comment]
 Your version of Excel allows you to read this threaded comment; however, any edits to it will get removed if the file is opened in a newer version of Excel. Learn more: https://go.microsoft.com/fwlink/?linkid=870924
Comment:
	Orange indicates that asking rents at the property already fall below 80% AMI.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tc={d78c6dca-9cd0-42d2-a25d-c343217b06f6}</author>
  </authors>
  <commentList>
    <comment authorId="0" xr:uid="{d78c6dca-9cd0-42d2-a25d-c343217b06f6}" ref="A1">
      <text>
        <t xml:space="preserve">[Threaded comment]
 Your version of Excel allows you to read this threaded comment; however, any edits to it will get removed if the file is opened in a newer version of Excel. Learn more: https://go.microsoft.com/fwlink/?linkid=870924
Comment:
	@kate.talerico@sfchronicle.com here is the list of properties that were accepted (as applications) but never approved. Some are quite old, so maybe they do reject applications.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tc={c95bc8a5-1564-4885-afb5-986bd16df313}</author>
  </authors>
  <commentList>
    <comment authorId="0" xr:uid="{c95bc8a5-1564-4885-afb5-986bd16df313}" ref="J134">
      <text>
        <t xml:space="preserve">[Threaded comment]
 Your version of Excel allows you to read this threaded comment; however, any edits to it will get removed if the file is opened in a newer version of Excel. Learn more: https://go.microsoft.com/fwlink/?linkid=870924
Comment:
	tax rate: 1.2913360%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tc={69f6a5ad-2386-49e2-8e52-20b21bec3308}</author>
  </authors>
  <commentList>
    <comment authorId="0" xr:uid="{69f6a5ad-2386-49e2-8e52-20b21bec3308}" ref="B266">
      <text>
        <t xml:space="preserve">[Threaded comment]
 Your version of Excel allows you to read this threaded comment; however, any edits to it will get removed if the file is opened in a newer version of Excel. Learn more: https://go.microsoft.com/fwlink/?linkid=870924
Comment:
	I think there was a typo on the CMFA application. Per this lawsuit, Irolo 16 LLC is associated with 932 Irolo: https://dredf.org/wp-content/uploads/2023/01/2023.01.30-Gardner-v.-Serrano-Family-Apartment-LTD-LP-et-al.-Complaint.pdf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tc={b7687feb-751b-493d-9d3d-54904629461a}</author>
    <author>tc={cbab4af3-6eea-4db8-97cf-b56136c962c5}</author>
    <author>tc={dae222fe-9290-4ab5-80ae-be9e66377ea2}</author>
    <author>tc={dff5f082-57a1-4bee-bb94-b4be2386aa21}</author>
    <author>tc={eb292434-5069-452d-8341-5926dc18086b}</author>
    <author>tc={ee9a7519-4a77-46b5-b016-231d2746ef58}</author>
  </authors>
  <commentList>
    <comment authorId="0" xr:uid="{b7687feb-751b-493d-9d3d-54904629461a}" ref="G1">
      <text>
        <t xml:space="preserve">[Threaded comment]
 Your version of Excel allows you to read this threaded comment; however, any edits to it will get removed if the file is opened in a newer version of Excel. Learn more: https://go.microsoft.com/fwlink/?linkid=870924
Comment:
	LA County Spreadsheet: "Total Welfare Exemption"
</t>
      </text>
    </comment>
    <comment authorId="1" xr:uid="{cbab4af3-6eea-4db8-97cf-b56136c962c5}" ref="F1">
      <text>
        <t xml:space="preserve">[Threaded comment]
 Your version of Excel allows you to read this threaded comment; however, any edits to it will get removed if the file is opened in a newer version of Excel. Learn more: https://go.microsoft.com/fwlink/?linkid=870924
Comment:
	For the LA County spreadsheet, this is "Gross_Roll_Value"
</t>
      </text>
    </comment>
    <comment authorId="2" xr:uid="{dae222fe-9290-4ab5-80ae-be9e66377ea2}" ref="H1">
      <text>
        <t xml:space="preserve">[Threaded comment]
 Your version of Excel allows you to read this threaded comment; however, any edits to it will get removed if the file is opened in a newer version of Excel. Learn more: https://go.microsoft.com/fwlink/?linkid=870924
Comment:
	LA County: "Net_Roll_Value"
</t>
      </text>
    </comment>
    <comment authorId="3" xr:uid="{dff5f082-57a1-4bee-bb94-b4be2386aa21}" ref="G57">
      <text>
        <t xml:space="preserve">[Threaded comment]
 Your version of Excel allows you to read this threaded comment; however, any edits to it will get removed if the file is opened in a newer version of Excel. Learn more: https://go.microsoft.com/fwlink/?linkid=870924
Comment:
	I calculated this based on Mona's chart https://docs.google.com/spreadsheets/d/1iTQIppHj8qH6NfDXZ-NyCaRnVAkuxyQR/edit?usp=sharing&amp;ouid=109692698211760073546&amp;rtpof=true&amp;sd=true
</t>
      </text>
    </comment>
    <comment authorId="4" xr:uid="{eb292434-5069-452d-8341-5926dc18086b}" ref="G6">
      <text>
        <t xml:space="preserve">[Threaded comment]
 Your version of Excel allows you to read this threaded comment; however, any edits to it will get removed if the file is opened in a newer version of Excel. Learn more: https://go.microsoft.com/fwlink/?linkid=870924
Comment:
	They have gotten their BoE clearance but are still working with San Mateo county to get the exemption
</t>
      </text>
    </comment>
    <comment authorId="5" xr:uid="{ee9a7519-4a77-46b5-b016-231d2746ef58}" ref="G59">
      <text>
        <t xml:space="preserve">[Threaded comment]
 Your version of Excel allows you to read this threaded comment; however, any edits to it will get removed if the file is opened in a newer version of Excel. Learn more: https://go.microsoft.com/fwlink/?linkid=870924
Comment:
	PENDING, per AlCo spreadsheet: https://docs.google.com/spreadsheets/d/1iTQIppHj8qH6NfDXZ-NyCaRnVAkuxyQR/edit?usp=sharing&amp;ouid=109692698211760073546&amp;rtpof=true&amp;sd=true
</t>
      </text>
    </comment>
  </commentList>
</comments>
</file>

<file path=xl/sharedStrings.xml><?xml version="1.0" encoding="utf-8"?>
<sst xmlns="http://schemas.openxmlformats.org/spreadsheetml/2006/main" count="13693" uniqueCount="3668">
  <si>
    <t>tax_rate_area</t>
  </si>
  <si>
    <t>Project ID</t>
  </si>
  <si>
    <t>project_id</t>
  </si>
  <si>
    <t>total_rate</t>
  </si>
  <si>
    <t>base_city_rate (prop 13)</t>
  </si>
  <si>
    <t>additional_city_rate</t>
  </si>
  <si>
    <t>school_rate</t>
  </si>
  <si>
    <t>other_rate</t>
  </si>
  <si>
    <t>Property Name</t>
  </si>
  <si>
    <t>Applicant / Entity</t>
  </si>
  <si>
    <t>City</t>
  </si>
  <si>
    <t>County</t>
  </si>
  <si>
    <t>Agency</t>
  </si>
  <si>
    <t>Grant Description</t>
  </si>
  <si>
    <t>Resolution</t>
  </si>
  <si>
    <t>Date</t>
  </si>
  <si>
    <t>county</t>
  </si>
  <si>
    <t>property</t>
  </si>
  <si>
    <t>DEAD?</t>
  </si>
  <si>
    <t>Investor 1</t>
  </si>
  <si>
    <t>ain</t>
  </si>
  <si>
    <t>Investor 2</t>
  </si>
  <si>
    <t>legacy_ain</t>
  </si>
  <si>
    <t>Nonprofit Partner</t>
  </si>
  <si>
    <t>Stale</t>
  </si>
  <si>
    <t>legacy_redundant</t>
  </si>
  <si>
    <t>apn</t>
  </si>
  <si>
    <t>Total Unit Count</t>
  </si>
  <si>
    <t>Restricted Unit Count</t>
  </si>
  <si>
    <t>situs_address</t>
  </si>
  <si>
    <t>situs_city</t>
  </si>
  <si>
    <t>Restricted Ratio</t>
  </si>
  <si>
    <t>situs_zip</t>
  </si>
  <si>
    <t>input_address</t>
  </si>
  <si>
    <t>property_name</t>
  </si>
  <si>
    <t>Address</t>
  </si>
  <si>
    <t>tract_number</t>
  </si>
  <si>
    <t>City's Cut</t>
  </si>
  <si>
    <t>method</t>
  </si>
  <si>
    <t>use_description</t>
  </si>
  <si>
    <t>use_type</t>
  </si>
  <si>
    <t>Parcel Identified</t>
  </si>
  <si>
    <t>use_code</t>
  </si>
  <si>
    <t>Welfare Exemption On 2025 Roll</t>
  </si>
  <si>
    <t>year_built</t>
  </si>
  <si>
    <t>Total Roll Value</t>
  </si>
  <si>
    <t>units</t>
  </si>
  <si>
    <t>Confirmed Exemption</t>
  </si>
  <si>
    <t>bedrooms</t>
  </si>
  <si>
    <t>Best Estimate Exemption</t>
  </si>
  <si>
    <t>bathrooms</t>
  </si>
  <si>
    <t>sqft</t>
  </si>
  <si>
    <t>roll_year</t>
  </si>
  <si>
    <t>roll_land_value</t>
  </si>
  <si>
    <t>Confirmed or Best Estimate Exemption</t>
  </si>
  <si>
    <t>roll_imp_value</t>
  </si>
  <si>
    <t>Tax Rate</t>
  </si>
  <si>
    <t>roll_total_value</t>
  </si>
  <si>
    <t>Confirmed Annual Revenue Loss</t>
  </si>
  <si>
    <t>roll_land_base_year</t>
  </si>
  <si>
    <t>Best Estimate Annual Revenue Loss</t>
  </si>
  <si>
    <t>roll_imp_base_year</t>
  </si>
  <si>
    <t>Link</t>
  </si>
  <si>
    <t>real_estate_exemp</t>
  </si>
  <si>
    <t>Leasing Link</t>
  </si>
  <si>
    <t>New build?</t>
  </si>
  <si>
    <t>tax_rate_city</t>
  </si>
  <si>
    <t>Built</t>
  </si>
  <si>
    <t>latitude</t>
  </si>
  <si>
    <t>Acquisition Price (M)</t>
  </si>
  <si>
    <t>longitude</t>
  </si>
  <si>
    <t>Acquisition Date</t>
  </si>
  <si>
    <t>legal_description</t>
  </si>
  <si>
    <t>Regulatory Term</t>
  </si>
  <si>
    <t>notes</t>
  </si>
  <si>
    <t>Closing Fee</t>
  </si>
  <si>
    <t>CMFA Total Units</t>
  </si>
  <si>
    <t>CMFA Annual Fee</t>
  </si>
  <si>
    <t>CMFA Restricted</t>
  </si>
  <si>
    <t>YEARS IN SERVICE</t>
  </si>
  <si>
    <t>Total Tax Rate</t>
  </si>
  <si>
    <t>ANNUAL FEES PAID</t>
  </si>
  <si>
    <t>SCC FILED?</t>
  </si>
  <si>
    <t>Heritage Park Apartments Livermore</t>
  </si>
  <si>
    <t>Standard Heritage Livermore Owner LP</t>
  </si>
  <si>
    <t>Livermore</t>
  </si>
  <si>
    <t>Alameda</t>
  </si>
  <si>
    <t>CMFA</t>
  </si>
  <si>
    <t>Loan / $100,000</t>
  </si>
  <si>
    <t>Standard Property Company</t>
  </si>
  <si>
    <t>Housing on Merit</t>
  </si>
  <si>
    <t>900 E Stanley Blvd, Livermore, CA 94550</t>
  </si>
  <si>
    <t>NO</t>
  </si>
  <si>
    <t>COUNTUNIQUE of Project ID</t>
  </si>
  <si>
    <t>SUM of Confirmed Annual Revenue Loss</t>
  </si>
  <si>
    <t>SUM of Confirmed or Best Estimate Exemption</t>
  </si>
  <si>
    <t>SUM of Best Estimate Annual Revenue Loss</t>
  </si>
  <si>
    <t>SUM of City's Cut</t>
  </si>
  <si>
    <t>SUM of Restricted Unit Count</t>
  </si>
  <si>
    <t>SUM of Total Unit Count</t>
  </si>
  <si>
    <t>SUM of Closing Fee</t>
  </si>
  <si>
    <t>SUM of ANNUAL FEES PAID</t>
  </si>
  <si>
    <t>COUNTA of SCC FILED?</t>
  </si>
  <si>
    <t>5136-019-013</t>
  </si>
  <si>
    <t>1136 S ALVARADO ST LOS ANGELES CA 90006</t>
  </si>
  <si>
    <t>LOS ANGELES CA</t>
  </si>
  <si>
    <t>90006-4138</t>
  </si>
  <si>
    <t>1136 S. Alvarado Street, Los Angeles, CA</t>
  </si>
  <si>
    <t>Alvarado Streets Apartments</t>
  </si>
  <si>
    <t>manual_verified</t>
  </si>
  <si>
    <t>Five or more apartments</t>
  </si>
  <si>
    <t>Contra Costa</t>
  </si>
  <si>
    <t>Residential</t>
  </si>
  <si>
    <t>Fresno</t>
  </si>
  <si>
    <t>Los Angeles</t>
  </si>
  <si>
    <t>LOS ANGELES</t>
  </si>
  <si>
    <t>ALVARADO HEIGHTS LOT    4 BLK    6</t>
  </si>
  <si>
    <t>Corrected from AIN 5136019023 (auto/equipment use) to 5136019013 (apartments)</t>
  </si>
  <si>
    <t>Napa</t>
  </si>
  <si>
    <t>Orange</t>
  </si>
  <si>
    <t>Sacramento</t>
  </si>
  <si>
    <t>San Bernardino</t>
  </si>
  <si>
    <t>San Diego</t>
  </si>
  <si>
    <t>San Francisco</t>
  </si>
  <si>
    <t>San Mateo</t>
  </si>
  <si>
    <t>Heritage Village Anaheim Apartments</t>
  </si>
  <si>
    <t>Santa Barbara</t>
  </si>
  <si>
    <t>Standard Heritage Anaheim Owner LP</t>
  </si>
  <si>
    <t>Anaheim</t>
  </si>
  <si>
    <t>Santa Clara</t>
  </si>
  <si>
    <t>5183-001-017</t>
  </si>
  <si>
    <t>2025 NEW JERSEY ST LOS ANGELES CA 90033</t>
  </si>
  <si>
    <t>Healdsburg</t>
  </si>
  <si>
    <t>Santa Cruz</t>
  </si>
  <si>
    <t>90033-2805</t>
  </si>
  <si>
    <t>2025 New Jersey St, Los Angeles, CA</t>
  </si>
  <si>
    <t>2025 New Jersey Apartments</t>
  </si>
  <si>
    <t>050V</t>
  </si>
  <si>
    <t>Solano</t>
  </si>
  <si>
    <t>SUBDN OF LOT 2 BLK 60 H S NW 20 FT OF LOT 3 AND SE 20 FT OF LOT    5 BLK    A</t>
  </si>
  <si>
    <t>Sonoma</t>
  </si>
  <si>
    <t>Grand Total</t>
  </si>
  <si>
    <t>Benicia</t>
  </si>
  <si>
    <t>Dixon</t>
  </si>
  <si>
    <t>15434025</t>
  </si>
  <si>
    <t>660 MARIPOSA AVE MOUNTAIN VIEW CA 94041-1867</t>
  </si>
  <si>
    <t>-</t>
  </si>
  <si>
    <t>Fairfield</t>
  </si>
  <si>
    <t>707 W Santa Ana Street, Anaheim CA 92805</t>
  </si>
  <si>
    <t>Mountain View</t>
  </si>
  <si>
    <t>Rio Vista</t>
  </si>
  <si>
    <t>Suisun</t>
  </si>
  <si>
    <t>Vacaville</t>
  </si>
  <si>
    <t>Vallejo</t>
  </si>
  <si>
    <t>Los Altos</t>
  </si>
  <si>
    <t>San Jose</t>
  </si>
  <si>
    <t>147091180000</t>
  </si>
  <si>
    <t>363 E GILBERT ST SAN BERNARDINO CA 92404-5343</t>
  </si>
  <si>
    <t>Sunnyvale</t>
  </si>
  <si>
    <t>Campbell</t>
  </si>
  <si>
    <t>Cupertino</t>
  </si>
  <si>
    <t>Gilroy</t>
  </si>
  <si>
    <t>Los Altos Hills</t>
  </si>
  <si>
    <t>Los Gatos</t>
  </si>
  <si>
    <t>5343602100</t>
  </si>
  <si>
    <t>Milpitas</t>
  </si>
  <si>
    <t>840.0 17TH ST SAN DIEGO CA 92101-6666</t>
  </si>
  <si>
    <t>Monte Sereno</t>
  </si>
  <si>
    <t>Morgan Hill</t>
  </si>
  <si>
    <t>Palo Alto</t>
  </si>
  <si>
    <t>Heritage Park Escondido Apartments</t>
  </si>
  <si>
    <t>STANDARD HERITAGE ESCONDIDO OWNER LP</t>
  </si>
  <si>
    <t>Escondido</t>
  </si>
  <si>
    <t>Saratoga</t>
  </si>
  <si>
    <t>0345012C</t>
  </si>
  <si>
    <t>381 TURK ST SAN FRANCISCO CA 94102-3749</t>
  </si>
  <si>
    <t>2549 E. Valley Parkway, Escondido, CA 92027</t>
  </si>
  <si>
    <t>Carlsbad</t>
  </si>
  <si>
    <t>Chula Vista</t>
  </si>
  <si>
    <t>Coronado</t>
  </si>
  <si>
    <t>Del Mar</t>
  </si>
  <si>
    <t>El Cajon</t>
  </si>
  <si>
    <t>Encinitas</t>
  </si>
  <si>
    <t>454251243</t>
  </si>
  <si>
    <t>454-25-124-3</t>
  </si>
  <si>
    <t>26409 GADING RD HAYWARD CA 94544-3603</t>
  </si>
  <si>
    <t>Imperial Beach</t>
  </si>
  <si>
    <t>La Mesa</t>
  </si>
  <si>
    <t>Hayward</t>
  </si>
  <si>
    <t>Lemon Grove</t>
  </si>
  <si>
    <t>National City</t>
  </si>
  <si>
    <t>Alvarado Affordable Associates, LP</t>
  </si>
  <si>
    <t>Grant up to $10,000</t>
  </si>
  <si>
    <t>Oceanside</t>
  </si>
  <si>
    <t>23-204</t>
  </si>
  <si>
    <t>Poway</t>
  </si>
  <si>
    <t>5134-017-037</t>
  </si>
  <si>
    <t>1317 S GRAND AVE LOS ANGELES CA 900015</t>
  </si>
  <si>
    <t>San Marcos</t>
  </si>
  <si>
    <t>90015-3008</t>
  </si>
  <si>
    <t>1317 S. Grand St, Los Angeles, CA 90015</t>
  </si>
  <si>
    <t>Taylor Equities</t>
  </si>
  <si>
    <t>1317 S. Grand Apartments</t>
  </si>
  <si>
    <t>Kingdom Development, Inc.</t>
  </si>
  <si>
    <t>parcel_in_transition</t>
  </si>
  <si>
    <t>Multi-Family Residence</t>
  </si>
  <si>
    <t>Santee</t>
  </si>
  <si>
    <t>Solana Beach</t>
  </si>
  <si>
    <t>Vista</t>
  </si>
  <si>
    <t>AIN not in DB</t>
  </si>
  <si>
    <t>Oakland</t>
  </si>
  <si>
    <t>Berkeley</t>
  </si>
  <si>
    <t>Fremont</t>
  </si>
  <si>
    <t>Atherton</t>
  </si>
  <si>
    <t>Belmont</t>
  </si>
  <si>
    <t>Brisbane</t>
  </si>
  <si>
    <t>5134-009-025</t>
  </si>
  <si>
    <t>Burlingame</t>
  </si>
  <si>
    <t>1411 S FLOWER ST</t>
  </si>
  <si>
    <t>1411 Flower St, Los Angeles, CA 90015</t>
  </si>
  <si>
    <t>1411 S. Flower Apartments</t>
  </si>
  <si>
    <t>05S0</t>
  </si>
  <si>
    <t>Colma</t>
  </si>
  <si>
    <t>Multi-parcel (2). AIN not in DB.</t>
  </si>
  <si>
    <t>Daly City</t>
  </si>
  <si>
    <t>East Palo Alto</t>
  </si>
  <si>
    <t>Foster City</t>
  </si>
  <si>
    <t>Bernardine Apartments</t>
  </si>
  <si>
    <t>Castle Rock Bernardine Apartments, LP</t>
  </si>
  <si>
    <t>23-222</t>
  </si>
  <si>
    <t>Half Moon Bay</t>
  </si>
  <si>
    <t>Hillsborough</t>
  </si>
  <si>
    <t>Menlo Park</t>
  </si>
  <si>
    <t>Millbrae</t>
  </si>
  <si>
    <t>5134-009-024</t>
  </si>
  <si>
    <t>Pacifica</t>
  </si>
  <si>
    <t>(pending)</t>
  </si>
  <si>
    <t>Portola Valley</t>
  </si>
  <si>
    <t>Quest Capital Partners</t>
  </si>
  <si>
    <t>Affordable Rent Project</t>
  </si>
  <si>
    <t>Redwood City</t>
  </si>
  <si>
    <t>363 E. Gilbert St., San Bernardino, CA</t>
  </si>
  <si>
    <t>San Bruno</t>
  </si>
  <si>
    <t>San Carlos</t>
  </si>
  <si>
    <t>South San Francisco</t>
  </si>
  <si>
    <t>Woodside</t>
  </si>
  <si>
    <t>6020-022-027</t>
  </si>
  <si>
    <t>7524 S HOOVER ST</t>
  </si>
  <si>
    <t>7518 S. Hoover, Los Angeles, CA 90044</t>
  </si>
  <si>
    <t>7518 Hoover St. Apartments</t>
  </si>
  <si>
    <t>San Rafael</t>
  </si>
  <si>
    <t>American Canyon</t>
  </si>
  <si>
    <t>Santa Maria</t>
  </si>
  <si>
    <t>Brea</t>
  </si>
  <si>
    <t>Fullerton</t>
  </si>
  <si>
    <t>Huntington Beach</t>
  </si>
  <si>
    <t>Laguna Beach</t>
  </si>
  <si>
    <t>2025 NJ, LP</t>
  </si>
  <si>
    <t>1295996</t>
  </si>
  <si>
    <t>La Habra</t>
  </si>
  <si>
    <t>23-223</t>
  </si>
  <si>
    <t>12-959-9-6</t>
  </si>
  <si>
    <t>820 W MACARTHUR BLVD OAKLAND CA 94608</t>
  </si>
  <si>
    <t>Eleos Ventures, LLC</t>
  </si>
  <si>
    <t>Step Forward Communities</t>
  </si>
  <si>
    <t>Newport Beach</t>
  </si>
  <si>
    <t>Placentia</t>
  </si>
  <si>
    <t>San Clemente</t>
  </si>
  <si>
    <t>Santa Ana</t>
  </si>
  <si>
    <t>Seal Beach</t>
  </si>
  <si>
    <t>Tustin</t>
  </si>
  <si>
    <t>Buena Park</t>
  </si>
  <si>
    <t>Costa Mesa</t>
  </si>
  <si>
    <t>La Palma</t>
  </si>
  <si>
    <t>Stanton</t>
  </si>
  <si>
    <t>Garden Grove</t>
  </si>
  <si>
    <t>Cypress</t>
  </si>
  <si>
    <t>5402-028-023</t>
  </si>
  <si>
    <t>801 WATERLOO ST LOS ANGELES CA 90026</t>
  </si>
  <si>
    <t>90026-4039</t>
  </si>
  <si>
    <t xml:space="preserve">801-809 Waterloo Street, Los Angeles, CA </t>
  </si>
  <si>
    <t>Westminster</t>
  </si>
  <si>
    <t>The Waterloo Apartments</t>
  </si>
  <si>
    <t>Fountain Valley</t>
  </si>
  <si>
    <t>Los Alamitos</t>
  </si>
  <si>
    <t>WATERLOO TRACT LOT   12 BLK    1</t>
  </si>
  <si>
    <t>San Juan Capistrano</t>
  </si>
  <si>
    <t>Villa Park</t>
  </si>
  <si>
    <t>Mariposa Club Apartments</t>
  </si>
  <si>
    <t>Mariposa Club Apartments I, LP</t>
  </si>
  <si>
    <t>23-224</t>
  </si>
  <si>
    <t>Yorba Linda</t>
  </si>
  <si>
    <t>Irvine</t>
  </si>
  <si>
    <t>Mission Viejo</t>
  </si>
  <si>
    <t>Dana Point</t>
  </si>
  <si>
    <t>Laguna Niguel</t>
  </si>
  <si>
    <t>Prometheus Real Estate Group</t>
  </si>
  <si>
    <t>344007</t>
  </si>
  <si>
    <t>Lake Forest</t>
  </si>
  <si>
    <t>Hearthstone Housing Foundation</t>
  </si>
  <si>
    <t>275 TURK ST SAN FRANCISCO CA 94102-3831</t>
  </si>
  <si>
    <t>660 Mariposa Ave., Mountain View, CA</t>
  </si>
  <si>
    <t>Laguna Hills</t>
  </si>
  <si>
    <t>Laguna Woods</t>
  </si>
  <si>
    <t>Rancho Santa Margarita</t>
  </si>
  <si>
    <t>Aliso Viejo</t>
  </si>
  <si>
    <t>Isleton</t>
  </si>
  <si>
    <t>Folsom</t>
  </si>
  <si>
    <t>867281</t>
  </si>
  <si>
    <t>Galt</t>
  </si>
  <si>
    <t>8-672-8-1</t>
  </si>
  <si>
    <t>2415 VALDEZ ST OAKLAND CA 94612-3600</t>
  </si>
  <si>
    <t>Citrus Heights</t>
  </si>
  <si>
    <t>Elk Grove</t>
  </si>
  <si>
    <t>Rancho Cordova</t>
  </si>
  <si>
    <t>Antioch</t>
  </si>
  <si>
    <t>Brentwood</t>
  </si>
  <si>
    <t>Clayton</t>
  </si>
  <si>
    <t>City View aka Outlook at Mission Valley
Apartments</t>
  </si>
  <si>
    <t>Mission Valley Preservation LP</t>
  </si>
  <si>
    <t>Concord</t>
  </si>
  <si>
    <t>23-275</t>
  </si>
  <si>
    <t>Danville</t>
  </si>
  <si>
    <t>5547-013-021</t>
  </si>
  <si>
    <t>El Cerrito</t>
  </si>
  <si>
    <t>6762 HAWTHORN AVE LOS ANGELES CA 90028</t>
  </si>
  <si>
    <t>90028-6108</t>
  </si>
  <si>
    <t>6762 Hawthorn Ave, Los Angeles, CA 90028</t>
  </si>
  <si>
    <t>Premiere Hollywood Apartments</t>
  </si>
  <si>
    <t>Hercules</t>
  </si>
  <si>
    <t>Lafayette</t>
  </si>
  <si>
    <t>G F STEVENSON TR LOT 13</t>
  </si>
  <si>
    <t>Martinez</t>
  </si>
  <si>
    <t>Moraga</t>
  </si>
  <si>
    <t>Securities Properties</t>
  </si>
  <si>
    <t>Las Palmas Housing &amp; Development</t>
  </si>
  <si>
    <t>Oakley</t>
  </si>
  <si>
    <t>840 17th St, San Diego, CA 92101</t>
  </si>
  <si>
    <t>Orinda</t>
  </si>
  <si>
    <t>Pinole</t>
  </si>
  <si>
    <t>Pittsburg</t>
  </si>
  <si>
    <t>5024-017-036</t>
  </si>
  <si>
    <t>4252 S CRENSHAW BLVD LOS ANGELES CA 90008</t>
  </si>
  <si>
    <t>4252 Crenshaw Apartments</t>
  </si>
  <si>
    <t>Pleasant Hill</t>
  </si>
  <si>
    <t>TR=10023 LOTS 93, 94, 95, 96, 97 AND 98</t>
  </si>
  <si>
    <t>Richmond</t>
  </si>
  <si>
    <t>San Pablo</t>
  </si>
  <si>
    <t>San Ramon</t>
  </si>
  <si>
    <t>Walnut Creek</t>
  </si>
  <si>
    <t>Carmichael</t>
  </si>
  <si>
    <t>Fair Oaks</t>
  </si>
  <si>
    <t>Orangevale</t>
  </si>
  <si>
    <t>1043514700</t>
  </si>
  <si>
    <t>1735.0 S MISSION RD FALLBROOK CA 92028-4548</t>
  </si>
  <si>
    <t>Gold River</t>
  </si>
  <si>
    <t>North Highlands</t>
  </si>
  <si>
    <t>Rio Linda</t>
  </si>
  <si>
    <t>381 Turk Street Apartment</t>
  </si>
  <si>
    <t>Foothill Farms</t>
  </si>
  <si>
    <t>381 Turk Street Associates</t>
  </si>
  <si>
    <t>23-307</t>
  </si>
  <si>
    <t>Arden-Arcade</t>
  </si>
  <si>
    <t>Natomas (Unincorp)</t>
  </si>
  <si>
    <t>Vineyard</t>
  </si>
  <si>
    <t>Laguna</t>
  </si>
  <si>
    <t>El Sobrante</t>
  </si>
  <si>
    <t>Mosser Capital, LLC</t>
  </si>
  <si>
    <t>Rodeo</t>
  </si>
  <si>
    <t>39612209</t>
  </si>
  <si>
    <t>1100.0 FAIRHAVEN AVE SANTA ANA CA 92705-6754</t>
  </si>
  <si>
    <t>381 Turk St., San Francisco, CA</t>
  </si>
  <si>
    <t>Crockett</t>
  </si>
  <si>
    <t>Alamo</t>
  </si>
  <si>
    <t>Blackhawk</t>
  </si>
  <si>
    <t>Byron</t>
  </si>
  <si>
    <t>Discovery Bay</t>
  </si>
  <si>
    <t>Knightsen</t>
  </si>
  <si>
    <t>Bay Point</t>
  </si>
  <si>
    <t>05-000</t>
  </si>
  <si>
    <t>39612130</t>
  </si>
  <si>
    <t>1200 FAIRHAVEN AVE SANTA ANA CA 92705-6754</t>
  </si>
  <si>
    <t>Townhomes at Gading Apartments</t>
  </si>
  <si>
    <t>SFF 2, LLC</t>
  </si>
  <si>
    <t>23-370</t>
  </si>
  <si>
    <t>2102-015-045</t>
  </si>
  <si>
    <t>7940 RESEDA BLVD LOS ANGELES CA 91335</t>
  </si>
  <si>
    <t>91335-1927</t>
  </si>
  <si>
    <t xml:space="preserve">7940 Reseda Boulevard, Reseda, CA </t>
  </si>
  <si>
    <t>Pinetree Terrace Apartments</t>
  </si>
  <si>
    <t>*TR=32921 LOT    1</t>
  </si>
  <si>
    <t>The Sobrato Organization</t>
  </si>
  <si>
    <t>Sobrato Foundation</t>
  </si>
  <si>
    <t>26409 Gading Rd, Hayward, CA 94544</t>
  </si>
  <si>
    <t>2119-001-222</t>
  </si>
  <si>
    <t>18325 SATICOY ST LOS ANGELES CA 91335</t>
  </si>
  <si>
    <t>91335-2965</t>
  </si>
  <si>
    <t>18325 Saticoy St, Reseda, CA 91335</t>
  </si>
  <si>
    <t>Windmere Court Apartments</t>
  </si>
  <si>
    <t>https://www.townhomesongadingapts.com/</t>
  </si>
  <si>
    <t>TR=9035 POR OF LOT 32 AND ALL OF LOT 31</t>
  </si>
  <si>
    <t>6320-011-041</t>
  </si>
  <si>
    <t>2701 RANDOLPH ST HUNTINGTON PARK CA 90255</t>
  </si>
  <si>
    <t>HUNTINGTON PARK CA</t>
  </si>
  <si>
    <t>90255-3076</t>
  </si>
  <si>
    <t>2701 Randolph St., Huntington Park, CA</t>
  </si>
  <si>
    <t>Seville Gardens Apartments</t>
  </si>
  <si>
    <t>HUNTINGTON PARK</t>
  </si>
  <si>
    <t>TR=45269 LOT 1</t>
  </si>
  <si>
    <t>1317 SGA QOZB, LP or an affiliate thereof</t>
  </si>
  <si>
    <t>23-371</t>
  </si>
  <si>
    <t>Housing Diversity Corporation</t>
  </si>
  <si>
    <t>PEP Housing</t>
  </si>
  <si>
    <t>7418-014-021</t>
  </si>
  <si>
    <t>445 N AVALON BLVD LOS ANGELES CA 90744</t>
  </si>
  <si>
    <t>90744-5803</t>
  </si>
  <si>
    <t>445 N. Avalon Boulevard, Los Angeles, CA</t>
  </si>
  <si>
    <t>Harbour Residences Apartments</t>
  </si>
  <si>
    <t>Stores</t>
  </si>
  <si>
    <t>Commercial</t>
  </si>
  <si>
    <t>WILMINGTON RANGE 5 EX OF ST LOT 2 AND ALL OF LOT 6 BLK 12</t>
  </si>
  <si>
    <t>5021-028-002</t>
  </si>
  <si>
    <t>4209 S WESTERN AVE LOS ANGELES CA 90062</t>
  </si>
  <si>
    <t>90062-1643</t>
  </si>
  <si>
    <t>4209 S Western Ave, Los Angeles, CA 90062</t>
  </si>
  <si>
    <t>4209 Western Avenue Apartments</t>
  </si>
  <si>
    <t>Store Combination</t>
  </si>
  <si>
    <t>VERMONT AVE SQUARE LOT    2 BLK   65</t>
  </si>
  <si>
    <t>Housing Diversity</t>
  </si>
  <si>
    <t>23-372</t>
  </si>
  <si>
    <t>Arctaris Impact Investors</t>
  </si>
  <si>
    <t>5020-017-007</t>
  </si>
  <si>
    <t>1130 W MARTIN LUTHER KING JR BLVD LOS ANGELES CA 90037</t>
  </si>
  <si>
    <t>90037-1810</t>
  </si>
  <si>
    <t>1130 W Martin Luther King Jr Blvd, Los Angeles, CA 90037</t>
  </si>
  <si>
    <t>1130 Martin Luther King Jr. Blvd Apartments</t>
  </si>
  <si>
    <t>WEST PARK TRACT NO 2 LOT   10 BLK    G</t>
  </si>
  <si>
    <t>BIF NON OZ 7518 S Hoover St, LP</t>
  </si>
  <si>
    <t>24-041</t>
  </si>
  <si>
    <t>7455-002-027</t>
  </si>
  <si>
    <t>441 W 3RD ST LOS ANGELES CA 90731</t>
  </si>
  <si>
    <t>90731-2650</t>
  </si>
  <si>
    <t>441 W 3rd St, San Pedro, CA 90731</t>
  </si>
  <si>
    <t>Harbor Terrace Apartments</t>
  </si>
  <si>
    <t>LOT A P M 179-44-45 AND E 130 FT OF LOT 2 BLK 4 TOWN OF SAN PEDRO</t>
  </si>
  <si>
    <t>SoLa Impact, LLC</t>
  </si>
  <si>
    <t>Black Impact Group</t>
  </si>
  <si>
    <t>4291-019-007</t>
  </si>
  <si>
    <t>1428 6TH ST SANTA MONICA CA 90401</t>
  </si>
  <si>
    <t>SANTA MONICA CA</t>
  </si>
  <si>
    <t>90401-2592</t>
  </si>
  <si>
    <t>1422-1428 6th St., Santa Monica, CA</t>
  </si>
  <si>
    <t>Santa Monica Portfolio A Apartments</t>
  </si>
  <si>
    <t>manual_verified_multi</t>
  </si>
  <si>
    <t>SANTA MONICA</t>
  </si>
  <si>
    <t>SANTA MON1CA LOT    F BLK  169</t>
  </si>
  <si>
    <t>Multi-parcel (2)</t>
  </si>
  <si>
    <t>820 MacArthur Apartments</t>
  </si>
  <si>
    <t>2019 Ozone Affordable Housing</t>
  </si>
  <si>
    <t>4291-019-006</t>
  </si>
  <si>
    <t>1422 6TH ST SANTA MONICA CA 90401</t>
  </si>
  <si>
    <t>90401-2542</t>
  </si>
  <si>
    <t>24-052</t>
  </si>
  <si>
    <t>SANTA MON1CA LOT    E BLK  169</t>
  </si>
  <si>
    <t>Riaz, Inc.</t>
  </si>
  <si>
    <t>AOF Pacific</t>
  </si>
  <si>
    <t>820 W MacArthur Blvd, Oakland, CA 94608</t>
  </si>
  <si>
    <t>4291-020-005</t>
  </si>
  <si>
    <t>1422 7TH ST SANTA MONICA CA 90401</t>
  </si>
  <si>
    <t>90401-2653</t>
  </si>
  <si>
    <t>1422-1432 7th, Santa Monica, CA</t>
  </si>
  <si>
    <t>Santa Monica Portfolio B Apartments</t>
  </si>
  <si>
    <t>SANTA MON1CA LOT    E BLK  168</t>
  </si>
  <si>
    <t>Multi-parcel (3)</t>
  </si>
  <si>
    <t>YES</t>
  </si>
  <si>
    <t>4291-020-006</t>
  </si>
  <si>
    <t>801 Waterloo Partners, LP</t>
  </si>
  <si>
    <t>1430 7TH ST SANTA MONICA CA 90401</t>
  </si>
  <si>
    <t>90401-2600</t>
  </si>
  <si>
    <t>24-053</t>
  </si>
  <si>
    <t>SANTA MON1CA LOT    F BLK  168</t>
  </si>
  <si>
    <t>The Greg Scott Company</t>
  </si>
  <si>
    <t>4291-020-007</t>
  </si>
  <si>
    <t>1432 7TH ST SANTA MONICA CA 90401</t>
  </si>
  <si>
    <t>90401-2612</t>
  </si>
  <si>
    <t>SANTA MON1CA LOT    G BLK  168</t>
  </si>
  <si>
    <t>Electric Lofts Apartments</t>
  </si>
  <si>
    <t>Electric Lofts, LP</t>
  </si>
  <si>
    <t>24-074</t>
  </si>
  <si>
    <t>4291-020-018</t>
  </si>
  <si>
    <t>1425 6TH ST SANTA MONICA CA 90401</t>
  </si>
  <si>
    <t>90401-2558</t>
  </si>
  <si>
    <t>1423-1425 6th, Santa Monica, CA</t>
  </si>
  <si>
    <t>Santa Monica Portfolio C Apartments</t>
  </si>
  <si>
    <t>SANTA MON1CA LOT    S BLK  168</t>
  </si>
  <si>
    <t>Trestle Development LLC</t>
  </si>
  <si>
    <t>AOF / Pacific Affordable Housing Corp</t>
  </si>
  <si>
    <t>2415 Valdez St, Oakland, CA 94612</t>
  </si>
  <si>
    <t>4291-020-019</t>
  </si>
  <si>
    <t>1423 6TH ST SANTA MONICA CA 90401</t>
  </si>
  <si>
    <t>90401-2593</t>
  </si>
  <si>
    <t>SANTA MON1CA LOT    T BLK  168</t>
  </si>
  <si>
    <t>https://www.electriclofts.com/</t>
  </si>
  <si>
    <t>4291-024-007</t>
  </si>
  <si>
    <t>1522 6TH ST SANTA MONICA CA 90401</t>
  </si>
  <si>
    <t>90401-2548</t>
  </si>
  <si>
    <t>1522 6th St, Santa Monica, CA</t>
  </si>
  <si>
    <t>Santa Monica Portfolio D Apartments</t>
  </si>
  <si>
    <t>SANTA MONICA LOT    E BLK  194</t>
  </si>
  <si>
    <t>275 Turk Street Apartments</t>
  </si>
  <si>
    <t>RHI-Mosser 275 Turk LP</t>
  </si>
  <si>
    <t>24-076</t>
  </si>
  <si>
    <t>4291-022-015</t>
  </si>
  <si>
    <t>1537 7TH ST SANTA MONICA CA 90401</t>
  </si>
  <si>
    <t>90401-2672</t>
  </si>
  <si>
    <t>1537 7th, Santa Monica, CA</t>
  </si>
  <si>
    <t>Santa Monica Portfolio E Apartments</t>
  </si>
  <si>
    <t>Stars Real Estate Investment</t>
  </si>
  <si>
    <t>SANTA MON1CA LOT    Q BLK  192</t>
  </si>
  <si>
    <t>275 Turk St, San Francisco, CA</t>
  </si>
  <si>
    <t>4275-024-005</t>
  </si>
  <si>
    <t>2001 OLYMPIC BLVD SANTA MONICA CA 90404</t>
  </si>
  <si>
    <t>90404-3942</t>
  </si>
  <si>
    <t>2001-2029 Olympic Blvd, Santa Monica</t>
  </si>
  <si>
    <t>Santa Monica Portfolio F Apartments</t>
  </si>
  <si>
    <t>ERKENBRECHER SYNDICATE SANTA MONICA TRACT EX OF ST LOT    6 BLK   20</t>
  </si>
  <si>
    <t>OODB2, LP</t>
  </si>
  <si>
    <t>24-178</t>
  </si>
  <si>
    <t>4275-024-015</t>
  </si>
  <si>
    <t>2029 OLYMPIC BLVD SANTA MONICA CA 90404</t>
  </si>
  <si>
    <t>90404-3922</t>
  </si>
  <si>
    <t>MB 6-26-27 LOT 5 AND EX OF ST LOTS 7,9 AND 11</t>
  </si>
  <si>
    <t>7518 S. Hoover, Los Angeles, CA</t>
  </si>
  <si>
    <t>7524 S. Hoover St. Apartments</t>
  </si>
  <si>
    <t>Single Family Residence</t>
  </si>
  <si>
    <t>Legacy AIN 6020022025 no longer exists. New AIN 6020022027 has no data yet.</t>
  </si>
  <si>
    <t>4251100188</t>
  </si>
  <si>
    <t>4481.0 APPIAN WAY EL SOBRANTE CA 94803-2200</t>
  </si>
  <si>
    <t>4252 Crenshaw LP</t>
  </si>
  <si>
    <t>24-199</t>
  </si>
  <si>
    <t>Thrive Living</t>
  </si>
  <si>
    <t>Magnum Real Estate Group</t>
  </si>
  <si>
    <t>22802520400000</t>
  </si>
  <si>
    <t>228-0252-040-0000</t>
  </si>
  <si>
    <t>4924 POLK ST NORTH HIGHLANDS CA 95660</t>
  </si>
  <si>
    <t>4930 POLK ST NORTH HIGHLANDS CA 95660</t>
  </si>
  <si>
    <t>4025-014-001</t>
  </si>
  <si>
    <t>9301 CRENSHAW BLVD INGLEWOOD CA 90305</t>
  </si>
  <si>
    <t>INGLEWOOD CA</t>
  </si>
  <si>
    <t>90305-2943</t>
  </si>
  <si>
    <t>9301 – 9609 Crenshaw Blvd, Inglewood, CA</t>
  </si>
  <si>
    <t>Stadium Village Apartments</t>
  </si>
  <si>
    <t>Four Units (Any Combination)</t>
  </si>
  <si>
    <t>INGLEWOOD</t>
  </si>
  <si>
    <t>TRACT NO 16139 LOT    1</t>
  </si>
  <si>
    <t>Multi-parcel (20)</t>
  </si>
  <si>
    <t>Montessa Apartments</t>
  </si>
  <si>
    <t>Affordable Housing Alliance II, Inc. dba Integrity Housing</t>
  </si>
  <si>
    <t>24-200</t>
  </si>
  <si>
    <t>Ascenda Capital</t>
  </si>
  <si>
    <t>Integrity Housing</t>
  </si>
  <si>
    <t>343 Moon River Pl, Vacaville, CA 95687</t>
  </si>
  <si>
    <t>4025-014-002</t>
  </si>
  <si>
    <t>9309 CRENSHAW BLVD INGLEWOOD CA 90305</t>
  </si>
  <si>
    <t>90305-2951</t>
  </si>
  <si>
    <t>TRACT NO 16139 LOT    2</t>
  </si>
  <si>
    <t>4025-014-003</t>
  </si>
  <si>
    <t>9317 CRENSHAW BLVD INGLEWOOD CA 90305</t>
  </si>
  <si>
    <t>90305-2959</t>
  </si>
  <si>
    <t>Fallbrook Trail Apartments</t>
  </si>
  <si>
    <t>1735 South Mission LP</t>
  </si>
  <si>
    <t>24-219</t>
  </si>
  <si>
    <t>TRACT NO 16139 LOT    3</t>
  </si>
  <si>
    <t>AOF</t>
  </si>
  <si>
    <t>Pacific Affordable Housing Corp</t>
  </si>
  <si>
    <t>1735 S Mission Rd, Fallbrook, CA 92028</t>
  </si>
  <si>
    <t>4025-014-004</t>
  </si>
  <si>
    <t>9325 CRENSHAW BLVD INGLEWOOD CA 90305</t>
  </si>
  <si>
    <t>90305-2964</t>
  </si>
  <si>
    <t>TRACT NO 16139 LOT    4</t>
  </si>
  <si>
    <t>4025-014-005</t>
  </si>
  <si>
    <t>9333 CRENSHAW BLVD INGLEWOOD CA 90305</t>
  </si>
  <si>
    <t>90305-2969</t>
  </si>
  <si>
    <t>Hacienda Investors LP</t>
  </si>
  <si>
    <t>24-220</t>
  </si>
  <si>
    <t>TRACT NO 16139 LOT    5</t>
  </si>
  <si>
    <t>GHC Housing Partners</t>
  </si>
  <si>
    <t>Foundation for Affordable Housing</t>
  </si>
  <si>
    <t>4025-014-006</t>
  </si>
  <si>
    <t>9341 CRENSHAW BLVD INGLEWOOD CA 90305</t>
  </si>
  <si>
    <t>90305-2970</t>
  </si>
  <si>
    <t>TRACT NO 16139 LOT    6</t>
  </si>
  <si>
    <t>24-221</t>
  </si>
  <si>
    <t>4025-014-007</t>
  </si>
  <si>
    <t>9401 CRENSHAW BLVD INGLEWOOD CA 90305</t>
  </si>
  <si>
    <t>90305-2979</t>
  </si>
  <si>
    <t>TRACT NO 16139 LOT    7</t>
  </si>
  <si>
    <t>Preservation Program</t>
  </si>
  <si>
    <t>Project Sponsor</t>
  </si>
  <si>
    <t>Jurisdiction</t>
  </si>
  <si>
    <t>Affordable Units</t>
  </si>
  <si>
    <t>4025-014-008</t>
  </si>
  <si>
    <t>9409 CRENSHAW BLVD INGLEWOOD CA 90305</t>
  </si>
  <si>
    <t>90305-2980</t>
  </si>
  <si>
    <t>TRACT NO 16139 LOT    8</t>
  </si>
  <si>
    <t>WTEPP</t>
  </si>
  <si>
    <t>Eden Housing</t>
  </si>
  <si>
    <t>16455 East 14th Street</t>
  </si>
  <si>
    <t>Unincorporated Alameda County (Ashland)</t>
  </si>
  <si>
    <t>UrbanCore</t>
  </si>
  <si>
    <t>482 40th Street</t>
  </si>
  <si>
    <t>Urban Core</t>
  </si>
  <si>
    <t>1848-1860 E. 25th Street</t>
  </si>
  <si>
    <t>UbranCore</t>
  </si>
  <si>
    <t>763 Blossom Way</t>
  </si>
  <si>
    <t>BRIDGE Housing</t>
  </si>
  <si>
    <t>500 King Road</t>
  </si>
  <si>
    <t>The Arbors Apartments</t>
  </si>
  <si>
    <t>Post Arbors Santa Ana LP</t>
  </si>
  <si>
    <t>Jonathan Rose Companies</t>
  </si>
  <si>
    <t>1919 Fruitdale Avenue</t>
  </si>
  <si>
    <t>24-222</t>
  </si>
  <si>
    <t>Post Investment Group</t>
  </si>
  <si>
    <t>Ethos Real Estate</t>
  </si>
  <si>
    <t>81 Mayhew Way</t>
  </si>
  <si>
    <t>Unincorporated Contra Costa County (Walnut Creek)</t>
  </si>
  <si>
    <t>1100-1200 E. Fairhaven Avenue, Santa Ana, CA</t>
  </si>
  <si>
    <t>Housing Preservation Pilot</t>
  </si>
  <si>
    <t>San Francisco Community Land Trust</t>
  </si>
  <si>
    <t>320-324 14th Street</t>
  </si>
  <si>
    <t>4025-014-009</t>
  </si>
  <si>
    <t>9417 CRENSHAW BLVD INGLEWOOD CA 90305</t>
  </si>
  <si>
    <t>South Bay Community Land Trust</t>
  </si>
  <si>
    <t>1718 Virginia Ave</t>
  </si>
  <si>
    <t>90305-2981</t>
  </si>
  <si>
    <t>TRACT NO 16139 LOT    9</t>
  </si>
  <si>
    <t>4025-014-010</t>
  </si>
  <si>
    <t>9425 CRENSHAW BLVD INGLEWOOD CA 90305</t>
  </si>
  <si>
    <t>90305-2982</t>
  </si>
  <si>
    <t>TRACT NO 16139 LOT   10</t>
  </si>
  <si>
    <t>BG Apartments Investors LP</t>
  </si>
  <si>
    <t>Huntington Park</t>
  </si>
  <si>
    <t>24-223</t>
  </si>
  <si>
    <t>4025-014-011</t>
  </si>
  <si>
    <t>9433 CRENSHAW BLVD INGLEWOOD CA 90305</t>
  </si>
  <si>
    <t>90305-2983</t>
  </si>
  <si>
    <t>TRACT NO 16139 LOT   11</t>
  </si>
  <si>
    <t>4025-014-012</t>
  </si>
  <si>
    <t>9441 CRENSHAW BLVD INGLEWOOD CA 90305</t>
  </si>
  <si>
    <t>90305-2984</t>
  </si>
  <si>
    <t>RMG Fee Avalon, LP</t>
  </si>
  <si>
    <t>24-252</t>
  </si>
  <si>
    <t>TRACT NO 16139 LOT   12</t>
  </si>
  <si>
    <t>RMG Housing</t>
  </si>
  <si>
    <t>DECRO Corporation</t>
  </si>
  <si>
    <t>4025-014-013</t>
  </si>
  <si>
    <t>9501 CRENSHAW BLVD INGLEWOOD CA 90305</t>
  </si>
  <si>
    <t>90305-2985</t>
  </si>
  <si>
    <t>TRACT NO 16139 LOT   13</t>
  </si>
  <si>
    <t>4025-014-014</t>
  </si>
  <si>
    <t>9509 CRENSHAW BLVD INGLEWOOD CA 90305</t>
  </si>
  <si>
    <t>90305-2986</t>
  </si>
  <si>
    <t>BIF NON OZ 4209 WESTERN AVE, LP</t>
  </si>
  <si>
    <t>24-253</t>
  </si>
  <si>
    <t>TRACT NO 16139 LOT   14</t>
  </si>
  <si>
    <t>4025-014-015</t>
  </si>
  <si>
    <t>9517 CRENSHAW BLVD INGLEWOOD CA 90305</t>
  </si>
  <si>
    <t>90305-2987</t>
  </si>
  <si>
    <t>TRACT NO 16139 LOT   15</t>
  </si>
  <si>
    <t>BIF NON OZ 1100 MLK BLK, LP</t>
  </si>
  <si>
    <t>24-254</t>
  </si>
  <si>
    <t>4025-014-016</t>
  </si>
  <si>
    <t>9525 CRENSHAW BLVD INGLEWOOD CA 90305</t>
  </si>
  <si>
    <t>90305-2988</t>
  </si>
  <si>
    <t>TRACT NO 16139 LOT   16</t>
  </si>
  <si>
    <t>4025-014-017</t>
  </si>
  <si>
    <t>9533 CRENSHAW BLVD INGLEWOOD CA 90305</t>
  </si>
  <si>
    <t>90305-2989</t>
  </si>
  <si>
    <t>TRACT NO 16139 LOT   17</t>
  </si>
  <si>
    <t>Appian Terrace Apartments</t>
  </si>
  <si>
    <t>APPIAN LP</t>
  </si>
  <si>
    <t>24-277</t>
  </si>
  <si>
    <t>Tesseract Capital Group</t>
  </si>
  <si>
    <t>4481 Appian Way, El Sobrante, CA 94803</t>
  </si>
  <si>
    <t>4025-014-018</t>
  </si>
  <si>
    <t>9541 CRENSHAW BLVD INGLEWOOD CA 90305</t>
  </si>
  <si>
    <t>90305-2990</t>
  </si>
  <si>
    <t>TRACT NO 16139 LOT   18</t>
  </si>
  <si>
    <t>4025-015-001</t>
  </si>
  <si>
    <t>9601 CRENSHAW BLVD INGLEWOOD CA 90305</t>
  </si>
  <si>
    <t>90305-3142</t>
  </si>
  <si>
    <t>TRACT NO 16139 LOT   19</t>
  </si>
  <si>
    <t>Sierra Park Apartments</t>
  </si>
  <si>
    <t>Sierra Park LP, a California Limited Partnership</t>
  </si>
  <si>
    <t>Unincorporated</t>
  </si>
  <si>
    <t>24-278</t>
  </si>
  <si>
    <t>4930 Polk St, North Highlands, CA 95660</t>
  </si>
  <si>
    <t>4025-015-002</t>
  </si>
  <si>
    <t>9609 CRENSHAW BLVD INGLEWOOD CA 90305</t>
  </si>
  <si>
    <t>90305-3153</t>
  </si>
  <si>
    <t>TRACT NO 16139 LOT   20</t>
  </si>
  <si>
    <t>BIF NON OZ 7524 S HOOVER ST, LP</t>
  </si>
  <si>
    <t>24-279</t>
  </si>
  <si>
    <t>5183-013-023</t>
  </si>
  <si>
    <t>2330 E 3RD ST</t>
  </si>
  <si>
    <t>90033-4012</t>
  </si>
  <si>
    <t>2330 E. 3rd Street, Los Angeles, CA</t>
  </si>
  <si>
    <t>2330 E. 3rd Street Apartments</t>
  </si>
  <si>
    <t>Vacant Land</t>
  </si>
  <si>
    <t>Legacy AIN 5183013001 consolidated to 5183013023</t>
  </si>
  <si>
    <t>2321-001-019</t>
  </si>
  <si>
    <t>12300 SHERMAN WAY LOS ANGELES CA 91605</t>
  </si>
  <si>
    <t>91605-5527</t>
  </si>
  <si>
    <t>12300 Sherman Way, North Hollywood, CA 91605</t>
  </si>
  <si>
    <t>Marquee Apartments</t>
  </si>
  <si>
    <t>LOT COM AT SW COR OF LOT 1 TR NO 28781 TH N 89¢56'39" W TO SE LINE OF HOLLYWOOD FRWY TH NE THEREON TO W LINE OF SD LOT TH N AND FOLLOWING BDRY LINE OF SD LOT TO BEG   ALL OF LOT 1 TRACT NO 28781 AND PART OF LOT 7 TRACT NO 2514 AND PART OF LOT 14 TRACT NO 2198</t>
  </si>
  <si>
    <t>GC 1422-1428 6th, LP</t>
  </si>
  <si>
    <t>Santa Monica</t>
  </si>
  <si>
    <t>24-280</t>
  </si>
  <si>
    <t>Gortikov Capital</t>
  </si>
  <si>
    <t>6005-021-032</t>
  </si>
  <si>
    <t>6200 S BROADWAY LOS ANGELES CA 90003</t>
  </si>
  <si>
    <t>90003-1430</t>
  </si>
  <si>
    <t>6200 S Broadway, Los Angeles, CA</t>
  </si>
  <si>
    <t>6200 S. Broadway Apartments</t>
  </si>
  <si>
    <t>100V</t>
  </si>
  <si>
    <t>WALTERS' MAIN ST AND MONETA AVE TRACT NO 2 EX OF ST LOTS 181 AND LOT  182</t>
  </si>
  <si>
    <t>Data Source: CoStar</t>
  </si>
  <si>
    <t>https://www.1422on6th.com/</t>
  </si>
  <si>
    <t>5021-009-036</t>
  </si>
  <si>
    <t>4238 S WESTERN AVE LOS ANGELES CA 90062</t>
  </si>
  <si>
    <t>90062-1642</t>
  </si>
  <si>
    <t>4228 Western Avenue, Los Angeles, CA</t>
  </si>
  <si>
    <t>4228 Western Ave. Apartments</t>
  </si>
  <si>
    <t>DARTMOUTH SQUARE LOTS 7, 8 AND 9</t>
  </si>
  <si>
    <t>Project Data</t>
  </si>
  <si>
    <t>Property Asking Rent</t>
  </si>
  <si>
    <t>Submarket 2-4 Star Asking Rent</t>
  </si>
  <si>
    <t>TCAC 80% AMI Income Level</t>
  </si>
  <si>
    <t>GC 1422-1432 7th, LP</t>
  </si>
  <si>
    <t>Current Discount from TCAC 80% AMI</t>
  </si>
  <si>
    <t>5020-025-039</t>
  </si>
  <si>
    <t>24-281</t>
  </si>
  <si>
    <t>4301 S VERMONT AVE LOS ANGELES CA 90037</t>
  </si>
  <si>
    <t>90037-2411</t>
  </si>
  <si>
    <t>4327 S Vermont, Los Angeles, CA</t>
  </si>
  <si>
    <t>4327 S. Vermont Apartments</t>
  </si>
  <si>
    <t>% Discount from 80% AMI</t>
  </si>
  <si>
    <t>Current Discount from Market</t>
  </si>
  <si>
    <t>P.M.6-70 LOT B</t>
  </si>
  <si>
    <t>When They Applied CMFA</t>
  </si>
  <si>
    <t>Confirmed WTE?</t>
  </si>
  <si>
    <t>Link to PDF</t>
  </si>
  <si>
    <t>PDF Name</t>
  </si>
  <si>
    <t>Rental Data As Of</t>
  </si>
  <si>
    <t>Studio</t>
  </si>
  <si>
    <t>1 BR</t>
  </si>
  <si>
    <t>2 BR</t>
  </si>
  <si>
    <t>3 BR</t>
  </si>
  <si>
    <t>6083-001-009</t>
  </si>
  <si>
    <t>110 E IMPERIAL HWY LOS ANGELES CA 90061</t>
  </si>
  <si>
    <t>90061-2543</t>
  </si>
  <si>
    <t>110 Imperial Highway, Los Angeles, CA</t>
  </si>
  <si>
    <t>2023 Imperial Apartments</t>
  </si>
  <si>
    <t>Lgt Manf.Sm. EQPT. Manuf Sm.Shps Instr.Manuf. Prnt Plnts</t>
  </si>
  <si>
    <t>Industrial</t>
  </si>
  <si>
    <t>LINQ Apartments</t>
  </si>
  <si>
    <t>TRACT NO 3598 LOT COM AT MOST S COR OF LOT 9 TH N 54 DEG 17 M1N 2O SEC W 145.46 FT TH N ON A CURVE CONCAVE TO E RAD1US EQUALS 4O FT 37.51 FT TH N 44 DEG 38 M1N 56 SEC E 11.31 FT TH N 89 DEG 38 M1N 56 SEC E 126.42 FT TH S O DEG 33 M1N 3O SEC E 126.89 FT TO BEG PART OF LOT    9</t>
  </si>
  <si>
    <t>01419405</t>
  </si>
  <si>
    <t>400 CANAL ST SAN RAFAEL CA 94901-4173</t>
  </si>
  <si>
    <t>Linq Apartments - Stats.pdf</t>
  </si>
  <si>
    <t>GC 1423-1425 6th, LP</t>
  </si>
  <si>
    <t>24-282</t>
  </si>
  <si>
    <t>5180-001-024</t>
  </si>
  <si>
    <t>228 N SOTO ST</t>
  </si>
  <si>
    <t>90033-2915</t>
  </si>
  <si>
    <t>228 N Soto Street, Los Angeles, CA</t>
  </si>
  <si>
    <t>Soto Apartments</t>
  </si>
  <si>
    <t>Legacy AIN 5180001013 consolidated to 5180001024</t>
  </si>
  <si>
    <t>39626156</t>
  </si>
  <si>
    <t>2414 N TUSTIN AVE SANTA ANA CA 92705-1602</t>
  </si>
  <si>
    <t>39626155</t>
  </si>
  <si>
    <t>11-036</t>
  </si>
  <si>
    <t>SANTA ANA</t>
  </si>
  <si>
    <t>5109-003-014</t>
  </si>
  <si>
    <t>4752 S MAIN ST LOS ANGELES CA 90037</t>
  </si>
  <si>
    <t>90037-3251</t>
  </si>
  <si>
    <t>4752 Main St, Los Angeles, CA 90037</t>
  </si>
  <si>
    <t>4752 Main Street Apartments</t>
  </si>
  <si>
    <t>Parking Lots (Commercial Use Properties)</t>
  </si>
  <si>
    <t>TRACT # 2816 LOT    1</t>
  </si>
  <si>
    <t>Hillsdale Gardens Apartments</t>
  </si>
  <si>
    <t>GC 1522 6th, LP</t>
  </si>
  <si>
    <t>24-283</t>
  </si>
  <si>
    <t>Hillsdale Garden - Stats.pdf</t>
  </si>
  <si>
    <t>5109-003-001</t>
  </si>
  <si>
    <t>4760 S MAIN ST LOS ANGELES CA 90037</t>
  </si>
  <si>
    <t>LINN HOME TRACT W 75 FT OF LOTS 1 AND LOT    2</t>
  </si>
  <si>
    <t>4610304300</t>
  </si>
  <si>
    <t>6171.0 MISSION GORGE RD SAN DIEGO CA 92120-3426</t>
  </si>
  <si>
    <t>GC 1537 7th, LP</t>
  </si>
  <si>
    <t>24-284</t>
  </si>
  <si>
    <t>039-481-250</t>
  </si>
  <si>
    <t>3500 Edison St, San Mateo, CA</t>
  </si>
  <si>
    <t>039-482-130</t>
  </si>
  <si>
    <t>Waterbend Apartments</t>
  </si>
  <si>
    <t>GC 2001-2029 Olympic, LP</t>
  </si>
  <si>
    <t>24-285</t>
  </si>
  <si>
    <t>042-112-240</t>
  </si>
  <si>
    <t>Waterbend - Stats.pdf</t>
  </si>
  <si>
    <t>242 36TH AVE SAN MATEO</t>
  </si>
  <si>
    <t>042-113-250</t>
  </si>
  <si>
    <t>3640 EDISON ST</t>
  </si>
  <si>
    <t>042-121-090</t>
  </si>
  <si>
    <t>186 36TH AVE SAN MATEO</t>
  </si>
  <si>
    <t>Post Harbor Terrace, LP</t>
  </si>
  <si>
    <t>24-286</t>
  </si>
  <si>
    <t>042-122-050</t>
  </si>
  <si>
    <t>3675 EDISON ST SAN MATEO</t>
  </si>
  <si>
    <t>Ventana Residences Apartments</t>
  </si>
  <si>
    <t>Ventana Residences - Stats.pdf</t>
  </si>
  <si>
    <t>428-16-49</t>
  </si>
  <si>
    <t>21701 FOOTHILL BLVD, HAYWARD, CA 94541</t>
  </si>
  <si>
    <t>SV INGLEWOOD HOLDINGS, L.P., a California limited partnership</t>
  </si>
  <si>
    <t>Inglewood</t>
  </si>
  <si>
    <t>24-361</t>
  </si>
  <si>
    <t>Community HousingWorks</t>
  </si>
  <si>
    <t>9301 – 9609 Crenshaw
Blvd, Inglewood, CA</t>
  </si>
  <si>
    <t>5351441500</t>
  </si>
  <si>
    <t>699.0 14TH ST SAN DIEGO CA 92101-7586</t>
  </si>
  <si>
    <t>5473131800</t>
  </si>
  <si>
    <t>220 47TH ST SAN DIEGO CA 92102-5037</t>
  </si>
  <si>
    <t>2330 3rd Street Apartments L.P.</t>
  </si>
  <si>
    <t>24-363</t>
  </si>
  <si>
    <t>Terra Capital Development Group LLC</t>
  </si>
  <si>
    <t>Pacific Housing</t>
  </si>
  <si>
    <t>28501900330000</t>
  </si>
  <si>
    <t>Canyon Villa Apartment Homes</t>
  </si>
  <si>
    <t>1201.0 FULTON AVE SACRAMENTO CA 95825-7386</t>
  </si>
  <si>
    <t>Canyon Villas - Stats.pdf</t>
  </si>
  <si>
    <t>26003700120000</t>
  </si>
  <si>
    <t>6930.0 FAIR OAKS BLVD CARMICHAEL CA 95608-3369</t>
  </si>
  <si>
    <t>BIF NON OZ 6200 BROADWAY BLK, LP</t>
  </si>
  <si>
    <t>24-379</t>
  </si>
  <si>
    <t>7157-031-001</t>
  </si>
  <si>
    <t>2697 E 56TH WAY LONG BEACH CA 90805</t>
  </si>
  <si>
    <t>LONG BEACH CA</t>
  </si>
  <si>
    <t>90805-5068</t>
  </si>
  <si>
    <t>5601 North Paramount Boulevard, Long Beach, Los Angeles</t>
  </si>
  <si>
    <t>Seaport Village Apartments</t>
  </si>
  <si>
    <t>LONG BEACH</t>
  </si>
  <si>
    <t>TRACT NO 27326 LOT    1</t>
  </si>
  <si>
    <t>Multi-parcel (33)</t>
  </si>
  <si>
    <t>7157-031-002</t>
  </si>
  <si>
    <t>2687 E 56TH WAY LONG BEACH CA 90805</t>
  </si>
  <si>
    <t>90805-7003</t>
  </si>
  <si>
    <t>TRACT NO 27326 LOT    2</t>
  </si>
  <si>
    <t>Kenmore II Apartments</t>
  </si>
  <si>
    <t>BIF NON OZ 4228 WESTERN AVE, LP</t>
  </si>
  <si>
    <t>24-380</t>
  </si>
  <si>
    <t>Kenmore - Stats.pdf</t>
  </si>
  <si>
    <t>7157-031-003</t>
  </si>
  <si>
    <t>2677 E 56TH WAY LONG BEACH CA 90805</t>
  </si>
  <si>
    <t>90805-5067</t>
  </si>
  <si>
    <t>TRACT NO 27326 LOT    3</t>
  </si>
  <si>
    <t>7157-031-004</t>
  </si>
  <si>
    <t>2667 E 56TH WAY LONG BEACH CA 90805</t>
  </si>
  <si>
    <t>90805-5066</t>
  </si>
  <si>
    <t>IF OZ 4300 S VERMONT AVE BLK LP, a Delaware limited partnership</t>
  </si>
  <si>
    <t>24-381</t>
  </si>
  <si>
    <t>TRACT NO 27326 LOT    4</t>
  </si>
  <si>
    <t>Pacific Trails Apartments</t>
  </si>
  <si>
    <t>7157-031-005</t>
  </si>
  <si>
    <t>2657 E 56TH WAY LONG BEACH CA 90805</t>
  </si>
  <si>
    <t>90805-5096</t>
  </si>
  <si>
    <t>TRACT NO 27326 LOT    5</t>
  </si>
  <si>
    <t>BIF NON OZ 2000 Imperial Hwy Blk, LP</t>
  </si>
  <si>
    <t>24-382</t>
  </si>
  <si>
    <t>Pacific Trails (Now Langdon Park on Arrow) - Stats.pdf</t>
  </si>
  <si>
    <t>7157-031-006</t>
  </si>
  <si>
    <t>5679 LANGPORT AVE LONG BEACH CA 90805</t>
  </si>
  <si>
    <t>90805-7012</t>
  </si>
  <si>
    <t>TRACT NO 27326 LOT    6</t>
  </si>
  <si>
    <t>7157-031-007</t>
  </si>
  <si>
    <t>5649 LANGPORT AVE LONG BEACH CA 90805</t>
  </si>
  <si>
    <t>90805-5064</t>
  </si>
  <si>
    <t>Post Marquee North Hollywood, LP</t>
  </si>
  <si>
    <t>24-383</t>
  </si>
  <si>
    <t>TRACT NO 27326 LOT    7</t>
  </si>
  <si>
    <t>Edgemont Apartments</t>
  </si>
  <si>
    <t>7157-031-008</t>
  </si>
  <si>
    <t>5639 LANGPORT AVE LONG BEACH CA 90805</t>
  </si>
  <si>
    <t>90805-7010</t>
  </si>
  <si>
    <t>TRACT NO 27326 LOT    8</t>
  </si>
  <si>
    <t>Edgemont Apartments - Stats.pdf</t>
  </si>
  <si>
    <t>Meridian Apartments</t>
  </si>
  <si>
    <t>400 Meridian, LP, a California limited partnership</t>
  </si>
  <si>
    <t>Marin</t>
  </si>
  <si>
    <t>24-384</t>
  </si>
  <si>
    <t>400 Canal St, San Rafael, CA 94901</t>
  </si>
  <si>
    <t>7157-031-009</t>
  </si>
  <si>
    <t>5599 LANGPORT AVE LONG BEACH CA 90805</t>
  </si>
  <si>
    <t>90805-7009</t>
  </si>
  <si>
    <t>TRACT NO 27326 LOT    9</t>
  </si>
  <si>
    <t>7157-031-010</t>
  </si>
  <si>
    <t>5579 LANGPORT AVE LONG BEACH CA 90805</t>
  </si>
  <si>
    <t>90805-5063</t>
  </si>
  <si>
    <t>TRACT NO 27326 LOT   10</t>
  </si>
  <si>
    <t>4752 Main, LP</t>
  </si>
  <si>
    <t>24-399</t>
  </si>
  <si>
    <t>7157-031-011</t>
  </si>
  <si>
    <t>5549 LANGPORT AVE LONG BEACH CA 90805</t>
  </si>
  <si>
    <t>90805-7007</t>
  </si>
  <si>
    <t>Santa Monica Portfolio - Stats.pdf</t>
  </si>
  <si>
    <t>TRACT NO 27326 LOT   11</t>
  </si>
  <si>
    <t>7157-031-012</t>
  </si>
  <si>
    <t>5539 LANGPORT AVE LONG BEACH CA 90805</t>
  </si>
  <si>
    <t>90805-5061</t>
  </si>
  <si>
    <t>TRACT NO 27326 LOT   12</t>
  </si>
  <si>
    <t>Horizon Apartments</t>
  </si>
  <si>
    <t>BWF II ETHOS CA HORIZON LP, a Delaware limited partnership</t>
  </si>
  <si>
    <t>7157-031-013</t>
  </si>
  <si>
    <t>2656 E 55TH WAY LONG BEACH CA 90805</t>
  </si>
  <si>
    <t>90805-5079</t>
  </si>
  <si>
    <t>24-410</t>
  </si>
  <si>
    <t>Bridge Investment Group</t>
  </si>
  <si>
    <t>Affordable Housing Access Inc</t>
  </si>
  <si>
    <t>2414 N Tustin Ave, Santa Ana, CA 92705</t>
  </si>
  <si>
    <t>TRACT NO 27326 LOT   13</t>
  </si>
  <si>
    <t>The Falls at Arden Apartments</t>
  </si>
  <si>
    <t>7157-031-014</t>
  </si>
  <si>
    <t>2666 E 55TH WAY LONG BEACH CA 90805</t>
  </si>
  <si>
    <t>90805-5080</t>
  </si>
  <si>
    <t>The Falls at Arden Apartments - Stats.pdf</t>
  </si>
  <si>
    <t>TRACT NO 27326 LOT   14</t>
  </si>
  <si>
    <t>Hillsdale Property LP</t>
  </si>
  <si>
    <t>24-411</t>
  </si>
  <si>
    <t>Vistria Group</t>
  </si>
  <si>
    <t>Pacific Housing, Inc.</t>
  </si>
  <si>
    <t>3500 Edison St, San Mateo, CA 94403</t>
  </si>
  <si>
    <t>7157-031-015</t>
  </si>
  <si>
    <t>2676 E 55TH WAY LONG BEACH CA 90805</t>
  </si>
  <si>
    <t>90805-5055</t>
  </si>
  <si>
    <t>TRACT NO 27326 LOT   15</t>
  </si>
  <si>
    <t>6171 Mission Gorge Apartments</t>
  </si>
  <si>
    <t>6171 Mission Gorge Owner LP, a California limited partnership</t>
  </si>
  <si>
    <t>7157-031-016</t>
  </si>
  <si>
    <t>2686 E 55TH WAY LONG BEACH CA 90805</t>
  </si>
  <si>
    <t>24-412</t>
  </si>
  <si>
    <t>90805-5084</t>
  </si>
  <si>
    <t>Impact Housing</t>
  </si>
  <si>
    <t>Las Palmas Housing &amp; Development Corporation</t>
  </si>
  <si>
    <t>6171 Mission Gorge Rd, San Diego, CA 92120</t>
  </si>
  <si>
    <t>TRACT NO 27326 LOT   16</t>
  </si>
  <si>
    <t>Horizon Apartments - Stats.pdf</t>
  </si>
  <si>
    <t>7157-031-017</t>
  </si>
  <si>
    <t>2696 E 55TH WAY LONG BEACH CA 90805</t>
  </si>
  <si>
    <t>90805-5074</t>
  </si>
  <si>
    <t>TRACT NO 27326 LOT   17</t>
  </si>
  <si>
    <t>EV 228 Soto, LP, a California limited partnership</t>
  </si>
  <si>
    <t>24-413</t>
  </si>
  <si>
    <t>Step Forward Comminities</t>
  </si>
  <si>
    <t>7157-031-018</t>
  </si>
  <si>
    <t>2666 E 56TH WAY LONG BEACH CA 90805</t>
  </si>
  <si>
    <t>90805-5073</t>
  </si>
  <si>
    <t>TRACT NO 27326 LOT   18</t>
  </si>
  <si>
    <t>7157-031-019</t>
  </si>
  <si>
    <t>Market Street Village Apartments</t>
  </si>
  <si>
    <t>2676 E 56TH WAY LONG BEACH CA 90805</t>
  </si>
  <si>
    <t>699 14TH Street CSLC LP</t>
  </si>
  <si>
    <t>90805-5072</t>
  </si>
  <si>
    <t>24-427</t>
  </si>
  <si>
    <t>TRACT NO 27326 LOT   19</t>
  </si>
  <si>
    <t>Community Solutions</t>
  </si>
  <si>
    <t>The Arbors - Stats.pdf</t>
  </si>
  <si>
    <t>699 14th Street, San Diego, CA</t>
  </si>
  <si>
    <t>7157-031-020</t>
  </si>
  <si>
    <t>2686 E 56TH WAY LONG BEACH CA 90805</t>
  </si>
  <si>
    <t>90805-7002</t>
  </si>
  <si>
    <t>TRACT NO 27326 LOT   20</t>
  </si>
  <si>
    <t>The Carla Apartments</t>
  </si>
  <si>
    <t>1201 Fulton Ave LP</t>
  </si>
  <si>
    <t>7157-031-021</t>
  </si>
  <si>
    <t>2696 E 56TH ST LONG BEACH CA 90805</t>
  </si>
  <si>
    <t>90805-5058</t>
  </si>
  <si>
    <t>24-428</t>
  </si>
  <si>
    <t>Trion Properties, Inc.</t>
  </si>
  <si>
    <t>Riverside Charitable Corporation</t>
  </si>
  <si>
    <t>1201 Fulton Ave, Sacramento, CA 95825</t>
  </si>
  <si>
    <t>TRACT NO 27326 LOT   21</t>
  </si>
  <si>
    <t>Candlewood North Apartments</t>
  </si>
  <si>
    <t>7157-031-022</t>
  </si>
  <si>
    <t>Candlewood North Apartments - Stats.pdf</t>
  </si>
  <si>
    <t>2667 E 56TH ST LONG BEACH CA 90805</t>
  </si>
  <si>
    <t>90805-5089</t>
  </si>
  <si>
    <t>Creekside Villas Apartments</t>
  </si>
  <si>
    <t>Post Creekside, LP</t>
  </si>
  <si>
    <t>24-429</t>
  </si>
  <si>
    <t>TRACT NO 27326 LOT   22</t>
  </si>
  <si>
    <t>220 47th St, San Diego, CA 92102</t>
  </si>
  <si>
    <t>7157-031-023</t>
  </si>
  <si>
    <t>2677 E 56TH ST LONG BEACH CA 90805</t>
  </si>
  <si>
    <t>90805-5071</t>
  </si>
  <si>
    <t>TRACT NO 27326 LOT   23</t>
  </si>
  <si>
    <t>Skylark Place by Trion Living Apartments</t>
  </si>
  <si>
    <t>Trion Skylark Properties, LP</t>
  </si>
  <si>
    <t>24-430</t>
  </si>
  <si>
    <t>6930 Fair Oaks Blvd, Carmichael, CA 95608</t>
  </si>
  <si>
    <t>Chaparral Apartments</t>
  </si>
  <si>
    <t>7157-031-024</t>
  </si>
  <si>
    <t>2687 E 56TH ST LONG BEACH CA 90805</t>
  </si>
  <si>
    <t>90805-5093</t>
  </si>
  <si>
    <t>TRACT NO 27326 LOT   24</t>
  </si>
  <si>
    <t>Chaparall Apartments - Stats.pdf</t>
  </si>
  <si>
    <t>1973/1991</t>
  </si>
  <si>
    <t>7157-031-025</t>
  </si>
  <si>
    <t>2697 E 56TH ST LONG BEACH CA 90805</t>
  </si>
  <si>
    <t>90805-5095</t>
  </si>
  <si>
    <t>Avanath Seaport, LP</t>
  </si>
  <si>
    <t>Long Beach</t>
  </si>
  <si>
    <t>24-442</t>
  </si>
  <si>
    <t>TRACT NO 27326 LOT   25</t>
  </si>
  <si>
    <t>Avanath Capital</t>
  </si>
  <si>
    <t>7157-031-026</t>
  </si>
  <si>
    <t>2666 E 56TH ST LONG BEACH CA 90805</t>
  </si>
  <si>
    <t>90805-5088</t>
  </si>
  <si>
    <t>TRACT NO 27326 LOT   26</t>
  </si>
  <si>
    <t>7157-031-027</t>
  </si>
  <si>
    <t>2676 E 56TH ST LONG BEACH CA 90805</t>
  </si>
  <si>
    <t>90805-5060</t>
  </si>
  <si>
    <t>Chadwick Apartments</t>
  </si>
  <si>
    <t>TRACT NO 27326 LOT   27</t>
  </si>
  <si>
    <t>1457 Main Street Apartments</t>
  </si>
  <si>
    <t>1457 Main Owner LP</t>
  </si>
  <si>
    <t>24-443</t>
  </si>
  <si>
    <t>Open House Group Co., Ltd</t>
  </si>
  <si>
    <t>1457 N Main St, Los Angeles, CA 90012</t>
  </si>
  <si>
    <t>Chadwick Apartments - Stats.pdf</t>
  </si>
  <si>
    <t>7157-031-028</t>
  </si>
  <si>
    <t>2686 E 56TH ST LONG BEACH CA 90805</t>
  </si>
  <si>
    <t>90805-5092</t>
  </si>
  <si>
    <t>TRACT NO 27326 LOT   28</t>
  </si>
  <si>
    <t>7157-031-029</t>
  </si>
  <si>
    <t>Viewpoint Apartments</t>
  </si>
  <si>
    <t>651 Addison LLC</t>
  </si>
  <si>
    <t>24-470</t>
  </si>
  <si>
    <t>TRACT NO 27326 LOT   29</t>
  </si>
  <si>
    <t>Bridge Housing</t>
  </si>
  <si>
    <t>651 Addison St, Berkeley, CA 94710</t>
  </si>
  <si>
    <t>7157-031-030</t>
  </si>
  <si>
    <t>2667 E 55TH WAY LONG BEACH CA 90805</t>
  </si>
  <si>
    <t>90805-5081</t>
  </si>
  <si>
    <t>TRACT NO 27326 LOT   30</t>
  </si>
  <si>
    <t>Bella Vista at Hilltop Apartments</t>
  </si>
  <si>
    <t>https://bridgehousing.com/properties/viewpoint/</t>
  </si>
  <si>
    <t>7157-031-031</t>
  </si>
  <si>
    <t>2677 E 55TH WAY LONG BEACH CA 90805</t>
  </si>
  <si>
    <t>90805-5083</t>
  </si>
  <si>
    <t>TRACT NO 27326 LOT   31</t>
  </si>
  <si>
    <t>Bella Vista - Stats.pdf</t>
  </si>
  <si>
    <t>99 Ocean Avenue LP</t>
  </si>
  <si>
    <t>24-471</t>
  </si>
  <si>
    <t>Presidio Bay Ventures, LLC</t>
  </si>
  <si>
    <t>Pacific Housing, Inc</t>
  </si>
  <si>
    <t>99 OCEAN AVE SAN FRANCISCO, CA 94112-2548</t>
  </si>
  <si>
    <t>7157-031-032</t>
  </si>
  <si>
    <t>2687 E 55TH WAY LONG BEACH CA 90805</t>
  </si>
  <si>
    <t>90805-5057</t>
  </si>
  <si>
    <t>TRACT NO 27326 LOT   32</t>
  </si>
  <si>
    <t>7157-031-033</t>
  </si>
  <si>
    <t>2697 E 55TH WAY LONG BEACH CA 90805</t>
  </si>
  <si>
    <t>90805-5087</t>
  </si>
  <si>
    <t>TRACT NO 27326 LOT   33</t>
  </si>
  <si>
    <t>SoFi Los Gatos Creek Apartments</t>
  </si>
  <si>
    <t>BWF III Ethos CA Los Gatos Creek LP</t>
  </si>
  <si>
    <t>24-472</t>
  </si>
  <si>
    <t>Casa Major, Inc.</t>
  </si>
  <si>
    <t>2130 Southwest Expy, San Jose, CA 95126</t>
  </si>
  <si>
    <t>5409-005-030</t>
  </si>
  <si>
    <t>1457 N MAIN ST LOS ANGELES CA 90012</t>
  </si>
  <si>
    <t>90012-1914</t>
  </si>
  <si>
    <t>Food Processing Plants</t>
  </si>
  <si>
    <t>POR OF NEW DEPOT TR AND POR OF TR=3669 AND POR TR=10388 AND POR MR 2-504-505</t>
  </si>
  <si>
    <t>https://www.ethos-re.com/news/sofi-at-los-gatos-creek-adam-siegman-comments-on-affordable-housing</t>
  </si>
  <si>
    <t>https://www.losgatoslandingapts.com/</t>
  </si>
  <si>
    <t>56-1954-9</t>
  </si>
  <si>
    <t>2020 3RD ST BERKELEY 94710</t>
  </si>
  <si>
    <t>Post Chaparral, LP</t>
  </si>
  <si>
    <t>Palmdale</t>
  </si>
  <si>
    <t>24-473</t>
  </si>
  <si>
    <t>3004-004-033</t>
  </si>
  <si>
    <t>38441 5TH ST W PALMDALE CA 93551</t>
  </si>
  <si>
    <t>PALMDALE CA</t>
  </si>
  <si>
    <t>93551-4262</t>
  </si>
  <si>
    <t>38441 5th St W, Palmdale, CA 93551</t>
  </si>
  <si>
    <t>PALMDALE</t>
  </si>
  <si>
    <t>S 1/2 OF SE 1/4 OF NW 1/4 EX OF STS OF SEC 27 T6N R12W</t>
  </si>
  <si>
    <t>6954018</t>
  </si>
  <si>
    <t>99 OCEAN AVE SAN FRANCISCO CA 94112-2560</t>
  </si>
  <si>
    <t>HARKEN APARTMENTS</t>
  </si>
  <si>
    <t>25-065</t>
  </si>
  <si>
    <t>Prometheus Real Estate Group, Inc.</t>
  </si>
  <si>
    <t>5150 El Camino Real, Los Altos, CA</t>
  </si>
  <si>
    <t>6087-002-036</t>
  </si>
  <si>
    <t>11422 S BROADWAY LOS ANGELES CA 90061</t>
  </si>
  <si>
    <t>90061-1833</t>
  </si>
  <si>
    <t>11422 S Broadway, Los Angeles, CA 90061</t>
  </si>
  <si>
    <t>11422 Broadway Apartments</t>
  </si>
  <si>
    <t>Warehousing, Distribution, Storage</t>
  </si>
  <si>
    <t>33T0</t>
  </si>
  <si>
    <t>TR=3039 EX OF ST LOTS 23 THRU 29 AND POR OF LOT C BLK 20</t>
  </si>
  <si>
    <t>5049-009-082</t>
  </si>
  <si>
    <t>2533 S Mansfield Ave, Los Angeles, CA 90016</t>
  </si>
  <si>
    <t>Mansfield Micro Apartments</t>
  </si>
  <si>
    <t>Single</t>
  </si>
  <si>
    <t>010V</t>
  </si>
  <si>
    <t>333 Douglas Apartments</t>
  </si>
  <si>
    <t>TR=1566 EX ALLEYS LOT 81, EX ST LOTS 82, 83, EX ST AND ALLEY LOTS 84 AND 85</t>
  </si>
  <si>
    <t>333 Douglas Street, LP, a California limited partnership</t>
  </si>
  <si>
    <t>Grant up to $10,000 (Charitable Affordable Housing)</t>
  </si>
  <si>
    <t>25-080</t>
  </si>
  <si>
    <t>Visionary Development Enterprises LLC</t>
  </si>
  <si>
    <t>333 Douglas St, Los Angeles, CA</t>
  </si>
  <si>
    <t>1701000273</t>
  </si>
  <si>
    <t>3081.0 N MAIN ST WALNUT CREEK CA 94597-1940</t>
  </si>
  <si>
    <t>5160-009-020</t>
  </si>
  <si>
    <t>333 DOUGLAS ST LOS ANGELES CA 90026</t>
  </si>
  <si>
    <t>90026-5632</t>
  </si>
  <si>
    <t>BIF IMPACT OZ 1100 BROADWAY BLK, LP</t>
  </si>
  <si>
    <t>L A IMP COS SUB OF PARTS OF LOTS 2,3,7 AND 8 BLK 39 H S LOT   34 BLK   15</t>
  </si>
  <si>
    <t>25-081</t>
  </si>
  <si>
    <t>263-241-46</t>
  </si>
  <si>
    <t>7799 VALLEY VIEW ST LA PALMA</t>
  </si>
  <si>
    <t>The Enclave Apartments</t>
  </si>
  <si>
    <t>ENCLAVE LP, a California limited partnership</t>
  </si>
  <si>
    <t>5092-023-021</t>
  </si>
  <si>
    <t>920 S GRAMERCY PL LOS ANGELES CA 90019</t>
  </si>
  <si>
    <t>90019-2141</t>
  </si>
  <si>
    <t>25-082</t>
  </si>
  <si>
    <t>920 S. Gramercy Place, Los Angeles, CA</t>
  </si>
  <si>
    <t>The Eaves Apartments</t>
  </si>
  <si>
    <t>3081 N Main St, Walnut Creek, CA 94597</t>
  </si>
  <si>
    <t>COUNTRY CLUB PARK LOT   11 BLK    8</t>
  </si>
  <si>
    <t>12918108</t>
  </si>
  <si>
    <t>1250.0 S EUCLID ST ANAHEIM CA 92802-1907</t>
  </si>
  <si>
    <t>2533 Mansfield Owner, L.P., a California limited partnership</t>
  </si>
  <si>
    <t>25-084</t>
  </si>
  <si>
    <t>CIM Group, LLC</t>
  </si>
  <si>
    <t>2764-001-013</t>
  </si>
  <si>
    <t>9830 RESEDA BLVD LOS ANGELES CA 91324</t>
  </si>
  <si>
    <t>91324-2060</t>
  </si>
  <si>
    <t>9830 Reseda Blvd, Northridge, CA 91324</t>
  </si>
  <si>
    <t>TRACT NO 27700 LOT    1</t>
  </si>
  <si>
    <t>2731-008-014</t>
  </si>
  <si>
    <t>10535 LINDLEY AVE LOS ANGELES CA 91326</t>
  </si>
  <si>
    <t>91326-3267</t>
  </si>
  <si>
    <t>10535 Lindley Ave, Granada Hills, CA 91326</t>
  </si>
  <si>
    <t>Lindley Parc Apartments</t>
  </si>
  <si>
    <t>Coronado Palms Apartments</t>
  </si>
  <si>
    <t>Coronado Owner, LP</t>
  </si>
  <si>
    <t>25-102</t>
  </si>
  <si>
    <t>TRACT NO 21000 LOT 4 AND S 1/2 OF LOT    5</t>
  </si>
  <si>
    <t>TriWest Multifamily</t>
  </si>
  <si>
    <t>1250 S. Euclid St., Anaheim, CA</t>
  </si>
  <si>
    <t>006312850</t>
  </si>
  <si>
    <t>4 Terrace View Ct, Daly City, CA 94015</t>
  </si>
  <si>
    <t>006312860</t>
  </si>
  <si>
    <t>35 Eastmoor Ave, Daly City, CA 94015</t>
  </si>
  <si>
    <t>Casa La Palma Apartments</t>
  </si>
  <si>
    <t>7777 Valley View, L.P., a California limited partnership</t>
  </si>
  <si>
    <t>25-103</t>
  </si>
  <si>
    <t>Mariman &amp; Co.</t>
  </si>
  <si>
    <t>AOF/Pacific Affordable Housing Corporation</t>
  </si>
  <si>
    <t>7777 Valley View Street, La Palma, CA</t>
  </si>
  <si>
    <t>006312870</t>
  </si>
  <si>
    <t>45 Eastmoor Ave, Daly City, CA 94015</t>
  </si>
  <si>
    <t>006312880</t>
  </si>
  <si>
    <t>55 Eastmoor Ave, Daly City, CA 94015</t>
  </si>
  <si>
    <t>920 Gramercy Upwell, LP, a Delaware limited partnership</t>
  </si>
  <si>
    <t>25-104</t>
  </si>
  <si>
    <t>Treehouse Community</t>
  </si>
  <si>
    <t>Butterfly’s Haven</t>
  </si>
  <si>
    <t>006312890</t>
  </si>
  <si>
    <t>65 Eastmoor Ave, Daly City, CA 94015</t>
  </si>
  <si>
    <t>006312900</t>
  </si>
  <si>
    <t>75 Eastmoor Ave, Daly City, CA 94015</t>
  </si>
  <si>
    <t>10535 Lindley Affordable L.P.</t>
  </si>
  <si>
    <t>25-116</t>
  </si>
  <si>
    <t>006312910</t>
  </si>
  <si>
    <t>85 Eastmoor Ave, Daly City, CA 94015</t>
  </si>
  <si>
    <t>006312920</t>
  </si>
  <si>
    <t>95 Eastmoor Ave, Daly City, CA 94015</t>
  </si>
  <si>
    <t>Post Candlewood North, LP</t>
  </si>
  <si>
    <t>25-117</t>
  </si>
  <si>
    <t>52082450</t>
  </si>
  <si>
    <t>1212 WHIPPLE AVE REDWOOD CITY CA 94062-1556</t>
  </si>
  <si>
    <t>5431A041</t>
  </si>
  <si>
    <t>5880 3rd St, San Francisco, CA 94124</t>
  </si>
  <si>
    <t>Terrace View Apartments</t>
  </si>
  <si>
    <t>SFF 4, LLC</t>
  </si>
  <si>
    <t>25-144</t>
  </si>
  <si>
    <t>5159020011-015</t>
  </si>
  <si>
    <t>26 Terrace View Ct, Daly City, CA 94015</t>
  </si>
  <si>
    <t>5159-020-026</t>
  </si>
  <si>
    <t>1540 W COURT ST</t>
  </si>
  <si>
    <t>90026-5510</t>
  </si>
  <si>
    <t>1540 W Court St, Los Angeles, CA 90026</t>
  </si>
  <si>
    <t>1540 W Court Apartments</t>
  </si>
  <si>
    <t>GLASSELL'S SUB OF LOT # 7 ETC BLOCK 39 HANCOCK SURVEY # 1 LOT 11 THRU 15 BLK G</t>
  </si>
  <si>
    <t>Legacy AIN 5159020011-015 consolidated to 5159020026</t>
  </si>
  <si>
    <t>5159-020-010</t>
  </si>
  <si>
    <t>1526 W COURT ST LOS ANGELES CA 90026</t>
  </si>
  <si>
    <t>SoFi Redwood Park Apartments</t>
  </si>
  <si>
    <t>SFF 3, LLC</t>
  </si>
  <si>
    <t>25-145</t>
  </si>
  <si>
    <t>GLASSELL'S SUB OF LOT # 7 ETC BLOCK 39 HANCOCK SURVEY # 1 LOT   10 BLK    G</t>
  </si>
  <si>
    <t>Multi-parcel (7)</t>
  </si>
  <si>
    <t>1212 Whipple Ave, Redwood City, CA 94062</t>
  </si>
  <si>
    <t>5159-020-009</t>
  </si>
  <si>
    <t>1520 W COURT ST LOS ANGELES CA 90026</t>
  </si>
  <si>
    <t>https://www.theheltsley.com/</t>
  </si>
  <si>
    <t>GLASSELL'S SUB OF LOT # 7 ETC BLOCK 39 HANCOCK SURVEY # 1 LOT    9 BLK    G</t>
  </si>
  <si>
    <t>5484004400</t>
  </si>
  <si>
    <t>5040.0 LOGAN AVE SAN DIEGO CA 92113-3014</t>
  </si>
  <si>
    <t>AXIS FEE OWNER LP</t>
  </si>
  <si>
    <t>25-219</t>
  </si>
  <si>
    <t>TruAmerica Multifamily LLC</t>
  </si>
  <si>
    <t>Angeleno Investments LP</t>
  </si>
  <si>
    <t>Affordable Housing Access</t>
  </si>
  <si>
    <t>4635902700</t>
  </si>
  <si>
    <t>5474.0 RESERVOIR DR 1-36 SAN DIEGO CA 92120-5145</t>
  </si>
  <si>
    <t>1540 W. Court Street, LP</t>
  </si>
  <si>
    <t>5036-031-006</t>
  </si>
  <si>
    <t>1451 W MARTIN LUTHER KING JR BLVD LOS ANGELES CA 90062</t>
  </si>
  <si>
    <t>90062-1224</t>
  </si>
  <si>
    <t>1451 W. MLK Blvd, Los Angeles, CA</t>
  </si>
  <si>
    <t>25-207</t>
  </si>
  <si>
    <t>1451 W. MLK Boulevard Apartments</t>
  </si>
  <si>
    <t>Restaurants, Cocktail Lounges</t>
  </si>
  <si>
    <t>DALTON AVENUE SQUARE LOT 34 AND EX OF ST LOT   35</t>
  </si>
  <si>
    <t>6083-010-040</t>
  </si>
  <si>
    <t>11630 Main St, Los Angeles, CA 90061</t>
  </si>
  <si>
    <t>11630 S. Main Street Apartments</t>
  </si>
  <si>
    <t>Legacy AIN 6083010038 consolidated to 6083010040</t>
  </si>
  <si>
    <t>Palmilla Apartments</t>
  </si>
  <si>
    <t>BWF III Ethos CA Palmilla LP</t>
  </si>
  <si>
    <t>25-208</t>
  </si>
  <si>
    <t>4054900073</t>
  </si>
  <si>
    <t>3400.0 RICHMOND PKWY RICHMOND CA 94806-5207</t>
  </si>
  <si>
    <t>5474 Reservoir Dr, San Diego, CA 92120</t>
  </si>
  <si>
    <t>6070-003-041</t>
  </si>
  <si>
    <t>10811 COMPTON AVE</t>
  </si>
  <si>
    <t>90059-1143</t>
  </si>
  <si>
    <t>10811 S. Compton Avenue, Los Angeles, CA</t>
  </si>
  <si>
    <t>10811 S. Compton Ave Apartments</t>
  </si>
  <si>
    <t>Legacy AIN 6070003038 consolidated to 6070003041</t>
  </si>
  <si>
    <t>Sol Haus Apartments</t>
  </si>
  <si>
    <t>Sol Haus Owner LP, California Limited Partnership</t>
  </si>
  <si>
    <t>25-209</t>
  </si>
  <si>
    <t>CONAM Management Corporation</t>
  </si>
  <si>
    <t>5040 Logan Avenue, San Diego, CA 92113</t>
  </si>
  <si>
    <t>5032-015-003</t>
  </si>
  <si>
    <t>4101 SOMERSET DR LOS ANGELES CA 90008</t>
  </si>
  <si>
    <t>90008-3401</t>
  </si>
  <si>
    <t>4101 Somerset Drive, Los Angeles, CA</t>
  </si>
  <si>
    <t>4101 Somerset Dr. Apartments</t>
  </si>
  <si>
    <t>TRACT # 14989 LOT    1</t>
  </si>
  <si>
    <t xml:space="preserve">Proposed </t>
  </si>
  <si>
    <t>6011-008-052</t>
  </si>
  <si>
    <t>325 E FLORENCE AVE LOS ANGELES CA 90003</t>
  </si>
  <si>
    <t>90003-2259</t>
  </si>
  <si>
    <t xml:space="preserve">321 E. Florence Ave, Los Angeles, CA </t>
  </si>
  <si>
    <t>321 E. Florence Apartments</t>
  </si>
  <si>
    <t>TR=2395 EX OF ST LOTS 29 AND 30 BLK 3</t>
  </si>
  <si>
    <t>6048-022-067</t>
  </si>
  <si>
    <t>9300 COMPTON AVE XX LOS ANGELES CA 90002</t>
  </si>
  <si>
    <t>90002-2324</t>
  </si>
  <si>
    <t>9300 Compton Ave., Los Angeles, CA</t>
  </si>
  <si>
    <t>9300 Compton Ave. Apartments</t>
  </si>
  <si>
    <t>BOSSHARD TRACT 1/2 VAC ALLEY ADJ ON E AND (EX OF ST) LOT 34</t>
  </si>
  <si>
    <t>Bella Vista Owner, LP</t>
  </si>
  <si>
    <t>25-281</t>
  </si>
  <si>
    <t>6006-018-001</t>
  </si>
  <si>
    <t>6401 AVALON BLVD LOS ANGELES CA 90003</t>
  </si>
  <si>
    <t>90003-1607</t>
  </si>
  <si>
    <t>6401 S. Avalon Blvd., Los Angeles, CA</t>
  </si>
  <si>
    <t>6401 S. Avalon Blvd. Apartments</t>
  </si>
  <si>
    <t>THE MCCARTHY COMPANY'S GREATER LOS ANGELES TRACT LOT    1 BLK    9</t>
  </si>
  <si>
    <t>Kennedy Wilson</t>
  </si>
  <si>
    <t>Vintage Housing Holdings</t>
  </si>
  <si>
    <t>3400 Richmond Pkwy, Richmond, CA 94806</t>
  </si>
  <si>
    <t>6048-004-025</t>
  </si>
  <si>
    <t>9515 COMPTON AVE LOS ANGELES CA 90002</t>
  </si>
  <si>
    <t>90002-2330</t>
  </si>
  <si>
    <t>9515 Compton Avenue, Los Angeles, CA</t>
  </si>
  <si>
    <t>9515 Compton Ave. Apartments</t>
  </si>
  <si>
    <t>https://www.cmfa-ca.com/wp-content/uploads/2025/01/CMFA-Staff-Reports-01-10-25.pdf</t>
  </si>
  <si>
    <t>F1RTHS BLVD TR S 5O FT OF LOT   56</t>
  </si>
  <si>
    <t>6 SIOF 4101 Somerset Dr, LP</t>
  </si>
  <si>
    <t>25-282</t>
  </si>
  <si>
    <t>7451-037-031</t>
  </si>
  <si>
    <t>575 W 6TH ST SAN PEDRO CA 90731</t>
  </si>
  <si>
    <t>SAN PEDRO CA</t>
  </si>
  <si>
    <t>90731-2521</t>
  </si>
  <si>
    <t>569 W. 6th Street, San Pedro, CA</t>
  </si>
  <si>
    <t>569 W. 6th Street Apartments</t>
  </si>
  <si>
    <t>Professional Buildings</t>
  </si>
  <si>
    <t>ARCADIA PARK TRACT LOTS 22 AND 23 BLK 7</t>
  </si>
  <si>
    <t>7451-026-002</t>
  </si>
  <si>
    <t>685 W 4TH ST LOS ANGELES CA 90731</t>
  </si>
  <si>
    <t>90731-2515</t>
  </si>
  <si>
    <t xml:space="preserve">685 W. 4th St., Los Angeles, CA </t>
  </si>
  <si>
    <t>685 W. 4th St Apartments</t>
  </si>
  <si>
    <t>ARCADIA PARK TRACT LOT    2 BLK   10</t>
  </si>
  <si>
    <t>3 SIOF 321 E Florence Ave, LP</t>
  </si>
  <si>
    <t>25-283</t>
  </si>
  <si>
    <t>5501-013-028</t>
  </si>
  <si>
    <t>209 S WESTMORELAND AVE LOS ANGELES CA 90004</t>
  </si>
  <si>
    <t>90004-6109</t>
  </si>
  <si>
    <t>209 Westmoreland Ave, Los Angeles, CA 90004</t>
  </si>
  <si>
    <t>LOT (EX OF ST) COM AT SW COR OF LOT 110 FOREST PARK SUB NO 1 TH S 89¢49' W 233.68 FT TH S 0¢18' E 524.7 FT TH N 86¢29'35" W 180.42 FT TH N 0¢18' W 432.77 FT TH S 89¢52'15" W TO NE LINE OF JUANITA AVE TH NW THEREON 61.7 FT TH N 89¢36'30" E 45.9 FT TH N 0¢22'50" W 380.07 FT TH N 89¢03'10" E TO W LINE OF SD TR TH S THEREON 369.85 FT TO BEG PART OF NW 1/4 OF SEC   19 T   1S R 13W</t>
  </si>
  <si>
    <t>6 SIOF 9300 Compton Ave, LP</t>
  </si>
  <si>
    <t>25-284</t>
  </si>
  <si>
    <t>2695-003-030</t>
  </si>
  <si>
    <t>91344-5727</t>
  </si>
  <si>
    <t>17188 Chatsworth St., Los Angeles, CA</t>
  </si>
  <si>
    <t>Chatsworth Apartments</t>
  </si>
  <si>
    <t>TR=10126 LOTS 13 AND 14</t>
  </si>
  <si>
    <t>Legacy AIN 2695003001 consolidated to 2695003030</t>
  </si>
  <si>
    <t>8630-009-026</t>
  </si>
  <si>
    <t>18615 E ARROW HWY AZUSA CA 91722</t>
  </si>
  <si>
    <t>AZUSA CA</t>
  </si>
  <si>
    <t>91722-1828</t>
  </si>
  <si>
    <t>18615 E Arrow Hwy, Covina, CA 91722</t>
  </si>
  <si>
    <t>AZUSA</t>
  </si>
  <si>
    <t>*E 231 FT OF W 907.02 FT OF S 1/2 OF SW 1/4 OF SW 1/4 (EX OF ST) OF SEC    1 T   1S R 10W</t>
  </si>
  <si>
    <t>6 SIOF 6401 S Avalon Blvd, LP</t>
  </si>
  <si>
    <t>25-285</t>
  </si>
  <si>
    <t>2421-011-010</t>
  </si>
  <si>
    <t>10910 HUSTON ST LOS ANGELES CA 91601</t>
  </si>
  <si>
    <t>91601-4618</t>
  </si>
  <si>
    <t>10910 Huston St, North Hollywood, CA 91601</t>
  </si>
  <si>
    <t>Huston Affordable Housing Apartments</t>
  </si>
  <si>
    <t>TRACT NO 6O88 LOT   11</t>
  </si>
  <si>
    <t>6 SIOF 9515 Compton Ave, LP</t>
  </si>
  <si>
    <t>25-286</t>
  </si>
  <si>
    <t>8576-001-024</t>
  </si>
  <si>
    <t>4608 ARDEN WAY EL MONTE CA 91731</t>
  </si>
  <si>
    <t>EL MONTE CA</t>
  </si>
  <si>
    <t>91731-1287</t>
  </si>
  <si>
    <t>4640 Arden Way, El Monte, CA 91731</t>
  </si>
  <si>
    <t>The Parker Apartments</t>
  </si>
  <si>
    <t>EL MONTE</t>
  </si>
  <si>
    <t>RANCHO SAN FRANCISQUITO 4.25 MORE OR LESS ACS COM AT MOST W COR OF LOT 55 TRACT NO 20457 TH NE ON NW LINE OF SD TR TO S LINE OF MULHALL ST TH W THEREON AND SW ON SE LINE OF ARDEN WAY TO NW PROLONGATION OF SW LINE OF SD TR TH SE THEREON TO NE LINE OF EMERY ST TH SE AND FOLLOWING SD EMERY ST TO BEG</t>
  </si>
  <si>
    <t>59020050000</t>
  </si>
  <si>
    <t>800.0 RELIANT WAY AMERICAN CANYON CA 94503-3242</t>
  </si>
  <si>
    <t>25-287</t>
  </si>
  <si>
    <t>6390806100</t>
  </si>
  <si>
    <t>601.0 TELEGRAPH CANYON RD CHULA VISTA CA 91910-6561</t>
  </si>
  <si>
    <t>SIOF 5 Properties, LP, California limited partnership</t>
  </si>
  <si>
    <t>25-288</t>
  </si>
  <si>
    <t>8608-030-071</t>
  </si>
  <si>
    <t>601 E 8TH ST AZUSA CA 91702</t>
  </si>
  <si>
    <t>91702-2546</t>
  </si>
  <si>
    <t>601 E 8th St, Azusa, CA 91702</t>
  </si>
  <si>
    <t>Azusa Gardens Apartments</t>
  </si>
  <si>
    <t>PM 188-25-26     LOT 1</t>
  </si>
  <si>
    <t>50115064010</t>
  </si>
  <si>
    <t>501-1506-40-10</t>
  </si>
  <si>
    <t>38000.0 CAMDEN ST FREMONT CA 94536-5169</t>
  </si>
  <si>
    <t>2 SIOF 685 W Fourth St, LP, Delaware limited partnership</t>
  </si>
  <si>
    <t>25-289</t>
  </si>
  <si>
    <t>4262-018-026</t>
  </si>
  <si>
    <t>1734 S BARRINGTON AVE LOS ANGELES CA 90025</t>
  </si>
  <si>
    <t>90025-4010</t>
  </si>
  <si>
    <t>1734 S. Barrington Ave., Los Angeles, CA, 90025</t>
  </si>
  <si>
    <t>Passo Barrington Apartments</t>
  </si>
  <si>
    <t>Three Units (Any Combination)</t>
  </si>
  <si>
    <t>LINDSEY ADDITION SE 50 FT OF NW 73 FT OF SW 147.5 FT OF LOT    4 BLK   15</t>
  </si>
  <si>
    <t>Chadwick Owner, LP</t>
  </si>
  <si>
    <t>25-290</t>
  </si>
  <si>
    <t>4231-018-020</t>
  </si>
  <si>
    <t>4129 S CENTINELA AVE LOS ANGELES CA 90066</t>
  </si>
  <si>
    <t>90066-4908</t>
  </si>
  <si>
    <t>4129 Centinela Avenue, Los Angeles, CA 90066</t>
  </si>
  <si>
    <t>Passo Centinela I Apartments</t>
  </si>
  <si>
    <t>TRACT # 7358 LOTS 99 AND LOT  100</t>
  </si>
  <si>
    <t>4221-007-056</t>
  </si>
  <si>
    <t>4706 S CENTINELA AVE LOS ANGELES CA 90066</t>
  </si>
  <si>
    <t>90066-6818</t>
  </si>
  <si>
    <t>4706 Centinela Avenue, Los Angeles, CA 90066</t>
  </si>
  <si>
    <t>Passo Centinela II Apartments</t>
  </si>
  <si>
    <t>TR=7428 LOTS 171,172 AND EX OF ALLEY LOT 173</t>
  </si>
  <si>
    <t>4 SIOF 11630 S MAIN ST, LP</t>
  </si>
  <si>
    <t>25-291</t>
  </si>
  <si>
    <t>4262-016-011</t>
  </si>
  <si>
    <t>1747 STONER AVE LOS ANGELES CA 90025</t>
  </si>
  <si>
    <t>90025-1812</t>
  </si>
  <si>
    <t>1747 Stoner Avenue, Los Angeles, CA 90025</t>
  </si>
  <si>
    <t>Passo Stoner Apartments</t>
  </si>
  <si>
    <t>TRACT # 6180 LOT   11</t>
  </si>
  <si>
    <t>Pacific Trails, LP</t>
  </si>
  <si>
    <t>Azusa</t>
  </si>
  <si>
    <t>25-304</t>
  </si>
  <si>
    <t>5183-012-030</t>
  </si>
  <si>
    <t>2025 E 4TH ST LOS ANGELES CA 90033</t>
  </si>
  <si>
    <t>90033-4364</t>
  </si>
  <si>
    <t>2025 E. 4th Street, Los Angeles, CA</t>
  </si>
  <si>
    <t>4th Street Apartments</t>
  </si>
  <si>
    <t>WORKMAN PARK TRACT LOT 11 AND SE 3 FT OF LOT   12 BLK    E</t>
  </si>
  <si>
    <t>Langdon Park Capital</t>
  </si>
  <si>
    <t>5518-008-009</t>
  </si>
  <si>
    <t>247 S ALEXANDRIA AVE LOS ANGELES CA 90004</t>
  </si>
  <si>
    <t>90004-5549</t>
  </si>
  <si>
    <t>247 S. Alexandria Avenue, Los Angeles, CA</t>
  </si>
  <si>
    <t>Alexandria I Apartments</t>
  </si>
  <si>
    <t>Date - Year</t>
  </si>
  <si>
    <t>SUM of Best Estimate Exemption</t>
  </si>
  <si>
    <t>COUNTA of Property Name</t>
  </si>
  <si>
    <t>2022</t>
  </si>
  <si>
    <t>KINGSBORO LOT   38</t>
  </si>
  <si>
    <t>2023</t>
  </si>
  <si>
    <t>2024</t>
  </si>
  <si>
    <t>2025</t>
  </si>
  <si>
    <t>2026</t>
  </si>
  <si>
    <t>Ethos GP I Venture, LP</t>
  </si>
  <si>
    <t>25-305</t>
  </si>
  <si>
    <t>5093-017-031</t>
  </si>
  <si>
    <t>808 S HOBART BLVD LOS ANGELES CA 90005</t>
  </si>
  <si>
    <t>90005-2777</t>
  </si>
  <si>
    <t>808 S. Hobart Boulevard, Los Angeles, CA</t>
  </si>
  <si>
    <t>Ashby Apartments</t>
  </si>
  <si>
    <t>055G</t>
  </si>
  <si>
    <t>POR OF N 1/2 OF SEC 25 T 15 R 14W AND LOT 203 TR=2189</t>
  </si>
  <si>
    <t>1700 Newbury Park Dr, San Jose, CA 95133</t>
  </si>
  <si>
    <t>5502-011-009</t>
  </si>
  <si>
    <t>454 S CATALINA ST LOS ANGELES CA 90020</t>
  </si>
  <si>
    <t>90020-2476</t>
  </si>
  <si>
    <t>454 S. Catalina Street, Los Angeles, CA</t>
  </si>
  <si>
    <t>Catalina Apartments</t>
  </si>
  <si>
    <t>SCHMIDT HEIGHTS TRACT LOT   42</t>
  </si>
  <si>
    <t>Kalmia Apartments</t>
  </si>
  <si>
    <t>Kalmia Supportive Housing, LP</t>
  </si>
  <si>
    <t>25-306</t>
  </si>
  <si>
    <t>A Community of Friends</t>
  </si>
  <si>
    <t>5518-013-007</t>
  </si>
  <si>
    <t>103 S EDGEMONT ST LOS ANGELES CA 90004</t>
  </si>
  <si>
    <t>90004-5551</t>
  </si>
  <si>
    <t>103 S. Edgemont Street, Los Angeles, CA 90004</t>
  </si>
  <si>
    <t>TRACT # 4193 LOTS 43 AND LOT   44</t>
  </si>
  <si>
    <t>5081-032-007</t>
  </si>
  <si>
    <t>974 S GRAMERCY PL LOS ANGELES CA 90019</t>
  </si>
  <si>
    <t>90019-2169</t>
  </si>
  <si>
    <t>974 S. Gramercy Place, Los Angeles, CA</t>
  </si>
  <si>
    <t>Gramercy Apartments</t>
  </si>
  <si>
    <t>TRACT # 1600 LOT   72</t>
  </si>
  <si>
    <t>Chatsworth Housing, LP</t>
  </si>
  <si>
    <t>25-308</t>
  </si>
  <si>
    <t>BMI Developments</t>
  </si>
  <si>
    <t>5094-021-028</t>
  </si>
  <si>
    <t>932 IROLO ST LOS ANGELES CA 90006</t>
  </si>
  <si>
    <t>90006-1371</t>
  </si>
  <si>
    <t>832 Irolo Street, Los Angeles, CA</t>
  </si>
  <si>
    <t>Irolo Apartments</t>
  </si>
  <si>
    <t>WILSHIRE HARVARD HEIGHTS LOT  366</t>
  </si>
  <si>
    <t>Azusa Gardens Owner, LP</t>
  </si>
  <si>
    <t>25-347</t>
  </si>
  <si>
    <t>5094-023-030</t>
  </si>
  <si>
    <t>941 S KENMORE AVE LOS ANGELES CA 90006</t>
  </si>
  <si>
    <t>90006-1558</t>
  </si>
  <si>
    <t>941 S. Kenmore Avenue, Los Angeles, CA</t>
  </si>
  <si>
    <t>Kenmore I Apartments</t>
  </si>
  <si>
    <t>WEST NINTH STREET HEIGHTS LOT   63</t>
  </si>
  <si>
    <t>COUNTY</t>
  </si>
  <si>
    <t>4 BR</t>
  </si>
  <si>
    <t>5 BR</t>
  </si>
  <si>
    <t>Efficiency</t>
  </si>
  <si>
    <t>5503-015-016</t>
  </si>
  <si>
    <t>426 S MANHATTAN PL LOS ANGELES CA 90020</t>
  </si>
  <si>
    <t>Alpine</t>
  </si>
  <si>
    <t>90020-4140</t>
  </si>
  <si>
    <t>426 S. Manhattan Place, Los Angeles, CA</t>
  </si>
  <si>
    <t>Manhattan III Apartments</t>
  </si>
  <si>
    <t>Amador</t>
  </si>
  <si>
    <t>Butte</t>
  </si>
  <si>
    <t>WESTMINISTER SQUARE EX OF ALLEY LOT   90</t>
  </si>
  <si>
    <t>Calaveras</t>
  </si>
  <si>
    <t>Colusa</t>
  </si>
  <si>
    <t>Del Norte</t>
  </si>
  <si>
    <t>El Dorado</t>
  </si>
  <si>
    <t>Glenn</t>
  </si>
  <si>
    <t>Humboldt</t>
  </si>
  <si>
    <t>Park Kiely Apartments</t>
  </si>
  <si>
    <t>Standard Vistria Park Kiely Owner, LP</t>
  </si>
  <si>
    <t>Imperial</t>
  </si>
  <si>
    <t>25-348</t>
  </si>
  <si>
    <t>Inyo</t>
  </si>
  <si>
    <t>Kern</t>
  </si>
  <si>
    <t>5518-008-014</t>
  </si>
  <si>
    <t>260 S MARIPOSA AVE LOS ANGELES CA 90004</t>
  </si>
  <si>
    <t>90004-5470</t>
  </si>
  <si>
    <t>260 S. Mariposa Avenue, Los Angeles, CA</t>
  </si>
  <si>
    <t>Mariposa II Apartments</t>
  </si>
  <si>
    <t>Kings</t>
  </si>
  <si>
    <t>Lake</t>
  </si>
  <si>
    <t>Lassen</t>
  </si>
  <si>
    <t>TRACT # 200 N 25 FT OF LOT 44 AND S 25 FT OF LOT   45</t>
  </si>
  <si>
    <t>Vistria</t>
  </si>
  <si>
    <t>Madera</t>
  </si>
  <si>
    <t>355 Kiely Blvd, San Jose, CA 95129</t>
  </si>
  <si>
    <t>Mariposa</t>
  </si>
  <si>
    <t>Mendocino</t>
  </si>
  <si>
    <t>Merced</t>
  </si>
  <si>
    <t>Modoc</t>
  </si>
  <si>
    <t>Mono</t>
  </si>
  <si>
    <t>Monterey</t>
  </si>
  <si>
    <t>Nevada</t>
  </si>
  <si>
    <t>5094-004-004</t>
  </si>
  <si>
    <t>739 S NORMANDIE AVE LOS ANGELES CA 90005</t>
  </si>
  <si>
    <t>Placer</t>
  </si>
  <si>
    <t>90005-2270</t>
  </si>
  <si>
    <t>739 S. Normandie Avenue, Los Angeles, CA</t>
  </si>
  <si>
    <t>Normandie Apartments</t>
  </si>
  <si>
    <t>Plumas</t>
  </si>
  <si>
    <t>Riverside</t>
  </si>
  <si>
    <t>TRACT # 7502 LOT   38</t>
  </si>
  <si>
    <t>San Benito</t>
  </si>
  <si>
    <t>San Joaquin</t>
  </si>
  <si>
    <t>San Luis Obispo</t>
  </si>
  <si>
    <t>Fountain Park Apartments</t>
  </si>
  <si>
    <t>Fountain Park, L.P.</t>
  </si>
  <si>
    <t>25-349</t>
  </si>
  <si>
    <t>Sack Capital Partners</t>
  </si>
  <si>
    <t>Belveron Partners</t>
  </si>
  <si>
    <t>Las Palmas Housing &amp; Development Corp.</t>
  </si>
  <si>
    <t>1026 S De Anza Blvd, San Jose, CA 95129</t>
  </si>
  <si>
    <t>Shasta</t>
  </si>
  <si>
    <t>https://rebusinessonline.com/sack-properties-belveron-partners-buy-164-unit-multifamily-property-in-san-jose-california/</t>
  </si>
  <si>
    <t>Sierra</t>
  </si>
  <si>
    <t>5081-006-014</t>
  </si>
  <si>
    <t>Siskiyou</t>
  </si>
  <si>
    <t>1111 S NORTON AVE LOS ANGELES CA 90019</t>
  </si>
  <si>
    <t>90019-3363</t>
  </si>
  <si>
    <t>1111 S. Norton Avenue, Los Angeles, CA 90019</t>
  </si>
  <si>
    <t>Norton Apartments</t>
  </si>
  <si>
    <t>Stanislaus</t>
  </si>
  <si>
    <t>Sutter</t>
  </si>
  <si>
    <t>Tehama</t>
  </si>
  <si>
    <t>Trinity</t>
  </si>
  <si>
    <t>Tulare</t>
  </si>
  <si>
    <t>Tuolumne</t>
  </si>
  <si>
    <t>Ventura</t>
  </si>
  <si>
    <t>BOULEVARD HEIGHTS LOT COM AT MOST E COR OF LOT 31 BLK 17 TH S 22¢54' W 50 FT TH NW 149.58 FT TO A LINE PARALLEL WITH AND DIST SE AT R/A 50 FT FROM NW LINE OF SD LOT TH N 24¢02' E 44.43 FT TH SE 149.32 FT TO BEG PART OF LOTS 31 AND LOT   32 BLK   17</t>
  </si>
  <si>
    <t>Yolo</t>
  </si>
  <si>
    <t>Yuba</t>
  </si>
  <si>
    <t>Flag VII The Parker, L.P.</t>
  </si>
  <si>
    <t>El Monte</t>
  </si>
  <si>
    <t>25-350</t>
  </si>
  <si>
    <t>5080-008-006</t>
  </si>
  <si>
    <t>975 S OXFORD AVE LOS ANGELES CA 90006</t>
  </si>
  <si>
    <t>90006-1167</t>
  </si>
  <si>
    <t>975-985 S. Oxford Avenue, Los Angeles, CA</t>
  </si>
  <si>
    <t>Oxford I Apartments</t>
  </si>
  <si>
    <t>TRACT # 4867 LOT COM AT NE COR OF LOT 12 TH S 0¢06' E 55.19 FT TH S 89¢43' W 123 FT TH N 0¢06' W TO N LINE OF LOT 10 TH N 89¢43' E 123 FT TO BEG PART OF LOTS 10,11 AND LOT   12</t>
  </si>
  <si>
    <t>Canyon Ridge at Napa Junction Apartments</t>
  </si>
  <si>
    <t>Canyon Ridge at Napa Junction, LP</t>
  </si>
  <si>
    <t>25-351</t>
  </si>
  <si>
    <t>BRIDGE Housing Corp.</t>
  </si>
  <si>
    <t>5080-008-007</t>
  </si>
  <si>
    <t>979 S OXFORD AVE LOS ANGELES CA 90006</t>
  </si>
  <si>
    <t>90006-1165</t>
  </si>
  <si>
    <t>800 Reliant Wy, American Canyon, CA 94503</t>
  </si>
  <si>
    <t>TRACT # 4867 N 50 FT OF S 100 FT OF E 3 FT OF LOT 10 AND N 50 FT OF S 100 FT OF LOTS 11 AND LOT   12</t>
  </si>
  <si>
    <t>5080-008-008</t>
  </si>
  <si>
    <t>985 S OXFORD AVE LOS ANGELES CA 90006</t>
  </si>
  <si>
    <t>90006-1166</t>
  </si>
  <si>
    <t>TRACT # 4867 S 50 FT OF E 3 FT OF LOT 10 AND S 50 FT OF LOTS 11 AND LOT   12</t>
  </si>
  <si>
    <t>Post Canyon Villa, LP</t>
  </si>
  <si>
    <t>25-352</t>
  </si>
  <si>
    <t>601 Telegraph Canyon Road, Chula Vista, CA 91910</t>
  </si>
  <si>
    <t>5080-015-003</t>
  </si>
  <si>
    <t>960 S OXFORD AVE LOS ANGELES CA 90006</t>
  </si>
  <si>
    <t>90006-1164</t>
  </si>
  <si>
    <t>960 S. Oxford Avenue, Los Angeles, CA</t>
  </si>
  <si>
    <t>Oxford III Apartments</t>
  </si>
  <si>
    <t>LEWIS HEIGHTS LOTS 15,16 AND 17 AND LOT COM AT SW COR OF LOT 14 TH N 0¢06' W 12 FT TH N 89¢44' E 92.43 MORE OR LESS FT TH S 0¢02' E 12 FT TO S LINE OF SD LOT TH W THEREON 92.41 FT TO BEG PART OF LOT   14</t>
  </si>
  <si>
    <t>10910 Huston LP</t>
  </si>
  <si>
    <t>25-353</t>
  </si>
  <si>
    <t>Angeleno Investments, LP</t>
  </si>
  <si>
    <t>5518-027-010</t>
  </si>
  <si>
    <t>3715 W 1ST ST LOS ANGELES CA 90004</t>
  </si>
  <si>
    <t>entity</t>
  </si>
  <si>
    <t>90004-5848</t>
  </si>
  <si>
    <t>3715 W. 1st Street, Los Angeles, CA</t>
  </si>
  <si>
    <t>city</t>
  </si>
  <si>
    <t>Seven Lions Apartments</t>
  </si>
  <si>
    <t>resolution</t>
  </si>
  <si>
    <t>meeting_date</t>
  </si>
  <si>
    <t>item_type</t>
  </si>
  <si>
    <t>minutes_confirmed</t>
  </si>
  <si>
    <t>investor_1</t>
  </si>
  <si>
    <t>nonprofit_partner</t>
  </si>
  <si>
    <t>total_units</t>
  </si>
  <si>
    <t>rent_restricted_pct</t>
  </si>
  <si>
    <t>term_years</t>
  </si>
  <si>
    <t>city_cut</t>
  </si>
  <si>
    <t>grant_description</t>
  </si>
  <si>
    <t>TRACT # 3247 S 40 FT OF LOT 95 AND ALL OF LOT   96</t>
  </si>
  <si>
    <t>Main Street Apartments</t>
  </si>
  <si>
    <t/>
  </si>
  <si>
    <t>preliminary_only</t>
  </si>
  <si>
    <t>100% at 80% AMI</t>
  </si>
  <si>
    <t>Charitable Affordable Housing Grant for an Affordable</t>
  </si>
  <si>
    <t>8th Street Apartments</t>
  </si>
  <si>
    <t>2933 8th LLLP</t>
  </si>
  <si>
    <t>K3 Holdings</t>
  </si>
  <si>
    <t>Charitable Affordable Housing Program Application for a</t>
  </si>
  <si>
    <t>Ardmore Apartments</t>
  </si>
  <si>
    <t>Ardmore 19 LLLP</t>
  </si>
  <si>
    <t>5504-029-006</t>
  </si>
  <si>
    <t>515 S ST ANDREWS PL LOS ANGELES CA 90020</t>
  </si>
  <si>
    <t>90020-4470</t>
  </si>
  <si>
    <t>515 S. St. Andrews Place, Los Angeles, CA 90020</t>
  </si>
  <si>
    <t>St. Andrews I Apartments</t>
  </si>
  <si>
    <t>Avalon Apartments</t>
  </si>
  <si>
    <t>Ave 55 19 LLLP</t>
  </si>
  <si>
    <t>Harvard Apartments</t>
  </si>
  <si>
    <t>516 Harvard LLLP</t>
  </si>
  <si>
    <t>WESTMINSTER PLACE LOTS 7,8 AND LOT    9 BLK    C</t>
  </si>
  <si>
    <t>Camden Village Apartments</t>
  </si>
  <si>
    <t>Flag VII Camden Village, L.P.</t>
  </si>
  <si>
    <t>Hollywood Apartments</t>
  </si>
  <si>
    <t>25-423</t>
  </si>
  <si>
    <t>5200 Hollywood LLLP</t>
  </si>
  <si>
    <t>Lexington Apartments</t>
  </si>
  <si>
    <t>5406 Lexington LLLP</t>
  </si>
  <si>
    <t>Manhattan I &amp; II Apartments</t>
  </si>
  <si>
    <t>Manhattan 20 LLLP</t>
  </si>
  <si>
    <t>Elevate Long Beach Apartments</t>
  </si>
  <si>
    <t>Gelt on 3rd LB, LP</t>
  </si>
  <si>
    <t>Gelt Ventures Partners</t>
  </si>
  <si>
    <t>38000 Camden St, Fremont, CA 94536</t>
  </si>
  <si>
    <t>5503-017-013</t>
  </si>
  <si>
    <t>2245 Amherst Apartments</t>
  </si>
  <si>
    <t>516 S ST ANDREWS PL LOS ANGELES CA 90020</t>
  </si>
  <si>
    <t>2245 Amherst LLC</t>
  </si>
  <si>
    <t>90020-4462</t>
  </si>
  <si>
    <t>516 S. St. Andrews Place, Los Angeles, CA 90020</t>
  </si>
  <si>
    <t>St. Andrews II Apartments</t>
  </si>
  <si>
    <t>HVN Development</t>
  </si>
  <si>
    <t>Cherokee Avenue Apartments</t>
  </si>
  <si>
    <t>1305 CherokeeOOZB LLC</t>
  </si>
  <si>
    <t>WESTMINSTER PLACE LOT   13 BLK    B</t>
  </si>
  <si>
    <t>Uncommon Developers</t>
  </si>
  <si>
    <t>Pacific Housing Inc.</t>
  </si>
  <si>
    <t>Oak Park Apartments</t>
  </si>
  <si>
    <t>Post Oak Park Monrovia, LP</t>
  </si>
  <si>
    <t>Monrovia</t>
  </si>
  <si>
    <t>501 S. Burlington Avenue Apartments</t>
  </si>
  <si>
    <t>501 Burlington Owners L.P.</t>
  </si>
  <si>
    <t>Brookhollow Apartments</t>
  </si>
  <si>
    <t>Post Brookhollow, LP</t>
  </si>
  <si>
    <t>West Covina</t>
  </si>
  <si>
    <t>625 S. Burlington Avenue Apartments</t>
  </si>
  <si>
    <t>625 Burlington Owners L.P.</t>
  </si>
  <si>
    <t>https://www.camdenvillageapts.com/</t>
  </si>
  <si>
    <t>28502100410000</t>
  </si>
  <si>
    <t>285-0210-041-0000</t>
  </si>
  <si>
    <t>2345.0 NORTHROP AVE SACRAMENTO CA 95825-7571</t>
  </si>
  <si>
    <t>The Groves at East Tabor Apartments</t>
  </si>
  <si>
    <t>Post Groves, LP</t>
  </si>
  <si>
    <t>Shadowbrook Apartments</t>
  </si>
  <si>
    <t>Post Shadowbrook, LP</t>
  </si>
  <si>
    <t>Selma</t>
  </si>
  <si>
    <t>River Court Apartments</t>
  </si>
  <si>
    <t>Post Rivercourt, LP</t>
  </si>
  <si>
    <t>Emerald Pointe Apartments</t>
  </si>
  <si>
    <t>Post Emerald, LP</t>
  </si>
  <si>
    <t>Modesto</t>
  </si>
  <si>
    <t>3901 Normandie Avenue Apartments</t>
  </si>
  <si>
    <t>BIF OZ 3905 NORMANDIE AVE, LP</t>
  </si>
  <si>
    <t>5518-013-024</t>
  </si>
  <si>
    <t>130 S ALEXANDRIA AVE LOS ANGELES CA 90004</t>
  </si>
  <si>
    <t>Passo Barrington, LP</t>
  </si>
  <si>
    <t>90004-2791</t>
  </si>
  <si>
    <t>130 S. Alexandria Avenue, Los Angeles, CA</t>
  </si>
  <si>
    <t>Alexandria II Apartments</t>
  </si>
  <si>
    <t>25-424</t>
  </si>
  <si>
    <t>AVID South &amp; Lime Apartments</t>
  </si>
  <si>
    <t>Avid South &amp; Lime, LP</t>
  </si>
  <si>
    <t>Glimcher Capital Group</t>
  </si>
  <si>
    <t>BRIDGE Housing Corporation</t>
  </si>
  <si>
    <t>Aspire Arden Apartments</t>
  </si>
  <si>
    <t>Clear Capital or an affiliate</t>
  </si>
  <si>
    <t>TR=68920 LOT 1</t>
  </si>
  <si>
    <t>Clear Capital, LLC</t>
  </si>
  <si>
    <t>40% at 80% AMI</t>
  </si>
  <si>
    <t>Summer House Apartments</t>
  </si>
  <si>
    <t>The Michaels Development Company I, L.P. or an affiliate</t>
  </si>
  <si>
    <t>The Michaels Organization</t>
  </si>
  <si>
    <t>Baird Affordable Housing Apartments</t>
  </si>
  <si>
    <t>6942 Baird, LP</t>
  </si>
  <si>
    <t>9750 Airport Blvd. Apartments</t>
  </si>
  <si>
    <t>Perseverance LAX Affordable, L.P.</t>
  </si>
  <si>
    <t>Capital Insight</t>
  </si>
  <si>
    <t>17188 Chatsworth St. Apartments</t>
  </si>
  <si>
    <t>5094-017-020</t>
  </si>
  <si>
    <t>861 FEDORA ST LOS ANGELES CA 90005</t>
  </si>
  <si>
    <t>90005-2162</t>
  </si>
  <si>
    <t>861 Fedora Street, Los Angeles, CA</t>
  </si>
  <si>
    <t>Fedora Apartments</t>
  </si>
  <si>
    <t>81% at 80% AMI</t>
  </si>
  <si>
    <t>Approve a Charitable Affordable Housing Program</t>
  </si>
  <si>
    <t>Violet on Virgil Apartments</t>
  </si>
  <si>
    <t>Post Violet, LP</t>
  </si>
  <si>
    <t>TRACT # 2140 S 40 FT EX OF ST OF LOT 59 AND EX OF ST LOT   60</t>
  </si>
  <si>
    <t>Mosaic Apartments</t>
  </si>
  <si>
    <t>Pacific Housing, Inc. and Big 4 Properties, or an affiliate</t>
  </si>
  <si>
    <t>Big 4 Properties, LLC</t>
  </si>
  <si>
    <t>Ventana Rental Homes Apartments</t>
  </si>
  <si>
    <t>236 Berendo Street Apartments</t>
  </si>
  <si>
    <t>Terra Capital Development Group LLC and Pacific Housing, Inc., or an affiliate</t>
  </si>
  <si>
    <t>Passo Centinela, LP</t>
  </si>
  <si>
    <t>25-425</t>
  </si>
  <si>
    <t>4256 Whittier Blvd. Apartments</t>
  </si>
  <si>
    <t>SIOF 4252 Whittier Blvd, LP</t>
  </si>
  <si>
    <t>11001 S. Vermont Ave. Apartments</t>
  </si>
  <si>
    <t>5 SIOF 11001 S Vermont St, LP</t>
  </si>
  <si>
    <t>5518-020-021</t>
  </si>
  <si>
    <t>200 S KENMORE AVE LOS ANGELES CA 90004</t>
  </si>
  <si>
    <t>90004-5650</t>
  </si>
  <si>
    <t>200 S. Kenmore Avenue, Los Angeles, CA</t>
  </si>
  <si>
    <t>Sandpiper Cove Apartments</t>
  </si>
  <si>
    <t>Yuba City</t>
  </si>
  <si>
    <t>Cahill Realty</t>
  </si>
  <si>
    <t>Central Valley Coalition for Affordable Housing</t>
  </si>
  <si>
    <t>TRACT # 4678 LOT COM AT NW COR OF LOT 13 TH S ON W LINE OF SD LOT 56.92 FT TH E TO E LINE OF SD LOT TH N THEREON 55.64 FT TH S 89¢47' W 142.31 FT TO BEG PART OF LOT   13</t>
  </si>
  <si>
    <t>1723 Corinth Apartments</t>
  </si>
  <si>
    <t>1723 Corinth, LP</t>
  </si>
  <si>
    <t>Seachange Partners</t>
  </si>
  <si>
    <t>3751 Delmas Terrace Apartments</t>
  </si>
  <si>
    <t>3751 Delmas LP</t>
  </si>
  <si>
    <t>1141 N. Vermont Avenue Apartments</t>
  </si>
  <si>
    <t>1141 N. Vermont NH LP</t>
  </si>
  <si>
    <t>Foundation Permanent Housing Fund, Inc.</t>
  </si>
  <si>
    <t>1408 Jefferson Apartments</t>
  </si>
  <si>
    <t>AH 1408 Jefferson LP</t>
  </si>
  <si>
    <t>Orion Capital LLC</t>
  </si>
  <si>
    <t>Orion Community Fund LLC</t>
  </si>
  <si>
    <t>Hazelhurst Affordable Housing Apartments</t>
  </si>
  <si>
    <t>6144 Hazelhurst LP</t>
  </si>
  <si>
    <t>5094-023-025</t>
  </si>
  <si>
    <t>915 S KENMORE AVE LOS ANGELES CA 90006</t>
  </si>
  <si>
    <t>90006-1557</t>
  </si>
  <si>
    <t>Villa Del Sol Senior Apartments</t>
  </si>
  <si>
    <t>915 S. Kenmore Avenue, Los Angeles, CA</t>
  </si>
  <si>
    <t>MKCR Capital, LLC</t>
  </si>
  <si>
    <t>Kenmore III Apartments</t>
  </si>
  <si>
    <t>WEST NINTH STREET HEIGHTS LOT   58</t>
  </si>
  <si>
    <t>Passo Centinela 2, LP</t>
  </si>
  <si>
    <t>25-426</t>
  </si>
  <si>
    <t>5503-024-012</t>
  </si>
  <si>
    <t>530 S KINGSLEY DR LOS ANGELES CA 90020</t>
  </si>
  <si>
    <t>90020-3541</t>
  </si>
  <si>
    <t>530 Kingsley Drive, Los Angeles, CA</t>
  </si>
  <si>
    <t>Kingsley Apartments</t>
  </si>
  <si>
    <t>WELLINGTON PLACE LOT   48</t>
  </si>
  <si>
    <t>5094-005-005</t>
  </si>
  <si>
    <t>727 S MARIPOSA AVE LOS ANGELES CA 90005</t>
  </si>
  <si>
    <t>Passo Stoner, LP</t>
  </si>
  <si>
    <t>90005-2069</t>
  </si>
  <si>
    <t>727 S. Mariposa Avenue, Los Angeles, CA</t>
  </si>
  <si>
    <t>Mariposa I Apartments</t>
  </si>
  <si>
    <t>25-427</t>
  </si>
  <si>
    <t>TRACT # 7502 LOT   16</t>
  </si>
  <si>
    <t>5094-006-003</t>
  </si>
  <si>
    <t>750 S MARIPOSA AVE LOS ANGELES CA 90005</t>
  </si>
  <si>
    <t>90005-2039</t>
  </si>
  <si>
    <t>750-752 S. Mariposa Avenue, Los Angeles, CA</t>
  </si>
  <si>
    <t>Mariposa III Apartments</t>
  </si>
  <si>
    <t>TRACT # 7502 LOT    3</t>
  </si>
  <si>
    <t>2025 E 4th Street LLLP</t>
  </si>
  <si>
    <t>Approve application for proposed grant up to $10,000</t>
  </si>
  <si>
    <t>25-448</t>
  </si>
  <si>
    <t>5502-019-004</t>
  </si>
  <si>
    <t>520 S MARIPOSA AVE LOS ANGELES CA 90020</t>
  </si>
  <si>
    <t>90020-2859</t>
  </si>
  <si>
    <t>520 S. Mariposa Avenue, Los Angeles, CA</t>
  </si>
  <si>
    <t>Mariposa IV Apartments</t>
  </si>
  <si>
    <t>CHAPMAN PARK TRACT # 2 LOT 6 AND S 10 FT OF LOT    7 BLK    A</t>
  </si>
  <si>
    <t>5517-005-016</t>
  </si>
  <si>
    <t>207 N OXFORD AVE LOS ANGELES CA 90004</t>
  </si>
  <si>
    <t>90004-4230</t>
  </si>
  <si>
    <t>207 N. Oxford Avenue, Los Angeles, CA</t>
  </si>
  <si>
    <t>Oxford II Apartments</t>
  </si>
  <si>
    <t>*LAND DESC IN DOC 0169384, 77-2-16 *POR OF SEC 24 T 1S R 14W AND*TR=ONE *POR OF LOT  21 BLK 1</t>
  </si>
  <si>
    <t>247 S Alexandria LLLP</t>
  </si>
  <si>
    <t>25-449</t>
  </si>
  <si>
    <t>5080-006-008</t>
  </si>
  <si>
    <t>1057 S WESTERN AVE LOS ANGELES CA 90006</t>
  </si>
  <si>
    <t>90006-2344</t>
  </si>
  <si>
    <t>1057 S. Western Avenue, Los Angeles, CA</t>
  </si>
  <si>
    <t>Western Apartments</t>
  </si>
  <si>
    <t>COUNTRY CLUB HEIGHTS LOTS 22 AND LOT   23</t>
  </si>
  <si>
    <t>808 S Hobart LLLP</t>
  </si>
  <si>
    <t>25-450</t>
  </si>
  <si>
    <t>7524 S. Hoover St, Los Angeles, CA</t>
  </si>
  <si>
    <t>7524 S. Hoover St Apartments</t>
  </si>
  <si>
    <t>6063-029-029</t>
  </si>
  <si>
    <t>10705 AVALON BLVD LOS ANGELES CA 90061</t>
  </si>
  <si>
    <t>90061-2521</t>
  </si>
  <si>
    <t>10705 Avalon Blvd, Los Angeles, CA</t>
  </si>
  <si>
    <t>10705 Avalon Blvd Apartments</t>
  </si>
  <si>
    <t>TR=5745 LOTS 481 AND 482</t>
  </si>
  <si>
    <t>454 Catalina LLLP</t>
  </si>
  <si>
    <t>25-451</t>
  </si>
  <si>
    <t>5518-026-004</t>
  </si>
  <si>
    <t>236 N BERENDO ST LOS ANGELES CA 90004</t>
  </si>
  <si>
    <t>90004-4704</t>
  </si>
  <si>
    <t>236 N. Berendo Street., Los Angeles, CA</t>
  </si>
  <si>
    <t>236 Berendo Apartments</t>
  </si>
  <si>
    <t>TRACT # 3247 LOT   77</t>
  </si>
  <si>
    <t>2125-017-014</t>
  </si>
  <si>
    <t>18337 KITTRIDGE ST LOS ANGELES CA 91335</t>
  </si>
  <si>
    <t>103 S Edgemont LLLP</t>
  </si>
  <si>
    <t>91335-6108</t>
  </si>
  <si>
    <t>18337 Kittridge St, Reseda, CA 91335</t>
  </si>
  <si>
    <t>Kittridge Affordable Housing Apartments</t>
  </si>
  <si>
    <t>25-452</t>
  </si>
  <si>
    <t>TRACT # 1875 E 61.5 FT OF W 123.20 FT OF S 150 FT OF LOT  169</t>
  </si>
  <si>
    <t>41805060</t>
  </si>
  <si>
    <t>5669 N FRESNO ST FRESNO CA 93710</t>
  </si>
  <si>
    <t>Carson Gramercy LLLP // 974 S Gramercy LLLP</t>
  </si>
  <si>
    <t>25-453</t>
  </si>
  <si>
    <t>4125-011-053</t>
  </si>
  <si>
    <t>9033 RAMSGATE AVE</t>
  </si>
  <si>
    <t>90045-4633</t>
  </si>
  <si>
    <t>9033 Ramsgate Avenue, Westchester, CA</t>
  </si>
  <si>
    <t>9033 Ramsgate Apartments</t>
  </si>
  <si>
    <t>TR=15283 LOTS 34, 35 AND 36</t>
  </si>
  <si>
    <t>Legacy AIN 4125011010 consolidated to 4125011053</t>
  </si>
  <si>
    <t>41416654</t>
  </si>
  <si>
    <t>805 71ST AVE OAKLAND CA 94621-3386</t>
  </si>
  <si>
    <t>Irolo 16 LLLP</t>
  </si>
  <si>
    <t>25-454</t>
  </si>
  <si>
    <t>123-140-018</t>
  </si>
  <si>
    <t>740 S WESTERN AVE, SANTA MARIA, CA 93458</t>
  </si>
  <si>
    <t>123-140-019</t>
  </si>
  <si>
    <t>Kenmore 20 LLLP</t>
  </si>
  <si>
    <t>25-455</t>
  </si>
  <si>
    <t>123-140-020</t>
  </si>
  <si>
    <t>123-140-021</t>
  </si>
  <si>
    <t>Welfare row</t>
  </si>
  <si>
    <t>426 Manhattan LLLP</t>
  </si>
  <si>
    <t>25-456</t>
  </si>
  <si>
    <t>Welfare County</t>
  </si>
  <si>
    <t>Match Status</t>
  </si>
  <si>
    <t>MATCH STATUS SIMPLE</t>
  </si>
  <si>
    <t>Best Supplemental row</t>
  </si>
  <si>
    <t>Best LP Name</t>
  </si>
  <si>
    <t>Supplemental County</t>
  </si>
  <si>
    <t>SCC No.</t>
  </si>
  <si>
    <t>Similarity Score</t>
  </si>
  <si>
    <t>County Match?</t>
  </si>
  <si>
    <t>Review Notes</t>
  </si>
  <si>
    <t>Normalized exact match</t>
  </si>
  <si>
    <t>2130 N Marks Ave, Fresno, CA 93722</t>
  </si>
  <si>
    <t>Alvarado Affordable Associates, L.P.</t>
  </si>
  <si>
    <t>Yes</t>
  </si>
  <si>
    <t>same county; one normalized name contains the other; shared distinctive terms: alvarado</t>
  </si>
  <si>
    <t>Exact text match</t>
  </si>
  <si>
    <t>same county; one normalized name contains the other; shared distinctive terms: 2025</t>
  </si>
  <si>
    <t>SANTA CLARA</t>
  </si>
  <si>
    <t>same county; one normalized name contains the other; shared distinctive terms: club, mariposa</t>
  </si>
  <si>
    <t>Castle Rock Bernardine Apartments LP</t>
  </si>
  <si>
    <t>SAN BERNARDINO</t>
  </si>
  <si>
    <t>same county; one normalized name contains the other; shared distinctive terms: bernardine, castle, rock</t>
  </si>
  <si>
    <t>SAN DIEGO</t>
  </si>
  <si>
    <t>same county; one normalized name contains the other; shared distinctive terms: mission, valley</t>
  </si>
  <si>
    <t>260 S Mariposa LLLP</t>
  </si>
  <si>
    <t>25-457</t>
  </si>
  <si>
    <t>Possible similar - review</t>
  </si>
  <si>
    <t>6022-014-002</t>
  </si>
  <si>
    <t>7655 S SAN PEDRO ST LOS ANGELES CA 90003</t>
  </si>
  <si>
    <t>90003-2347</t>
  </si>
  <si>
    <t>7655 S San Pedro St, Los Angeles, CA 90003</t>
  </si>
  <si>
    <t>MP Turk Street Associates, L.P.</t>
  </si>
  <si>
    <t>San Pedro Apartments</t>
  </si>
  <si>
    <t>SAN FRANCISCO</t>
  </si>
  <si>
    <t>same county; shared distinctive terms: turk; number appears in only one name</t>
  </si>
  <si>
    <t>No strong name match</t>
  </si>
  <si>
    <t>HV Partners 2, L.P.</t>
  </si>
  <si>
    <t>No</t>
  </si>
  <si>
    <t>county differs</t>
  </si>
  <si>
    <t>TRACT NO 1889 EX OF ALLEY LOTS 152 AND LOT  153</t>
  </si>
  <si>
    <t>Equivalent legal-name match</t>
  </si>
  <si>
    <t>1317 SGA QOZB, LP</t>
  </si>
  <si>
    <t>same county; one normalized name contains the other; shared distinctive terms: 1317, qozb, sga</t>
  </si>
  <si>
    <t>University Avenue Senior Housing, L.P.</t>
  </si>
  <si>
    <t>ALAMEDA</t>
  </si>
  <si>
    <t>same county; one normalized name contains the other; shared distinctive terms: 7518, bif, hoover, non</t>
  </si>
  <si>
    <t>High-confidence similar</t>
  </si>
  <si>
    <t>2019 Ozone Affordable Housing - 820 MacArthur, LP</t>
  </si>
  <si>
    <t>same county; one normalized name contains the other; shared distinctive terms: 2019, ozone</t>
  </si>
  <si>
    <t>same county; one normalized name contains the other; shared distinctive terms: 801, waterloo</t>
  </si>
  <si>
    <t>41-4166-54</t>
  </si>
  <si>
    <t>805 71ST AVE, OAKLAND, CA 94621</t>
  </si>
  <si>
    <t>739 Normandie LLLP</t>
  </si>
  <si>
    <t>Electric Lofts LP</t>
  </si>
  <si>
    <t>same county; one normalized name contains the other; shared distinctive terms: electric, lofts</t>
  </si>
  <si>
    <t>25-458</t>
  </si>
  <si>
    <t>Woodbridge Apartments, LP</t>
  </si>
  <si>
    <t>same county</t>
  </si>
  <si>
    <t>Integrity Housing, L.P.</t>
  </si>
  <si>
    <t>ORANGE</t>
  </si>
  <si>
    <t>DBA name is an exact normalized phrase match; county differs; one normalized name contains the other; shared distinctive terms: integrity</t>
  </si>
  <si>
    <t>same county; one normalized name contains the other; shared distinctive terms: 4252, crenshaw</t>
  </si>
  <si>
    <t>same county; one normalized name contains the other; shared distinctive terms: 1735, mission, south</t>
  </si>
  <si>
    <t>4276-017-047</t>
  </si>
  <si>
    <t>2424 WILSHIRE BLVD SANTA MONICA CA 90403</t>
  </si>
  <si>
    <t>90403-5806</t>
  </si>
  <si>
    <t>2424 Wilshire Blvd, Los Angeles, CA 90057</t>
  </si>
  <si>
    <t>Post Arbors Santa Ana, LP</t>
  </si>
  <si>
    <t>same county; one normalized name contains the other; shared distinctive terms: ana, arbors, post, santa</t>
  </si>
  <si>
    <t>Park Wilshire Apartments</t>
  </si>
  <si>
    <t>Office Buildings</t>
  </si>
  <si>
    <t>same county; one normalized name contains the other; shared distinctive terms: hacienda, investors</t>
  </si>
  <si>
    <t>CHELSEA GREEN LOTS 6 AND LOT    7 BLK    5</t>
  </si>
  <si>
    <t>same county; one normalized name contains the other; shared distinctive terms: investors</t>
  </si>
  <si>
    <t>Avalon Apartments, L.P.</t>
  </si>
  <si>
    <t>same county; shared distinctive terms: avalon</t>
  </si>
  <si>
    <t>BIF NON OZ 4209 Western Ave, LP</t>
  </si>
  <si>
    <t>same county; one normalized name contains the other; shared distinctive terms: 4209, ave, bif, non</t>
  </si>
  <si>
    <t>same county; one normalized name contains the other; shared distinctive terms: 1100, bif, blk, mlk</t>
  </si>
  <si>
    <t>1111 Norton LLLP</t>
  </si>
  <si>
    <t>25-459</t>
  </si>
  <si>
    <t>same county; one normalized name contains the other; shared distinctive terms: harbor, post, terrace</t>
  </si>
  <si>
    <t>same county; one normalized name contains the other; shared distinctive terms: 1422, 1428, 6th</t>
  </si>
  <si>
    <t>5093-010-009</t>
  </si>
  <si>
    <t>841 S SERRANO AVE LOS ANGELES CA 90005</t>
  </si>
  <si>
    <t>90005-2730</t>
  </si>
  <si>
    <t>841 S Serrano Ave, Los Angeles, CA 90005</t>
  </si>
  <si>
    <t>Sir Francis Drake Villa Apartments</t>
  </si>
  <si>
    <t>same county; one normalized name contains the other; shared distinctive terms: 1422, 1432, 7th</t>
  </si>
  <si>
    <t>same county; one normalized name contains the other; shared distinctive terms: 1423, 1425, 6th</t>
  </si>
  <si>
    <t>TRACT # 2189 LOTS 106 AND LOT  107</t>
  </si>
  <si>
    <t>same county; one normalized name contains the other; shared distinctive terms: 1522, 6th</t>
  </si>
  <si>
    <t>same county; one normalized name contains the other; shared distinctive terms: 1537, 7th</t>
  </si>
  <si>
    <t>same county; one normalized name contains the other; shared distinctive terms: 2001, 2029, olympic</t>
  </si>
  <si>
    <t>same county; shared distinctive terms: bif, hoover, non; numeric terms conflict</t>
  </si>
  <si>
    <t>Appian LP</t>
  </si>
  <si>
    <t>CONTRA COSTA</t>
  </si>
  <si>
    <t>same county; shared distinctive terms: appian</t>
  </si>
  <si>
    <t>Sierra Park LP</t>
  </si>
  <si>
    <t>SACRAMENTO</t>
  </si>
  <si>
    <t>same county; one normalized name contains the other; shared distinctive terms: sierra</t>
  </si>
  <si>
    <t>SV Inglewood Holdings, L.P.</t>
  </si>
  <si>
    <t>5094-004-007</t>
  </si>
  <si>
    <t>715 S NORMANDIE AVE LOS ANGELES CA 90005</t>
  </si>
  <si>
    <t>same county; one normalized name contains the other; shared distinctive terms: holdings, inglewood</t>
  </si>
  <si>
    <t>90005-2267</t>
  </si>
  <si>
    <t>715 Normandie Ave, Los Angeles, CA 90005</t>
  </si>
  <si>
    <t>Langham Apartments</t>
  </si>
  <si>
    <t>Oxford 19 LLLP</t>
  </si>
  <si>
    <t>25-460</t>
  </si>
  <si>
    <t>same county; one normalized name contains the other; shared distinctive terms: 2330, 3rd</t>
  </si>
  <si>
    <t>LOT COM AT SW COR OF 7 ST 80 FT WIDE AND NORMANDIE AVE TH W ON S LINE OF SD ST 125.48 FT TH S 0¢05' E 220 FT TH E TO W LINE OF NORMANDIE AVE TH N THEREON 220 FT TO BEG PART OF NE 1/4 OF SEC   25 T   1S R 14W</t>
  </si>
  <si>
    <t>same county; one normalized name contains the other; shared distinctive terms: hollywood, marquee, north, post</t>
  </si>
  <si>
    <t>BIF NON OZ 6200 Broadway BLK, LP</t>
  </si>
  <si>
    <t>same county; one normalized name contains the other; shared distinctive terms: 6200, bif, blk, broadway</t>
  </si>
  <si>
    <t>same county; shared distinctive terms: ave, bif, non, western; numeric terms conflict</t>
  </si>
  <si>
    <t>Vermont Villas, L.P.</t>
  </si>
  <si>
    <t>same county; shared distinctive terms: vermont; number appears in only one name</t>
  </si>
  <si>
    <t>Imperial VI, L.P.</t>
  </si>
  <si>
    <t>IMPERIAL</t>
  </si>
  <si>
    <t>county differs; shared distinctive terms: imperial; number appears in only one name</t>
  </si>
  <si>
    <t>5094-002-004</t>
  </si>
  <si>
    <t>CRP The Meridian LP</t>
  </si>
  <si>
    <t>682 IROLO ST LOS ANGELES CA 90005</t>
  </si>
  <si>
    <t>90005-2367</t>
  </si>
  <si>
    <t>682 Irolo Street, Los Angeles, CA</t>
  </si>
  <si>
    <t>Piccadilly Apartments</t>
  </si>
  <si>
    <t>county differs; shared distinctive terms: meridian; number appears in only one name</t>
  </si>
  <si>
    <t>EV 228 Soto, LP</t>
  </si>
  <si>
    <t>same county; one normalized name contains the other; shared distinctive terms: 228, soto</t>
  </si>
  <si>
    <t>WILSHIRE HARVARD HEIGHTS N 6 FT OF LOT 91 AND ALL OF LOT 92 AND S 40 FT OF LOT   93</t>
  </si>
  <si>
    <t>BWF II Ethos CA Horizon LP</t>
  </si>
  <si>
    <t>same county; one normalized name contains the other; shared distinctive terms: bwf, ethos, horizon</t>
  </si>
  <si>
    <t>S. Main PSH, L.P.</t>
  </si>
  <si>
    <t>same county; shared distinctive terms: main; number appears in only one name</t>
  </si>
  <si>
    <t>6171 Mission Gorge Owner LP</t>
  </si>
  <si>
    <t>same county; one normalized name contains the other; shared distinctive terms: 6171, gorge, mission</t>
  </si>
  <si>
    <t>Hillsdale Property San Mateo, LP</t>
  </si>
  <si>
    <t>SAN MATEO</t>
  </si>
  <si>
    <t>960 S Oxford LLLP</t>
  </si>
  <si>
    <t>same county; one normalized name contains the other; shared distinctive terms: hillsdale</t>
  </si>
  <si>
    <t>25-461</t>
  </si>
  <si>
    <t>Summerwood Apartments Homes Apartments</t>
  </si>
  <si>
    <t>Standard Properties</t>
  </si>
  <si>
    <t>STL Properties L.P.</t>
  </si>
  <si>
    <t>7157-012-023</t>
  </si>
  <si>
    <t>699 14th Street CSLC LP</t>
  </si>
  <si>
    <t>5700 ACKERFIELD AVE LONG BEACH CA 90805</t>
  </si>
  <si>
    <t>90805-4916</t>
  </si>
  <si>
    <t>5565 Ackerfield Avenue / 5700 Ackerfield Avenue, Long Beach, CA</t>
  </si>
  <si>
    <t>The Hive at Ackerfield Apartments</t>
  </si>
  <si>
    <t>same county; one normalized name contains the other; shared distinctive terms: 14th, 699, cslc</t>
  </si>
  <si>
    <t>LA Creekside L.P.</t>
  </si>
  <si>
    <t>VENTURA</t>
  </si>
  <si>
    <t>county differs; shared distinctive terms: creekside</t>
  </si>
  <si>
    <t>TRACT NO 29389 LOT    8</t>
  </si>
  <si>
    <t>365 Fulton, L.P.</t>
  </si>
  <si>
    <t>county differs; shared distinctive terms: fulton; numeric terms conflict</t>
  </si>
  <si>
    <t>same county; one normalized name contains the other; shared distinctive terms: avanath, seaport</t>
  </si>
  <si>
    <t>same county; one normalized name contains the other; shared distinctive terms: 1457, main</t>
  </si>
  <si>
    <t>Sterling - Berkeley Addison, L.P.</t>
  </si>
  <si>
    <t>same county; shared distinctive terms: addison; number appears in only one name</t>
  </si>
  <si>
    <t>7157-012-017</t>
  </si>
  <si>
    <t>same county; one normalized name contains the other; shared distinctive terms: bwf, creek, ethos, gatos</t>
  </si>
  <si>
    <t>5565 ACKERFIELD AVE LONG BEACH CA 90805</t>
  </si>
  <si>
    <t>90805-4953</t>
  </si>
  <si>
    <t>Post Palmdale Chaparral, LP</t>
  </si>
  <si>
    <t>same county; shared distinctive terms: chaparral, post</t>
  </si>
  <si>
    <t>TRACT NO 29389 LOT    2</t>
  </si>
  <si>
    <t>same county; one normalized name contains the other; shared distinctive terms: avenue, ocean</t>
  </si>
  <si>
    <t>3715 W 1st Street LLLP</t>
  </si>
  <si>
    <t>25-462</t>
  </si>
  <si>
    <t>Prometheus Partners - 86 Benton L.P.</t>
  </si>
  <si>
    <t>same county; shared distinctive terms: prometheus; number appears in only one name</t>
  </si>
  <si>
    <t>same county; shared distinctive terms: 1100, bif, blk</t>
  </si>
  <si>
    <t>2533 Mansfield Owner, L.P.</t>
  </si>
  <si>
    <t>same county; one normalized name contains the other; shared distinctive terms: 2533, mansfield</t>
  </si>
  <si>
    <t>Enclave LP</t>
  </si>
  <si>
    <t>same county; one normalized name contains the other; shared distinctive terms: enclave</t>
  </si>
  <si>
    <t>Douglas Park Community Partners, LP</t>
  </si>
  <si>
    <t>same county; shared distinctive terms: douglas; number appears in only one name</t>
  </si>
  <si>
    <t>7075-020-011</t>
  </si>
  <si>
    <t>7777 Valley View, L.P.</t>
  </si>
  <si>
    <t>12100 226TH ST HAWAIIAN GARDNS CA 90716</t>
  </si>
  <si>
    <t>HAWAIIAN GARDNS CA</t>
  </si>
  <si>
    <t>90716-1501</t>
  </si>
  <si>
    <t>12100 226th St, Hawaiian Gardens, CA 90716</t>
  </si>
  <si>
    <t>same county; one normalized name contains the other; shared distinctive terms: 7777, valley, view</t>
  </si>
  <si>
    <t>Hawaiian Terrace Senior Apartments</t>
  </si>
  <si>
    <t>Pico Gramercy, L.P.</t>
  </si>
  <si>
    <t>same county; shared distinctive terms: gramercy; number appears in only one name</t>
  </si>
  <si>
    <t>HAWAIIAN GARDENS</t>
  </si>
  <si>
    <t>O R M 7425-20-21 POR OF SW 1/4 OF SEC 18 T 4S R 11W</t>
  </si>
  <si>
    <t>same county; one normalized name contains the other; shared distinctive terms: coronado</t>
  </si>
  <si>
    <t>same county; one normalized name contains the other; shared distinctive terms: candlewood, north, post</t>
  </si>
  <si>
    <t>Gal Affordable, L.P.</t>
  </si>
  <si>
    <t>TULARE</t>
  </si>
  <si>
    <t>county differs; number appears in only one name</t>
  </si>
  <si>
    <t>Oak Park 4, L.P.</t>
  </si>
  <si>
    <t>SAN LUIS OBISPO</t>
  </si>
  <si>
    <t>515 S St. Andrews LLLP</t>
  </si>
  <si>
    <t>Oak Park 3, L.P.</t>
  </si>
  <si>
    <t>25-463</t>
  </si>
  <si>
    <t>7075-020-012</t>
  </si>
  <si>
    <t>12100 226TH ST HAWAIIAN GARDENS CA 90716</t>
  </si>
  <si>
    <t>HAWAIIAN GARDENS CA</t>
  </si>
  <si>
    <t>same county; one normalized name contains the other; shared distinctive terms: 1540</t>
  </si>
  <si>
    <t>Sol Haus Owner LP</t>
  </si>
  <si>
    <t>same county; one normalized name contains the other; shared distinctive terms: haus, sol</t>
  </si>
  <si>
    <t>O R M 7425-20-21 POR OF SW 14 OF SEC 18 T 4S R 11W</t>
  </si>
  <si>
    <t>county differs; shared distinctive terms: bwf, ethos, iii</t>
  </si>
  <si>
    <t>Beyer Boulevard Apartments, L.P.</t>
  </si>
  <si>
    <t>county differs; shared distinctive terms: boulevard; number appears in only one name</t>
  </si>
  <si>
    <t>same county; one normalized name contains the other; shared distinctive terms: bella, vista</t>
  </si>
  <si>
    <t>LINC-Compton Ave APTS, L.P.</t>
  </si>
  <si>
    <t>same county; shared distinctive terms: ave, compton; number appears in only one name</t>
  </si>
  <si>
    <t>Somerset Glen Apartments, L.P.</t>
  </si>
  <si>
    <t>019170270</t>
  </si>
  <si>
    <t>same county; shared distinctive terms: somerset; number appears in only one name</t>
  </si>
  <si>
    <t>2000 CRYSTAL SPRINGS RD SAN BRUNO</t>
  </si>
  <si>
    <t>Florence Fund, L.P.</t>
  </si>
  <si>
    <t>same county; shared distinctive terms: florence; number appears in only one name</t>
  </si>
  <si>
    <t>516 St. Andrews LLLP</t>
  </si>
  <si>
    <t>25-464</t>
  </si>
  <si>
    <t>same county; shared distinctive terms: avalon; number appears in only one name</t>
  </si>
  <si>
    <t>same county; number appears in only one name</t>
  </si>
  <si>
    <t>Fourth Avenue L.P.</t>
  </si>
  <si>
    <t>same county; shared distinctive terms: fourth; number appears in only one name</t>
  </si>
  <si>
    <t>130-320-018-0</t>
  </si>
  <si>
    <t>1070 San Miguel Road, Concord, CA</t>
  </si>
  <si>
    <t>same county; one normalized name contains the other; shared distinctive terms: chadwick</t>
  </si>
  <si>
    <t>Ward Housing L.P.</t>
  </si>
  <si>
    <t>Housing Venture I, L.P.</t>
  </si>
  <si>
    <t>county differs; shared distinctive terms: venture</t>
  </si>
  <si>
    <t>Trails at CMR CIC, LP, The</t>
  </si>
  <si>
    <t>county differs; shared distinctive terms: trails</t>
  </si>
  <si>
    <t>Kingwood Houston Oaks Limited Partnership</t>
  </si>
  <si>
    <t>YOLO</t>
  </si>
  <si>
    <t>Flag VII The Parker, L.P</t>
  </si>
  <si>
    <t>same county; one normalized name contains the other; shared distinctive terms: flag, parker, the, vii</t>
  </si>
  <si>
    <t>Junction Station, L.P.</t>
  </si>
  <si>
    <t>PLACER</t>
  </si>
  <si>
    <t>county differs; shared distinctive terms: junction</t>
  </si>
  <si>
    <t>GB Falls, LP</t>
  </si>
  <si>
    <t>25-484</t>
  </si>
  <si>
    <t>501-1800-1-42</t>
  </si>
  <si>
    <t>36000 FREMONT BLVD, FREMONT, CA 94536</t>
  </si>
  <si>
    <t>same county; one normalized name contains the other; shared distinctive terms: canyon, post, villa</t>
  </si>
  <si>
    <t>Fountain Park, LP</t>
  </si>
  <si>
    <t>same county; one normalized name contains the other; shared distinctive terms: fountain</t>
  </si>
  <si>
    <t>Standard Vistria Park Kiely Owner LP</t>
  </si>
  <si>
    <t>same county; one normalized name contains the other; shared distinctive terms: kiely, standard, vistria</t>
  </si>
  <si>
    <t>Fame Gardens L.P.</t>
  </si>
  <si>
    <t>Village LP</t>
  </si>
  <si>
    <t>LAKE</t>
  </si>
  <si>
    <t>county differs; one normalized name contains the other</t>
  </si>
  <si>
    <t>Jackson Square Properties</t>
  </si>
  <si>
    <t>Passo Barrington LP</t>
  </si>
  <si>
    <t>2345 Northrop Ave, Sacramento, CA 95825</t>
  </si>
  <si>
    <t>same county; one normalized name contains the other; shared distinctive terms: barrington, passo</t>
  </si>
  <si>
    <t>Passo Centinela LP</t>
  </si>
  <si>
    <t>same county; one normalized name contains the other; shared distinctive terms: centinela, passo</t>
  </si>
  <si>
    <t>Passo Centinela 2 LP</t>
  </si>
  <si>
    <t xml:space="preserve">226-203-10-00 </t>
  </si>
  <si>
    <t>439 W EL NORTE PKWY ESCONDIDO CA 92026-1961</t>
  </si>
  <si>
    <t>Passo Stoner LP</t>
  </si>
  <si>
    <t>same county; one normalized name contains the other; shared distinctive terms: passo, stoner</t>
  </si>
  <si>
    <t>same county; shared distinctive terms: 2025</t>
  </si>
  <si>
    <t>Alexandria Housing Partners, L.P.</t>
  </si>
  <si>
    <t>same county; shared distinctive terms: alexandria; number appears in only one name</t>
  </si>
  <si>
    <t>Hobart Affordable, L.P.</t>
  </si>
  <si>
    <t>same county; shared distinctive terms: hobart; number appears in only one name</t>
  </si>
  <si>
    <t>Catalina Avalon Limited, L.P.</t>
  </si>
  <si>
    <t>same county; shared distinctive terms: catalina; number appears in only one name</t>
  </si>
  <si>
    <t>Claremont Villas, L.P.</t>
  </si>
  <si>
    <t>228-073-20-00</t>
  </si>
  <si>
    <t>1045 MORNING VIEW DR ESCONDIDO CA 92026-3481</t>
  </si>
  <si>
    <t>Irolo Limited Partnership</t>
  </si>
  <si>
    <t>Citrine Apartments</t>
  </si>
  <si>
    <t>Citrine Preservation, LP</t>
  </si>
  <si>
    <t>same county; shared distinctive terms: irolo; number appears in only one name</t>
  </si>
  <si>
    <t>25-485</t>
  </si>
  <si>
    <t>Kenmore Apartments, L.P.</t>
  </si>
  <si>
    <t>The Transcend Group</t>
  </si>
  <si>
    <t>Retail Store Employees Building Corporation</t>
  </si>
  <si>
    <t>same county; shared distinctive terms: kenmore; number appears in only one name</t>
  </si>
  <si>
    <t>1260 Grove St, Healdsburg, CA 95448</t>
  </si>
  <si>
    <t>Manhattan Housing Partners, L.P.</t>
  </si>
  <si>
    <t>same county; shared distinctive terms: manhattan; number appears in only one name</t>
  </si>
  <si>
    <t>Mariposa Lily, L.P.</t>
  </si>
  <si>
    <t>same county; shared distinctive terms: mariposa; number appears in only one name</t>
  </si>
  <si>
    <t>Fox Normandie Apartments L.P.</t>
  </si>
  <si>
    <t>same county; shared distinctive terms: normandie; number appears in only one name</t>
  </si>
  <si>
    <t>226-203-02-00</t>
  </si>
  <si>
    <t>443 W EL NORTE PKWY ESCONDIDO CA 92026</t>
  </si>
  <si>
    <t>Laurel Norton L.P.</t>
  </si>
  <si>
    <t>same county; shared distinctive terms: norton; number appears in only one name</t>
  </si>
  <si>
    <t>Oxford Plaza, L.P.</t>
  </si>
  <si>
    <t>county differs; shared distinctive terms: oxford; number appears in only one name</t>
  </si>
  <si>
    <t>San Jose South 1st Street Associates, a California Limited Partnership</t>
  </si>
  <si>
    <t>county differs; shared distinctive terms: 1st; number appears in only one name</t>
  </si>
  <si>
    <t>St. Andrews Gardens, L.P.</t>
  </si>
  <si>
    <t>same county; shared distinctive terms: andrews; number appears in only one name</t>
  </si>
  <si>
    <t>226-211-03-00</t>
  </si>
  <si>
    <t>12th Street Apartments</t>
  </si>
  <si>
    <t>12th Street 19 LLLP</t>
  </si>
  <si>
    <t>457 W EL NORTE PKWY ESCONDIDO CA 92026</t>
  </si>
  <si>
    <t>25-486</t>
  </si>
  <si>
    <t>same county; one normalized name contains the other; shared distinctive terms: falls</t>
  </si>
  <si>
    <t>130 Alexandria LLLP</t>
  </si>
  <si>
    <t>3048 W. 12th Street, CA 90006</t>
  </si>
  <si>
    <t>861 Fedora LLLP</t>
  </si>
  <si>
    <t>836 Fedora L.P.</t>
  </si>
  <si>
    <t>same county; shared distinctive terms: fedora; numeric terms conflict</t>
  </si>
  <si>
    <t>Kenmore II 20 LLLP</t>
  </si>
  <si>
    <t>915 S Kenmore LLLP</t>
  </si>
  <si>
    <t>530 Kingsley LLLP</t>
  </si>
  <si>
    <t>Kings Valley, L.P.</t>
  </si>
  <si>
    <t>SONOMA</t>
  </si>
  <si>
    <t>Mariposa 20 LLLP</t>
  </si>
  <si>
    <t>750 Mariposa LLLP</t>
  </si>
  <si>
    <t>5540-019-012</t>
  </si>
  <si>
    <t>520 Mariposa LLLP</t>
  </si>
  <si>
    <t>1141 N VERMONT AVE LOS ANGELES CA 90029</t>
  </si>
  <si>
    <t>Oxford 20 LLLP</t>
  </si>
  <si>
    <t>Western 19 LLLP</t>
  </si>
  <si>
    <t>Park Western Housing, L.P.</t>
  </si>
  <si>
    <t>same county; shared distinctive terms: western; number appears in only one name</t>
  </si>
  <si>
    <t>Citrus II Preservation, L.P.</t>
  </si>
  <si>
    <t>PS 7518 Hoover St, LP</t>
  </si>
  <si>
    <t>5080-011-007</t>
  </si>
  <si>
    <t>3048 W 12TH ST LOS ANGELES CA 90006</t>
  </si>
  <si>
    <t>90006-3150</t>
  </si>
  <si>
    <t>same county; shared distinctive terms: 7518, hoover</t>
  </si>
  <si>
    <t>PS 10705 Avalon Blvd, LP</t>
  </si>
  <si>
    <t>BIF NON OZ 10705 Avalon Blvd, LP</t>
  </si>
  <si>
    <t>same county; shared distinctive terms: 10705, avalon, blvd</t>
  </si>
  <si>
    <t>236 Berendo Holdings OZ LP</t>
  </si>
  <si>
    <t>25-487</t>
  </si>
  <si>
    <t>Casa Berendo, L.P</t>
  </si>
  <si>
    <t>same county; shared distinctive terms: berendo; number appears in only one name</t>
  </si>
  <si>
    <t>COUNTRY CLUB BOULEVARD TRACT LOT    9</t>
  </si>
  <si>
    <t>Added from LA County lookup</t>
  </si>
  <si>
    <t>18337 Kittridge, LP</t>
  </si>
  <si>
    <t>Kittridge Housing, L.P.</t>
  </si>
  <si>
    <t>same county; shared distinctive terms: kittridge; number appears in only one name</t>
  </si>
  <si>
    <t>Montecito Apartments</t>
  </si>
  <si>
    <t>Flag VII Montecito, L.P.</t>
  </si>
  <si>
    <t>same county; one normalized name contains the other; shared distinctive terms: flag, montecito, vii</t>
  </si>
  <si>
    <t>Thornbridge Apartments</t>
  </si>
  <si>
    <t>Thornbridge Holdings, L.P.</t>
  </si>
  <si>
    <t>CR Thornbridge Communities, L.P.</t>
  </si>
  <si>
    <t>same county; shared distinctive terms: thornbridge</t>
  </si>
  <si>
    <t>Ascent Apartments</t>
  </si>
  <si>
    <t>Renaissance Apartment Homes</t>
  </si>
  <si>
    <t>Post Renaissance Apartments, LP</t>
  </si>
  <si>
    <t>Renaissance Village Housing Partners, L.P.</t>
  </si>
  <si>
    <t>county differs; shared distinctive terms: renaissance</t>
  </si>
  <si>
    <t>9033 Ramsgate LP</t>
  </si>
  <si>
    <t>PATH Villas South Gate LP</t>
  </si>
  <si>
    <t>5077-018-006</t>
  </si>
  <si>
    <t>2933 W 8TH ST LOS ANGELES CA 90005</t>
  </si>
  <si>
    <t>Coliseum Transit Village</t>
  </si>
  <si>
    <t>Coliseum Transit Village One, LP</t>
  </si>
  <si>
    <t>Coliseum Transit Village One, L.P.</t>
  </si>
  <si>
    <t>same county; one normalized name contains the other; shared distinctive terms: coliseum, one, transit</t>
  </si>
  <si>
    <t>La Vista Apartment Homes</t>
  </si>
  <si>
    <t>SM La Vista Owner, LP</t>
  </si>
  <si>
    <t>county differs; shared distinctive terms: vista</t>
  </si>
  <si>
    <t>The Crossings Apartments</t>
  </si>
  <si>
    <t>Golden Gardens Apartments</t>
  </si>
  <si>
    <t>Golden Gardens Housing Partners LP</t>
  </si>
  <si>
    <t>Golden Age Garden Housing Partners, L.P.</t>
  </si>
  <si>
    <t>county differs; shared distinctive terms: golden</t>
  </si>
  <si>
    <t>7655 San Pedro, LP</t>
  </si>
  <si>
    <t>25-488</t>
  </si>
  <si>
    <t>North San Pedro Apartments, LP</t>
  </si>
  <si>
    <t>county differs; shared distinctive terms: pedro, san; number appears in only one name</t>
  </si>
  <si>
    <t>Concord Park Wilshire LP</t>
  </si>
  <si>
    <t>Wilshire Towers, L.P.</t>
  </si>
  <si>
    <t>same county; shared distinctive terms: wilshire</t>
  </si>
  <si>
    <t>Coliseum Connections</t>
  </si>
  <si>
    <t>5521-023-008</t>
  </si>
  <si>
    <t>437 N ARDMORE AVE LOS ANGELES CA 90004</t>
  </si>
  <si>
    <t>Concord Sir Francis Drake LP</t>
  </si>
  <si>
    <t>Concord RHF Partners, LP</t>
  </si>
  <si>
    <t>same county; shared distinctive terms: concord</t>
  </si>
  <si>
    <t>Concord Langham LP</t>
  </si>
  <si>
    <t>Concord Piccadilly LP</t>
  </si>
  <si>
    <t>5468-028-027</t>
  </si>
  <si>
    <t>249 S AVENUE 55 LOS ANGELES CA 90042</t>
  </si>
  <si>
    <t>Ackerfield 2 LP</t>
  </si>
  <si>
    <t>Chesterfield Apartments LP</t>
  </si>
  <si>
    <t>RK Equity Group Limited Partnership, 12142 Oxnard Limited Partnership, HG Napa Equity Limited
Partnership, HG FSA Capital Limited Partnership</t>
  </si>
  <si>
    <t>RVP Group LP</t>
  </si>
  <si>
    <t>Crystal Springs Terrace</t>
  </si>
  <si>
    <t>Crystal Springs Terrace Apartments, LP</t>
  </si>
  <si>
    <t>Villa Springs Apartments, L.P.</t>
  </si>
  <si>
    <t>county differs; shared distinctive terms: springs</t>
  </si>
  <si>
    <t>Trailview Apartments</t>
  </si>
  <si>
    <t>TBD LP</t>
  </si>
  <si>
    <t>Windsor Concord, L.P.</t>
  </si>
  <si>
    <t>Casa Serena Apartments</t>
  </si>
  <si>
    <t>Hotel Woodland L.P.</t>
  </si>
  <si>
    <t>Riverside Supportive Housing, L.P.</t>
  </si>
  <si>
    <t>RIVERSIDE</t>
  </si>
  <si>
    <t>25-489</t>
  </si>
  <si>
    <t>county differs; shared distinctive terms: supportive</t>
  </si>
  <si>
    <t>5521-010-010</t>
  </si>
  <si>
    <t>Hendrix and Hadley Apartments</t>
  </si>
  <si>
    <t>Hendrix EREP, LP &amp; Hadley EREP, LP</t>
  </si>
  <si>
    <t>516 N HARVARD BLVD LOS ANGELES CA 90004</t>
  </si>
  <si>
    <t>Hills at Hacienda EREP, LP</t>
  </si>
  <si>
    <t>county differs; shared distinctive terms: erep</t>
  </si>
  <si>
    <t>12th Street Partners, L.P.</t>
  </si>
  <si>
    <t>county differs; shared distinctive terms: 12th; number appears in only one name</t>
  </si>
  <si>
    <t>Rise 8th Ave LP</t>
  </si>
  <si>
    <t>county differs; shared distinctive terms: 8th; number appears in only one name</t>
  </si>
  <si>
    <t>5544-016-002</t>
  </si>
  <si>
    <t>5200 HOLLYWOOD BLVD LOS ANGELES CA 90027</t>
  </si>
  <si>
    <t>Post Group X Ardmore, L.P.</t>
  </si>
  <si>
    <t>same county; shared distinctive terms: ardmore; number appears in only one name</t>
  </si>
  <si>
    <t>Vision 19, L.P.</t>
  </si>
  <si>
    <t>SAN JOAQUIN</t>
  </si>
  <si>
    <t>Harvard Heights Partners, L.P.</t>
  </si>
  <si>
    <t>same county; shared distinctive terms: harvard; number appears in only one name</t>
  </si>
  <si>
    <t>DWF V Hollywood &amp; Vine, L.P.</t>
  </si>
  <si>
    <t>same county; shared distinctive terms: hollywood; number appears in only one name</t>
  </si>
  <si>
    <t>25-490</t>
  </si>
  <si>
    <t>Kinglsey Apartments</t>
  </si>
  <si>
    <t>Lexington Partners, L.P.</t>
  </si>
  <si>
    <t>same county; shared distinctive terms: lexington; number appears in only one name</t>
  </si>
  <si>
    <t>Monte Vista Apartments</t>
  </si>
  <si>
    <t>Monte Vista 19 LLLP</t>
  </si>
  <si>
    <t>Monte Vista Housing, LP</t>
  </si>
  <si>
    <t>5537-006-002</t>
  </si>
  <si>
    <t>5406 LEXINGTON AVE LOS ANGELES CA 90029</t>
  </si>
  <si>
    <t>same county; shared distinctive terms: monte, vista; number appears in only one name</t>
  </si>
  <si>
    <t>Parkview Apartments</t>
  </si>
  <si>
    <t>Highland 19 LLLP</t>
  </si>
  <si>
    <t>Highland Village Partners L.P.</t>
  </si>
  <si>
    <t>same county; shared distinctive terms: highland; number appears in only one name</t>
  </si>
  <si>
    <t>25-491</t>
  </si>
  <si>
    <t>Westmoreland Apartments</t>
  </si>
  <si>
    <t>132 Westmoreland LLLP</t>
  </si>
  <si>
    <t>5503-015-019</t>
  </si>
  <si>
    <t>Westmore Linden, L.P.</t>
  </si>
  <si>
    <t>410 S MANHATTAN PL LOS ANGELES CA 90020</t>
  </si>
  <si>
    <t>Highland Gardens Apartments</t>
  </si>
  <si>
    <t>Crossings Property LP</t>
  </si>
  <si>
    <t>CIC Crossings, L.P.</t>
  </si>
  <si>
    <t>county differs; shared distinctive terms: crossings</t>
  </si>
  <si>
    <t>4256 Whittier Blvd Apartments</t>
  </si>
  <si>
    <t>Whittier PSH, L.P.</t>
  </si>
  <si>
    <t>same county; shared distinctive terms: whittier; number appears in only one name</t>
  </si>
  <si>
    <t>225 W 25th Apartments</t>
  </si>
  <si>
    <t>2 SIOF 225 E 25th St, LP</t>
  </si>
  <si>
    <t>Fame West 25th Street, L.P.</t>
  </si>
  <si>
    <t>same county; shared distinctive terms: 25th; number appears in only one name</t>
  </si>
  <si>
    <t>5503-017-019</t>
  </si>
  <si>
    <t>9422 Firth Avenue Apartments</t>
  </si>
  <si>
    <t>6 SIOF 9416 FIRTH, LP</t>
  </si>
  <si>
    <t>509 S MANHATTAN PL LOS ANGELES CA 90020</t>
  </si>
  <si>
    <t>Firmin Court, L.P.</t>
  </si>
  <si>
    <t>4008 Martin Luther King Blvd Apartments</t>
  </si>
  <si>
    <t>SIOF 9 Properties, LP</t>
  </si>
  <si>
    <t>1451 W MLK BLVD Apartments</t>
  </si>
  <si>
    <t>3 SIOF 1451 W MLK BLVD, LP</t>
  </si>
  <si>
    <t>Ramona Blvd. Family Apartments, L.P.</t>
  </si>
  <si>
    <t>same county; shared distinctive terms: blvd; number appears in only one name</t>
  </si>
  <si>
    <t>Bentley Parke Apartments</t>
  </si>
  <si>
    <t>Post Bentley Parke, LP</t>
  </si>
  <si>
    <t>Post Group X Bentley, L.P.</t>
  </si>
  <si>
    <t>county differs; shared distinctive terms: bentley, post</t>
  </si>
  <si>
    <t>The Hive Apartments</t>
  </si>
  <si>
    <t>Del Norte Place Apartments</t>
  </si>
  <si>
    <t>MG Del Norte Place Apartments, L.P</t>
  </si>
  <si>
    <t>Village Place Apartments L.P.</t>
  </si>
  <si>
    <t>The Colonnade Apartments</t>
  </si>
  <si>
    <t>Post Colonnade Apartments LP</t>
  </si>
  <si>
    <t>CG Apartments, LP</t>
  </si>
  <si>
    <t>Highlands Point Apartments</t>
  </si>
  <si>
    <t>St. Anton Highland, LP</t>
  </si>
  <si>
    <t>Highland Gardens, L.P.</t>
  </si>
  <si>
    <t>25-492</t>
  </si>
  <si>
    <t>county differs; shared distinctive terms: highland</t>
  </si>
  <si>
    <t>Standard Property Company, Inc</t>
  </si>
  <si>
    <t>Standard Rio Vista, L.P.</t>
  </si>
  <si>
    <t>county differs; shared distinctive terms: standard</t>
  </si>
  <si>
    <t>same county; shared distinctive terms: standard</t>
  </si>
  <si>
    <t>The Dream Apartments</t>
  </si>
  <si>
    <t>Perseverance LAX Affordable, LP</t>
  </si>
  <si>
    <t>AVA Affordable, L.P.</t>
  </si>
  <si>
    <t>3851 Delmas LP</t>
  </si>
  <si>
    <t>Delmas Park Associates 2.0, L.P.</t>
  </si>
  <si>
    <t>county differs; shared distinctive terms: delmas; numeric terms conflict</t>
  </si>
  <si>
    <t>Corinthian Community Partners, LP</t>
  </si>
  <si>
    <t>12342 Osborne Place Apartments</t>
  </si>
  <si>
    <t>N31GP LP</t>
  </si>
  <si>
    <t>Ingram Preservation, L.P.</t>
  </si>
  <si>
    <t>220 Humboldt Ct. Apartments</t>
  </si>
  <si>
    <t>5469-032-001</t>
  </si>
  <si>
    <t>TAP BFR ACQUISITIONS, LLC</t>
  </si>
  <si>
    <t>5635 MONTE VISTA ST LOS ANGELES CA 90042</t>
  </si>
  <si>
    <t>Girasol Acquisition LP</t>
  </si>
  <si>
    <t>6942 Baird LP</t>
  </si>
  <si>
    <t>T. Bailey Manor, L.P.</t>
  </si>
  <si>
    <t>Sawtelle 2481 Apartments</t>
  </si>
  <si>
    <t>Sawtelle 2481 LLC</t>
  </si>
  <si>
    <t>Lark Ellen L.P.</t>
  </si>
  <si>
    <t>Cullen Living Apartments</t>
  </si>
  <si>
    <t>Cullen Living LLC</t>
  </si>
  <si>
    <t>Cypress Senior Living Investors, L.P.</t>
  </si>
  <si>
    <t>Jefferson Oaks, L.P.</t>
  </si>
  <si>
    <t>county differs; shared distinctive terms: jefferson; number appears in only one name</t>
  </si>
  <si>
    <t>La Posada Apartments</t>
  </si>
  <si>
    <t>La Posada Preservation, L.P</t>
  </si>
  <si>
    <t>25-493</t>
  </si>
  <si>
    <t>Villa La Posada L.P.</t>
  </si>
  <si>
    <t>SANTA CRUZ</t>
  </si>
  <si>
    <t>same county; shared distinctive terms: posada</t>
  </si>
  <si>
    <t>MG Del Norte Place Apartments LP</t>
  </si>
  <si>
    <t>Bent Tree Apartments</t>
  </si>
  <si>
    <t>PR TIG BENT TREE, LP</t>
  </si>
  <si>
    <t>HPD Oak Tree, L.P.</t>
  </si>
  <si>
    <t>county differs; shared distinctive terms: tree</t>
  </si>
  <si>
    <t>5446-002-044</t>
  </si>
  <si>
    <t>Hazel Housing L.P.</t>
  </si>
  <si>
    <t>312 W AVENUE 37 LOS ANGELES CA 90065</t>
  </si>
  <si>
    <t>BUTTE</t>
  </si>
  <si>
    <t>Elan River Village Apartments</t>
  </si>
  <si>
    <t>River Village 1845, LP</t>
  </si>
  <si>
    <t>county differs; one normalized name contains the other; number appears in only one name</t>
  </si>
  <si>
    <t>1454 Florence Apartments</t>
  </si>
  <si>
    <t>1454 Florence LLC</t>
  </si>
  <si>
    <t>Bluwater Crossing Apartments</t>
  </si>
  <si>
    <t>6801 Embarcadero Lane, LP</t>
  </si>
  <si>
    <t>Park Lane, L.P.</t>
  </si>
  <si>
    <t>county differs; shared distinctive terms: lane; number appears in only one name</t>
  </si>
  <si>
    <t>California Place Apartments</t>
  </si>
  <si>
    <t>PR TIG Cal Place, LP</t>
  </si>
  <si>
    <t>Asbury Place, L.P.</t>
  </si>
  <si>
    <t>Colden Oaks Apartments</t>
  </si>
  <si>
    <t>Colden Oaks Apartments LP</t>
  </si>
  <si>
    <t>Colden Oaks L.P.</t>
  </si>
  <si>
    <t>5501-016-008</t>
  </si>
  <si>
    <t>same county; one normalized name contains the other; shared distinctive terms: colden, oaks</t>
  </si>
  <si>
    <t>132 S WESTMORELAND AVE LOS ANGELES CA 90004</t>
  </si>
  <si>
    <t>Hansen illage Apartments</t>
  </si>
  <si>
    <t>Hansen Village Apartments LP</t>
  </si>
  <si>
    <t>Park Village Apartments Limited Partnership, A California Limited Partnership</t>
  </si>
  <si>
    <t>Crystal View Apartments</t>
  </si>
  <si>
    <t>EREP TVG Crystal View Owner, LP</t>
  </si>
  <si>
    <t>Bridge WF CA Crystal View, L.P.</t>
  </si>
  <si>
    <t>same county; shared distinctive terms: crystal, view</t>
  </si>
  <si>
    <t>Maris at Martinez Apartments</t>
  </si>
  <si>
    <t>MG Maris Martinez Apartments LP</t>
  </si>
  <si>
    <t>Santa Inez Apartments, L.P.</t>
  </si>
  <si>
    <t>25-494</t>
  </si>
  <si>
    <t>Bayfair Apartments</t>
  </si>
  <si>
    <t>16077 Ashland Avenue LP</t>
  </si>
  <si>
    <t>Ashland Family Housing, L.P.</t>
  </si>
  <si>
    <t>same county; shared distinctive terms: ashland; number appears in only one name</t>
  </si>
  <si>
    <t>Guava Gardens Apartments</t>
  </si>
  <si>
    <t>Guava Gardens Senior Apartments, LP</t>
  </si>
  <si>
    <t>Rose Gardens Senior L.P.</t>
  </si>
  <si>
    <t>Park View by Angeleno Apartments</t>
  </si>
  <si>
    <t>Angeleno Investment, LP</t>
  </si>
  <si>
    <t>FC Investment Group, L.P.</t>
  </si>
  <si>
    <t>FRESNO</t>
  </si>
  <si>
    <t>county differs; shared distinctive terms: investment</t>
  </si>
  <si>
    <t>511 Hoover Street Apartments</t>
  </si>
  <si>
    <t>511 Hoover Partnership LP</t>
  </si>
  <si>
    <t>Hoover Housing Partners Limited Partnership</t>
  </si>
  <si>
    <t>county differs; shared distinctive terms: hoover; number appears in only one name</t>
  </si>
  <si>
    <t>The Arlo</t>
  </si>
  <si>
    <t>The Arlo LP</t>
  </si>
  <si>
    <t>Cove, L.P., The</t>
  </si>
  <si>
    <t>same county; shared distinctive terms: the</t>
  </si>
  <si>
    <t>Trails at San Dimas</t>
  </si>
  <si>
    <t>Trails San Dimas LP</t>
  </si>
  <si>
    <t>San Dimas Community Partners, L.P.</t>
  </si>
  <si>
    <t>same county; shared distinctive terms: dimas, san</t>
  </si>
  <si>
    <t>Sierra Village</t>
  </si>
  <si>
    <t>Sierra Village Owner LP</t>
  </si>
  <si>
    <t>Sierra Village, L.P.</t>
  </si>
  <si>
    <t>county differs; one normalized name contains the other; shared distinctive terms: sierra</t>
  </si>
  <si>
    <t>Haven Warner Center</t>
  </si>
  <si>
    <t>Heven LP</t>
  </si>
  <si>
    <t>5236-016-054</t>
  </si>
  <si>
    <t>Seven Maples, L.P.</t>
  </si>
  <si>
    <t>4252 WHITTIER BLVD LOS ANGELES CA 90023</t>
  </si>
  <si>
    <t>1408 Jefferson Blvd Apartments</t>
  </si>
  <si>
    <t>AH 1408 Jefferson, LP</t>
  </si>
  <si>
    <t>Bennington Apartments</t>
  </si>
  <si>
    <t>CG Bennington, LP / JSP Bennington, LP</t>
  </si>
  <si>
    <t>Banning LP, The</t>
  </si>
  <si>
    <t>Westlake Apartments</t>
  </si>
  <si>
    <t>Westlake Apts LP</t>
  </si>
  <si>
    <t>LINC-Westlake Apartments, L.P.</t>
  </si>
  <si>
    <t>county differs; one normalized name contains the other; shared distinctive terms: westlake</t>
  </si>
  <si>
    <t>5126-020-009</t>
  </si>
  <si>
    <t>CGI Creekside Bliss, LP</t>
  </si>
  <si>
    <t>225 W 25TH ST LOS ANGELES CA 90007</t>
  </si>
  <si>
    <t>25-495</t>
  </si>
  <si>
    <t>Violet on Virgil</t>
  </si>
  <si>
    <t>Post Cedar, LP</t>
  </si>
  <si>
    <t>same county; shared distinctive terms: post</t>
  </si>
  <si>
    <t>926 S. Kingsley Apartments</t>
  </si>
  <si>
    <t>Kian Investments, LP</t>
  </si>
  <si>
    <t>A &amp; S TC Investments, L.P.</t>
  </si>
  <si>
    <t>same county; shared distinctive terms: investments</t>
  </si>
  <si>
    <t>939 S. Kingsley Apartments</t>
  </si>
  <si>
    <t>Kingsley Project, LP</t>
  </si>
  <si>
    <t>6048-004-047</t>
  </si>
  <si>
    <t>Kind Project Investors, LP, The</t>
  </si>
  <si>
    <t>9422 FIRTH BLVD LOS ANGELES CA 90002</t>
  </si>
  <si>
    <t>county differs; shared distinctive terms: project</t>
  </si>
  <si>
    <t>3950 Ingraham Apartments</t>
  </si>
  <si>
    <t>Ingraham Investment Group, LP</t>
  </si>
  <si>
    <t>Ingraham Apartments, L.P.</t>
  </si>
  <si>
    <t>same county; shared distinctive terms: ingraham</t>
  </si>
  <si>
    <t>Park Playa Apartments</t>
  </si>
  <si>
    <t>Park Playa, LP</t>
  </si>
  <si>
    <t>Playa del Sol CIC, L.P.</t>
  </si>
  <si>
    <t>county differs; shared distinctive terms: playa</t>
  </si>
  <si>
    <t>Edgemont by Angeleno</t>
  </si>
  <si>
    <t>1178 Edgemont LP</t>
  </si>
  <si>
    <t>5032-007-019</t>
  </si>
  <si>
    <t>4008 W MARTIN LUTHER KING JR BLVD LOS ANGELES CA 90008</t>
  </si>
  <si>
    <t>198-261-32</t>
  </si>
  <si>
    <t>3200 W 5TH ST</t>
  </si>
  <si>
    <t>25-496</t>
  </si>
  <si>
    <t>11720 SAN PABLO AVE</t>
  </si>
  <si>
    <t>EL CERRITO</t>
  </si>
  <si>
    <t>2311 IVY HILL WAY</t>
  </si>
  <si>
    <t>036-150-06</t>
  </si>
  <si>
    <t>707 W SANTA ANA ST</t>
  </si>
  <si>
    <t>25-510</t>
  </si>
  <si>
    <t xml:space="preserve">01-001 </t>
  </si>
  <si>
    <t>2549 Valley PKWY</t>
  </si>
  <si>
    <t>92027-2972</t>
  </si>
  <si>
    <t>25-512</t>
  </si>
  <si>
    <t>California State Teachers’ Retirement System</t>
  </si>
  <si>
    <t>Proposed grant up to $10,000 (Charitable Affordable Housing)</t>
  </si>
  <si>
    <t>Preliminary Approval</t>
  </si>
  <si>
    <t>3 SIOF 4101 Somerset Dr, LP</t>
  </si>
  <si>
    <t>4101 Somerset Drive Apartments</t>
  </si>
  <si>
    <t>3 SIOF 321 E FLORENCE AVE, LP</t>
  </si>
  <si>
    <t>1451 W. MLK Blvd. Apartments</t>
  </si>
  <si>
    <t>2 SIOF 10811 S Compton Ave, LP</t>
  </si>
  <si>
    <t>10811 S. Compton Ave. Apartments</t>
  </si>
  <si>
    <t>cand_parcelnumb_no_formatting</t>
  </si>
  <si>
    <t>query_Address</t>
  </si>
  <si>
    <t>cand_address</t>
  </si>
  <si>
    <t>cand_usecode</t>
  </si>
  <si>
    <t>cand_usedesc</t>
  </si>
  <si>
    <t>cand_zoning</t>
  </si>
  <si>
    <t>cand_zoning_description</t>
  </si>
  <si>
    <t>cand_numunits</t>
  </si>
  <si>
    <t>cand_parvaltype</t>
  </si>
  <si>
    <t>cand_parval</t>
  </si>
  <si>
    <t>25-513</t>
  </si>
  <si>
    <t>CG Arden, LLC, GB Arden, LLC and JSP Arden LLC</t>
  </si>
  <si>
    <t>exemption value</t>
  </si>
  <si>
    <t>cand_owner</t>
  </si>
  <si>
    <t>cand_mailadd</t>
  </si>
  <si>
    <t>cand_saddno</t>
  </si>
  <si>
    <t>cand_saddstr</t>
  </si>
  <si>
    <t>cand_county</t>
  </si>
  <si>
    <t>cand_gisacre</t>
  </si>
  <si>
    <t>cand_ll_gisacre</t>
  </si>
  <si>
    <t>query_Applicant / Entity</t>
  </si>
  <si>
    <t>query_Property Name</t>
  </si>
  <si>
    <t>query_City</t>
  </si>
  <si>
    <t>query_County</t>
  </si>
  <si>
    <t>query_Grant Description</t>
  </si>
  <si>
    <t>Azusa Gardens Owner LP</t>
  </si>
  <si>
    <t>query_Resolution</t>
  </si>
  <si>
    <t>query_Date</t>
  </si>
  <si>
    <t>query_Investor 1</t>
  </si>
  <si>
    <t>query_Investor 2</t>
  </si>
  <si>
    <t>query_Nonprofit Partner</t>
  </si>
  <si>
    <t>query_Link</t>
  </si>
  <si>
    <t>query_New build?</t>
  </si>
  <si>
    <t>query_Acquisition Price (M)</t>
  </si>
  <si>
    <t>query_Acquisition Date</t>
  </si>
  <si>
    <t>query_TOTAL UNITS</t>
  </si>
  <si>
    <t>query_Rent Restricted</t>
  </si>
  <si>
    <t>PERCENT AFFORDABLE</t>
  </si>
  <si>
    <t>ESTIMATED VALUE OF EXEMPTION IF IT GOES THROUGH</t>
  </si>
  <si>
    <t>query_Built</t>
  </si>
  <si>
    <t>query_HAVE RECIEVED WELFARE TAX EXEMPTION</t>
  </si>
  <si>
    <t>query_Leasing Link</t>
  </si>
  <si>
    <t>query_APN No. 1</t>
  </si>
  <si>
    <t>query_APN No. 2</t>
  </si>
  <si>
    <t>query_Unnamed: 22</t>
  </si>
  <si>
    <t>query_Property Taxes Link</t>
  </si>
  <si>
    <t>query_23 Ass. Value</t>
  </si>
  <si>
    <t>query_25 Ass. Value</t>
  </si>
  <si>
    <t>query_Unnamed: 26</t>
  </si>
  <si>
    <t>query_City's Cut</t>
  </si>
  <si>
    <t>query_ED 1?</t>
  </si>
  <si>
    <t>query_Last Tax Amt</t>
  </si>
  <si>
    <t>query_Last Tax Yr</t>
  </si>
  <si>
    <t>query_Current Amt</t>
  </si>
  <si>
    <t>query_Current Yr</t>
  </si>
  <si>
    <t>query_address_number</t>
  </si>
  <si>
    <t>103 S EDGEMONT STREET LOS ANGELES CA 90004</t>
  </si>
  <si>
    <t>103 S EDGEMONT ST LOS ANGELES CA 90004-5551</t>
  </si>
  <si>
    <t>Residential - Five or more apartments</t>
  </si>
  <si>
    <t>R3-1</t>
  </si>
  <si>
    <t>Multiple Residential</t>
  </si>
  <si>
    <t>GROSS ASSESSED</t>
  </si>
  <si>
    <t>Approve application for a proposed grant up to $10,000 (Charitable Affordable Housing)</t>
  </si>
  <si>
    <t>1641 ALEXANDRIA LLC AND</t>
  </si>
  <si>
    <t>345 N MAPLE DR STE 135</t>
  </si>
  <si>
    <t>EDGEMONT</t>
  </si>
  <si>
    <t>los-angeles</t>
  </si>
  <si>
    <t>SoLa Impact</t>
  </si>
  <si>
    <t>4256 Whittier Blvd, Los Angeles, CA</t>
  </si>
  <si>
    <t>11001 S. Vermont Ave, Los Angeles</t>
  </si>
  <si>
    <t>CSCDA</t>
  </si>
  <si>
    <t>Governmental Grant</t>
  </si>
  <si>
    <t>1057 S WESTERN AVENUE LOS ANGELES CA</t>
  </si>
  <si>
    <t>1057 S WESTERN AVE LOS ANGELES CA 90006-2344</t>
  </si>
  <si>
    <t>C2-1</t>
  </si>
  <si>
    <t>WESTERN 19 LLC</t>
  </si>
  <si>
    <t>WESTERN</t>
  </si>
  <si>
    <t>5805 Charlotte Drive, San Jose, CA 95123</t>
  </si>
  <si>
    <t>9033 Ramsgate L.P.</t>
  </si>
  <si>
    <t>Kairos Investment Management Company &amp; Pacific Housing, Inc., or an affiliate</t>
  </si>
  <si>
    <t>Approve application for grant up to $10,000</t>
  </si>
  <si>
    <t>10705 AVALON BLVD LOS ANGELES CA</t>
  </si>
  <si>
    <t>10705 AVALON BLVD LOS ANGELES CA 90061-2521</t>
  </si>
  <si>
    <t>Commercial - Stores</t>
  </si>
  <si>
    <t>[Q]R4-1</t>
  </si>
  <si>
    <t>Qualified Multiple Residential</t>
  </si>
  <si>
    <t>BIF NON OZ 10705 AVALON BLVD LP</t>
  </si>
  <si>
    <t>Pacific Housing, Inc. &amp; Concord Companies, or an affiliate</t>
  </si>
  <si>
    <t>1000 E 60TH ST</t>
  </si>
  <si>
    <t>AVALON</t>
  </si>
  <si>
    <t>The Langham Apartments</t>
  </si>
  <si>
    <t>The Piccadilly Apartments</t>
  </si>
  <si>
    <t>AH 1408 Jefferson LP, or an affiliate</t>
  </si>
  <si>
    <t>6633 VALLEY HI DR SACRAMENTO 95823</t>
  </si>
  <si>
    <t>10811 S COMPTON AVENUE LOS ANGELES CA</t>
  </si>
  <si>
    <t>10811 COMPTON AVE LOS ANGELES CA 90059-1143</t>
  </si>
  <si>
    <t>C2-1VL-CPIO</t>
  </si>
  <si>
    <t>Commercial Very Limited Height Community Plan Implementation Overlay</t>
  </si>
  <si>
    <t>003-117</t>
  </si>
  <si>
    <t>COMPTON</t>
  </si>
  <si>
    <t>5150 ECR LOS ALTOS, LLC</t>
  </si>
  <si>
    <t>Harken Apartments</t>
  </si>
  <si>
    <t>25-551</t>
  </si>
  <si>
    <t>Standard Summerwood LP</t>
  </si>
  <si>
    <t>10910 HUSTON ST NORTH HOLLYWOOD CA 91601</t>
  </si>
  <si>
    <t>Summerwood Apartment Homes</t>
  </si>
  <si>
    <t>10910 HUSTON ST NORTH HOLLYWOOD CA 91601-4618</t>
  </si>
  <si>
    <t>Residential - Single</t>
  </si>
  <si>
    <t>[Q]R3-1</t>
  </si>
  <si>
    <t>333 Douglas Street, LP</t>
  </si>
  <si>
    <t>10910 HUSTON LLC</t>
  </si>
  <si>
    <t>7257 BEVERLY BLVD UNIT 212</t>
  </si>
  <si>
    <t>HUSTON</t>
  </si>
  <si>
    <t>SFF3, LLC</t>
  </si>
  <si>
    <t>Lindley Northridge LLC</t>
  </si>
  <si>
    <t>920 Gramercy Upwell, LP</t>
  </si>
  <si>
    <t>5669 N Fresno St, Fresno, CA 93710</t>
  </si>
  <si>
    <t>Mansfield Micro LP</t>
  </si>
  <si>
    <t>110 IMPERIAL HIGHWAY LOS ANGELES CA</t>
  </si>
  <si>
    <t>110 E IMPERIAL HWY LOS ANGELES CA 90061-2543</t>
  </si>
  <si>
    <t>Industrial - Lgt Manf.Sm. EQPT. Manuf Sm.Shps Instr.Manuf. Prnt Plnts</t>
  </si>
  <si>
    <t>C2-2D-CPIO</t>
  </si>
  <si>
    <t>Commercial 2 Development Limitations Community Plan Implementation Overlay</t>
  </si>
  <si>
    <t>10705 Avalon Blvd
Apartments</t>
  </si>
  <si>
    <t>WASHINGTONLANIS E</t>
  </si>
  <si>
    <t>24-040</t>
  </si>
  <si>
    <t>110 E IMPERIAL HWY</t>
  </si>
  <si>
    <t>1100-1200 E FAIRHAVEN AVENUE SANTA ANA CA</t>
  </si>
  <si>
    <t>R4</t>
  </si>
  <si>
    <t>Suburban Apartment</t>
  </si>
  <si>
    <t>BRETT GEORGE H TR G H</t>
  </si>
  <si>
    <t>2309 PACIFIC COAST HWY</t>
  </si>
  <si>
    <t>FAIRHAVEN</t>
  </si>
  <si>
    <t>orange</t>
  </si>
  <si>
    <t>1540 W Court Street, LP</t>
  </si>
  <si>
    <t>1540 W. Court Apartments</t>
  </si>
  <si>
    <t>1111 S NORTON AVENUE LOS ANGELES CA 90019</t>
  </si>
  <si>
    <t>1111 S NORTON AVE LOS ANGELES CA 90019-3363</t>
  </si>
  <si>
    <t>R3-1-O-HPOZ</t>
  </si>
  <si>
    <t>Multiple Residential Oil Drilling Historic Preservation Overlay Zone</t>
  </si>
  <si>
    <t>25-552</t>
  </si>
  <si>
    <t>1111 NORTON LLC</t>
  </si>
  <si>
    <t>PO BOX 46342</t>
  </si>
  <si>
    <t>NORTON</t>
  </si>
  <si>
    <t>BIF NON OZ 1100 MLK BLK, LP, a California limited partnership</t>
  </si>
  <si>
    <t>1136 S ALVARADO STREET LOS ANGELES CA</t>
  </si>
  <si>
    <t>1136 S ALVARADO ST LOS ANGELES CA 90006-4138</t>
  </si>
  <si>
    <t>Commercial - Auto, Recreation EQPT, Construction EQPT, Sales &amp; Service</t>
  </si>
  <si>
    <t>C2-1-HPOZ</t>
  </si>
  <si>
    <t>Commercial Historic Preservation Overlay Zone</t>
  </si>
  <si>
    <t>1132 ALVARADO LLC</t>
  </si>
  <si>
    <t>1401 WESTWOOD BLVD STE 300</t>
  </si>
  <si>
    <t>ALVARADO</t>
  </si>
  <si>
    <t>SH Owner L.P.</t>
  </si>
  <si>
    <t>1180 LOCHINVAR AVE SUNNYVALE CA 94087</t>
  </si>
  <si>
    <t>1180 LOCHINVAR AVE SUNNYVALE CA 94087-5100</t>
  </si>
  <si>
    <t>Five or more Family</t>
  </si>
  <si>
    <t>SIOF 5 Properties, LP</t>
  </si>
  <si>
    <t>High Density Residential</t>
  </si>
  <si>
    <t>ASSESSED</t>
  </si>
  <si>
    <t>SUNNYVALE CROSSINGS APARTMENTS LLC</t>
  </si>
  <si>
    <t>2 SIOF 685 W. Fourth St, LP</t>
  </si>
  <si>
    <t>4970 EL CAMINO REAL STE 220</t>
  </si>
  <si>
    <t>685 W. 4th Street Apartments</t>
  </si>
  <si>
    <t>LOCHINVAR</t>
  </si>
  <si>
    <t>santa-clara</t>
  </si>
  <si>
    <t>Ethos GP I Venture, LP,</t>
  </si>
  <si>
    <t>25-553</t>
  </si>
  <si>
    <t>Six Peak Capital</t>
  </si>
  <si>
    <t>1201 FULTON AVE SACRAMENTO CA 95825</t>
  </si>
  <si>
    <t>AE063A</t>
  </si>
  <si>
    <t>RD-30</t>
  </si>
  <si>
    <t>High Density Multifamily Residential</t>
  </si>
  <si>
    <t>NET ASSESSED</t>
  </si>
  <si>
    <t>1201 FULTON AVE TIC 1 LLCETAL</t>
  </si>
  <si>
    <t>700 N SAN VICENTE BLVD #G860</t>
  </si>
  <si>
    <t>FULTON</t>
  </si>
  <si>
    <t>sacramento</t>
  </si>
  <si>
    <t>10910 Huston, LP</t>
  </si>
  <si>
    <t>Crystal Springs Terrace Owner, LLC</t>
  </si>
  <si>
    <t>Crystal Springs Terrace Apartments</t>
  </si>
  <si>
    <t>1212 WHIPPLE AVE REDWOOD CITY CA 94062</t>
  </si>
  <si>
    <t>105L</t>
  </si>
  <si>
    <t>Langdon Park Capital or an affiliate</t>
  </si>
  <si>
    <t>R-5</t>
  </si>
  <si>
    <t>Multi Family High Density</t>
  </si>
  <si>
    <t>Covina</t>
  </si>
  <si>
    <t>MARKET</t>
  </si>
  <si>
    <t>SFF 3 LLC</t>
  </si>
  <si>
    <t>599 CASTRO ST STE 400</t>
  </si>
  <si>
    <t>WHIPPLE</t>
  </si>
  <si>
    <t>san-mateo</t>
  </si>
  <si>
    <t>25-554</t>
  </si>
  <si>
    <t>052-082-450</t>
  </si>
  <si>
    <t>UrbanCore Development</t>
  </si>
  <si>
    <t>https://county-taxes.net/ca-sanmateo/services/property-tax/c2FubWF0ZW8tY2E6Z3NneF9wcm9wZXJ0eV90YXg6cGFyZW50czoxM2E3OTkwMy1kNzE2LTExZWMtOTZjMy0wMDUwNTZhNDQzNDc=</t>
  </si>
  <si>
    <t>805 71st Avenue, Oakland, CA</t>
  </si>
  <si>
    <t>12300 SHERMAN WAY NORTH HOLLYWOOD CA 91605</t>
  </si>
  <si>
    <t>12300 SHERMAN WAY NORTH HOLLYWOOD CA 91605-5527</t>
  </si>
  <si>
    <t>POST MARQUEE NORTH HOLLYWOOD LP</t>
  </si>
  <si>
    <t>8149 SANTA MONICA BLVD STE 298</t>
  </si>
  <si>
    <t>SHERMAN</t>
  </si>
  <si>
    <t>1250 S EUCLID ST ANAHEIM CA</t>
  </si>
  <si>
    <t>RM-4</t>
  </si>
  <si>
    <t>Multiple Family Residential</t>
  </si>
  <si>
    <t>EUCLID BALL ASSOC</t>
  </si>
  <si>
    <t>PO BOX 847</t>
  </si>
  <si>
    <t>1 SHOAL CT SACRAMENTO 95831</t>
  </si>
  <si>
    <t>EUCLID</t>
  </si>
  <si>
    <t>1260 GROVE ST HEALDSBURG CA 95448</t>
  </si>
  <si>
    <t>1260 GROVE ST HEALDSBURG CA 95448-4784</t>
  </si>
  <si>
    <t>ENFORCEABLY RESTRICTED APTS</t>
  </si>
  <si>
    <t>MU</t>
  </si>
  <si>
    <t>Mixed Use District</t>
  </si>
  <si>
    <t>TOTAL ASSESSED</t>
  </si>
  <si>
    <t>SVI MFH LLC</t>
  </si>
  <si>
    <t>DBA CITRINE APARTMENTS</t>
  </si>
  <si>
    <t>GROVE</t>
  </si>
  <si>
    <t>sonoma</t>
  </si>
  <si>
    <t>130 S ALEXANDRIA AVENUE LOS ANGELES CA</t>
  </si>
  <si>
    <t>130 S ALEXANDRIA AVE LOS ANGELES CA 90004-2791</t>
  </si>
  <si>
    <t>130 ALEXANDRIA LLC</t>
  </si>
  <si>
    <t>11030 SANTA MONICA BLVD STE 300</t>
  </si>
  <si>
    <t>ALEXANDRIA</t>
  </si>
  <si>
    <t>25-555</t>
  </si>
  <si>
    <t>1180 Lochinvar Ave, Sunnyvale, CA 94087</t>
  </si>
  <si>
    <t>1422-1428 6TH ST SANTA MONICA CA</t>
  </si>
  <si>
    <t>1422 6TH ST SANTA MONICA CA 90401-2542</t>
  </si>
  <si>
    <t>Commercial - Store Combination</t>
  </si>
  <si>
    <t>TA</t>
  </si>
  <si>
    <t>Transit Adjacent</t>
  </si>
  <si>
    <t>GC 1422 1428 6TH LP</t>
  </si>
  <si>
    <t>3019 OCEAN PARK BLVD</t>
  </si>
  <si>
    <t>6TH</t>
  </si>
  <si>
    <t>231-151-27</t>
  </si>
  <si>
    <t>12021 BAYPORT ST GARDEN GROVE 92840</t>
  </si>
  <si>
    <t>1422-1432 7TH SANTA MONICA CA</t>
  </si>
  <si>
    <t>1422 7TH ST SANTA MONICA CA 90401-2653</t>
  </si>
  <si>
    <t>NV</t>
  </si>
  <si>
    <t>Neighborhood Village</t>
  </si>
  <si>
    <t>GC 1422 1432 7TH LP</t>
  </si>
  <si>
    <t>3019 OCEAN PARK BLVD STE 730</t>
  </si>
  <si>
    <t>7TH</t>
  </si>
  <si>
    <t>231-151-28</t>
  </si>
  <si>
    <t>12156 BAYPORT ST GARDEN GROVE 92840</t>
  </si>
  <si>
    <t>1423-1425 6TH SANTA MONICA CA</t>
  </si>
  <si>
    <t>1423 6TH ST SANTA MONICA CA 90401-2593</t>
  </si>
  <si>
    <t>GC 1423 1425 6TH LP</t>
  </si>
  <si>
    <t>1522 6TH ST SANTA MONICA CA</t>
  </si>
  <si>
    <t>1522 6TH ST SANTA MONICA CA 90401-2548</t>
  </si>
  <si>
    <t>GC 1522 6TH LP</t>
  </si>
  <si>
    <t>1537 7TH SANTA MONICA CA</t>
  </si>
  <si>
    <t>1537 7TH ST SANTA MONICA CA 90401-2672</t>
  </si>
  <si>
    <t>GC 1537 7TH LP</t>
  </si>
  <si>
    <t>25-556</t>
  </si>
  <si>
    <t>5210 Monterey Rd, San Jose, CA 95111</t>
  </si>
  <si>
    <t>1700 NEWBURY PARK DR SAN JOSE CA 95133</t>
  </si>
  <si>
    <t>1700 NEWBURY PARK DR SAN JOSE CA 95133-1771</t>
  </si>
  <si>
    <t>A(PD</t>
  </si>
  <si>
    <t>Agriculture Planned Development</t>
  </si>
  <si>
    <t>STOCKBRIDGE NEWBURY PARK LLC</t>
  </si>
  <si>
    <t>4 EMBARCADERO UNIT 3000</t>
  </si>
  <si>
    <t>NEWBURY PARK</t>
  </si>
  <si>
    <t>254-04-108</t>
  </si>
  <si>
    <t>1734 S BARRINGTON AVE LOS ANGELES CA 90025-4010</t>
  </si>
  <si>
    <t>Residential - Three Units (Any Combination)</t>
  </si>
  <si>
    <t>[Q]RD1.5-1</t>
  </si>
  <si>
    <t>Qualified Restricted Density Multiple Dwelling</t>
  </si>
  <si>
    <t>PASSO BARRINGTON LP</t>
  </si>
  <si>
    <t>121 S PALM DR APT 301</t>
  </si>
  <si>
    <t>BARRINGTON</t>
  </si>
  <si>
    <t>284-24-015</t>
  </si>
  <si>
    <t>2070 Southwest Ex, San Jose, CA 95128</t>
  </si>
  <si>
    <t>any_address</t>
  </si>
  <si>
    <t>1735 S MISSION RD FALLBROOK CA 92028</t>
  </si>
  <si>
    <t>Vacant and Undeveloped Land</t>
  </si>
  <si>
    <t>C34-AR(Q -D(40 -LOT(- -BT(L -MFAR(- -FAR(- -H(G -COV(- -SB(O -OS(A -SR(B-C</t>
  </si>
  <si>
    <t>General Commercial And Residential</t>
  </si>
  <si>
    <t>1735 SOUTH MISSION LP</t>
  </si>
  <si>
    <t>7755 CENTER AVE #575</t>
  </si>
  <si>
    <t>MISSION</t>
  </si>
  <si>
    <t>san-diego</t>
  </si>
  <si>
    <t>25-557</t>
  </si>
  <si>
    <t>5518013007</t>
  </si>
  <si>
    <t>3765 Tamarack Ln, Santa Clara, CA 95051</t>
  </si>
  <si>
    <t>1747 STONER AVENUE LOS ANGELES CA 90025</t>
  </si>
  <si>
    <t>1747 STONER AVE LOS ANGELES CA 90025-1812</t>
  </si>
  <si>
    <t>PASSO STONER LP</t>
  </si>
  <si>
    <t>170-04-068</t>
  </si>
  <si>
    <t>STONER</t>
  </si>
  <si>
    <t>5150 EL CAMINO REAL LOS ALTOS CA</t>
  </si>
  <si>
    <t>5080006008</t>
  </si>
  <si>
    <t>18325 SATICOY ST RESEDA CA 91335</t>
  </si>
  <si>
    <t>18325 SATICOY ST RESEDA CA 91335-2965</t>
  </si>
  <si>
    <t>QR3-1</t>
  </si>
  <si>
    <t>HACIENDA INVESTORS LP</t>
  </si>
  <si>
    <t>15301 VENTURA BLVD STE 5B70</t>
  </si>
  <si>
    <t>SATICOY</t>
  </si>
  <si>
    <t>170-04-069</t>
  </si>
  <si>
    <t>6063029029</t>
  </si>
  <si>
    <t>18337 KITTRIDGE ST RESEDA CA 91335</t>
  </si>
  <si>
    <t>18337 KITTRIDGE ST RESEDA CA 91335-6108</t>
  </si>
  <si>
    <t>R3-1-RIO</t>
  </si>
  <si>
    <t>Multiple Residential River Improvement Overlay</t>
  </si>
  <si>
    <t>18337 KITTRIDGE LLC</t>
  </si>
  <si>
    <t>8549 WILSHIRE BLVD PMB 3456</t>
  </si>
  <si>
    <t>KITTRIDGE</t>
  </si>
  <si>
    <t>25-562</t>
  </si>
  <si>
    <t>6070-003-038</t>
  </si>
  <si>
    <t>10811 COMPTON AVE LOS ANGELES CA 90059</t>
  </si>
  <si>
    <t>25404108</t>
  </si>
  <si>
    <t>18615 E ARROW HWY COVINA CA 91722</t>
  </si>
  <si>
    <t>18615 E ARROW HWY COVINA CA 91722-1828</t>
  </si>
  <si>
    <t>CAH</t>
  </si>
  <si>
    <t>Corridor Arrow Highway</t>
  </si>
  <si>
    <t>PACIFIC TRAILS LP</t>
  </si>
  <si>
    <t>2566 OVERLAND AVE STE 700</t>
  </si>
  <si>
    <t>ARROW</t>
  </si>
  <si>
    <t>2421011010</t>
  </si>
  <si>
    <t>200 S KENMORE AVENUE LOS ANGELES CA</t>
  </si>
  <si>
    <t>200 S KENMORE AVE LOS ANGELES CA 90004-5650</t>
  </si>
  <si>
    <t>KENMORE II 20 LLC</t>
  </si>
  <si>
    <t>KENMORE</t>
  </si>
  <si>
    <t>372-26-016</t>
  </si>
  <si>
    <t>1028 S De Anza Bl, San Jose, CA 95129</t>
  </si>
  <si>
    <t>6083001009</t>
  </si>
  <si>
    <t>2001-2029 OLYMPIC BLVD SANTA MONICA</t>
  </si>
  <si>
    <t>2001 OLYMPIC BLVD SANTA MONICA CA 90404-3942</t>
  </si>
  <si>
    <t>IC</t>
  </si>
  <si>
    <t>Industrial Conservation</t>
  </si>
  <si>
    <t>GC 20012029 OLYMPIC LP</t>
  </si>
  <si>
    <t>OLYMPIC</t>
  </si>
  <si>
    <t>4275024007, 4275-024-011, 4275-024-016</t>
  </si>
  <si>
    <t>296-40-005</t>
  </si>
  <si>
    <t>2025 E 4TH STREET LOS ANGELES CA</t>
  </si>
  <si>
    <t>355 Kiely Bl, San Jose, CA 95129</t>
  </si>
  <si>
    <t>2025 E 4TH ST LOS ANGELES CA 90033-4364</t>
  </si>
  <si>
    <t>[Q]C2-1-CUGU</t>
  </si>
  <si>
    <t>Qualified Commercial Clean Up Green Up Overlay</t>
  </si>
  <si>
    <t>9040 HARRATT LLC AND</t>
  </si>
  <si>
    <t>4TH</t>
  </si>
  <si>
    <t>2025 NEW JERSEY ST LOS ANGELES CA</t>
  </si>
  <si>
    <t>2025 NEW JERSEY ST LOS ANGELES CA 90033-2883</t>
  </si>
  <si>
    <t>[Q]R4-1-CUGU</t>
  </si>
  <si>
    <t>Qualified Multiple Residential Clean Up Green Up Overlay</t>
  </si>
  <si>
    <t>2025 NJ LP</t>
  </si>
  <si>
    <t>269 S BEVERLY DR PMB 182</t>
  </si>
  <si>
    <t>NEW JERSEY</t>
  </si>
  <si>
    <t>23-203</t>
  </si>
  <si>
    <t>296-40-004</t>
  </si>
  <si>
    <t>4240 Albany Dr, San Jose, CA 95129</t>
  </si>
  <si>
    <t>207 S OXFORD AVENUE LOS ANGELES CA</t>
  </si>
  <si>
    <t>207 N OXFORD AVE LOS ANGELES CA 90004-4230</t>
  </si>
  <si>
    <t>R4-1</t>
  </si>
  <si>
    <t>5081006014</t>
  </si>
  <si>
    <t>OXFORD 20 LLC</t>
  </si>
  <si>
    <t>OXFORD</t>
  </si>
  <si>
    <t>25-563</t>
  </si>
  <si>
    <t>209 WESTMORELAND AVE LOS ANGELES CA 90004</t>
  </si>
  <si>
    <t>209 S WESTMORELAND AVE LOS ANGELES CA 90004-6109</t>
  </si>
  <si>
    <t>296-40-003</t>
  </si>
  <si>
    <t>4280 Albany Dr, San Jose, CA 95129</t>
  </si>
  <si>
    <t>5136019023</t>
  </si>
  <si>
    <t>KW WESTMORELAND TIC LLC AND</t>
  </si>
  <si>
    <t>151 EL CAMINO DR</t>
  </si>
  <si>
    <t>WESTMORELAND</t>
  </si>
  <si>
    <t>220 47TH ST SAN DIEGO CA 92102</t>
  </si>
  <si>
    <t>Multi-Family Residential</t>
  </si>
  <si>
    <t>RM-2-5</t>
  </si>
  <si>
    <t>Residential Multiple Unit</t>
  </si>
  <si>
    <t>CREEKSIDE HOLDINGS LTD</t>
  </si>
  <si>
    <t>595 RIVERWOOD DR #400</t>
  </si>
  <si>
    <t>47TH</t>
  </si>
  <si>
    <t>31342061</t>
  </si>
  <si>
    <t>70607013</t>
  </si>
  <si>
    <t>5805 CHARLOTTE DR SAN JOSE CA 95123-3619</t>
  </si>
  <si>
    <t>228 N SOTO STREET LOS ANGELES CA</t>
  </si>
  <si>
    <t>228 N SOTO ST LOS ANGELES CA 90033-2915</t>
  </si>
  <si>
    <t>R4-1-CUGU</t>
  </si>
  <si>
    <t>Multiple Residential Clean Up Green Up Overlay</t>
  </si>
  <si>
    <t>EV 228 SOTO LLC</t>
  </si>
  <si>
    <t>SOTO</t>
  </si>
  <si>
    <t>2330 E 3RD STREET LOS ANGELES CA</t>
  </si>
  <si>
    <t>2330 E 3RD ST LOS ANGELES CA 90033-4012</t>
  </si>
  <si>
    <t>21332022</t>
  </si>
  <si>
    <t>RD1.5-1-CUGU</t>
  </si>
  <si>
    <t>Restricted Density Multiple Dwelling Clean Up Green Up Overlay</t>
  </si>
  <si>
    <t>3765 TAMARACK LN SANTA CLARA CA 95051-2571</t>
  </si>
  <si>
    <t>3RD</t>
  </si>
  <si>
    <t>2345 NORTHROP AVE SACRAMENTO CA 95825</t>
  </si>
  <si>
    <t>AE272A</t>
  </si>
  <si>
    <t>DEMMON THE FALLS LLC</t>
  </si>
  <si>
    <t>702 MARSHALL ST #306</t>
  </si>
  <si>
    <t>NORTHROP</t>
  </si>
  <si>
    <t>2321001019</t>
  </si>
  <si>
    <t>684-29-011</t>
  </si>
  <si>
    <t>5150 Monterey Rd, San Jose, CA 95111</t>
  </si>
  <si>
    <t>236 N BERENDO STREET LOS ANGELES CA</t>
  </si>
  <si>
    <t>236 N BERENDO ST LOS ANGELES CA 90004-4704</t>
  </si>
  <si>
    <t>236 BERENDO HOLDINGS OZ LP</t>
  </si>
  <si>
    <t>430 S GARFIELD AVE STE 316</t>
  </si>
  <si>
    <t>BERENDO</t>
  </si>
  <si>
    <t>25-564</t>
  </si>
  <si>
    <t>2414 N TUSTIN AVE SANTA ANA CA 92705</t>
  </si>
  <si>
    <t>Concord Companies</t>
  </si>
  <si>
    <t>TUSTIN AVENUE APARTMENTS LLC</t>
  </si>
  <si>
    <t>7 CORPORATE PARK DR</t>
  </si>
  <si>
    <t>TUSTIN</t>
  </si>
  <si>
    <t>684-28-078</t>
  </si>
  <si>
    <t>70 Crocker Ct, San Jose, CA 95111</t>
  </si>
  <si>
    <t>2415 VALDEZ ST OAKLAND CA 94612</t>
  </si>
  <si>
    <t>D-BV-2</t>
  </si>
  <si>
    <t>Broadway Valdez 2</t>
  </si>
  <si>
    <t>NOOK VALDEZ II LLC</t>
  </si>
  <si>
    <t>P O BOX 121088</t>
  </si>
  <si>
    <t>VALDEZ</t>
  </si>
  <si>
    <t>alameda</t>
  </si>
  <si>
    <t>24-075</t>
  </si>
  <si>
    <t>89082034000</t>
  </si>
  <si>
    <t>https://propinfo.acgov.org/?PRINT_PARCEL=8-672-8-1</t>
  </si>
  <si>
    <t>25-565</t>
  </si>
  <si>
    <t>467-45-084</t>
  </si>
  <si>
    <t>201 S 4Th St</t>
  </si>
  <si>
    <t>5518013024</t>
  </si>
  <si>
    <t>017-101</t>
  </si>
  <si>
    <t>247 S ALEXANDRIA AVENUE LOS ANGELES CA</t>
  </si>
  <si>
    <t>247 S ALEXANDRIA AVE LOS ANGELES CA 90004-5549</t>
  </si>
  <si>
    <t>1428 6TH ST SANTA MONICA CA 90401-2542</t>
  </si>
  <si>
    <t>247 S ALEXANDRIA LLC</t>
  </si>
  <si>
    <t>467-45-075</t>
  </si>
  <si>
    <t>115 E San Carlos</t>
  </si>
  <si>
    <t>017-102</t>
  </si>
  <si>
    <t>4291019006</t>
  </si>
  <si>
    <t>260 S MARIPOSA AVENUE LOS ANGELES CA</t>
  </si>
  <si>
    <t>260 S MARIPOSA AVE LOS ANGELES CA 90004-5470</t>
  </si>
  <si>
    <t>467-45-074</t>
  </si>
  <si>
    <t>115 E San Carlos St</t>
  </si>
  <si>
    <t>260 S MARIPOSA LLC</t>
  </si>
  <si>
    <t>MARIPOSA</t>
  </si>
  <si>
    <t>017-103</t>
  </si>
  <si>
    <t>4291020005</t>
  </si>
  <si>
    <t>25-566</t>
  </si>
  <si>
    <t>467-45-073</t>
  </si>
  <si>
    <t>26409 GADING RD HAYWARD CA 94544</t>
  </si>
  <si>
    <t>200 S 3Rd St</t>
  </si>
  <si>
    <t>RM</t>
  </si>
  <si>
    <t>Medium Density Residential</t>
  </si>
  <si>
    <t>SFF 2 LLC</t>
  </si>
  <si>
    <t>599 CASTRO ST</t>
  </si>
  <si>
    <t>017-104</t>
  </si>
  <si>
    <t>GADING</t>
  </si>
  <si>
    <t>1430 7TH ST SANTA MONICA CA 904012600</t>
  </si>
  <si>
    <t>154-01-034</t>
  </si>
  <si>
    <t>234 Escuela Av</t>
  </si>
  <si>
    <t>1432 7TH ST SANTA MONICA CA 904012612</t>
  </si>
  <si>
    <t>1425 6TH ST SANTA MONICA CA 904012558</t>
  </si>
  <si>
    <t>275 TURK ST SAN FRANCISCO CA</t>
  </si>
  <si>
    <t>RC-4-80-T-120-T</t>
  </si>
  <si>
    <t>Residential Commercial High Density</t>
  </si>
  <si>
    <t>RHIMOSSER 275 TURK LP</t>
  </si>
  <si>
    <t>220 MONTGOMERY ST FL 20</t>
  </si>
  <si>
    <t>25-567</t>
  </si>
  <si>
    <t>TURK</t>
  </si>
  <si>
    <t>san-francisco</t>
  </si>
  <si>
    <t>4291020019</t>
  </si>
  <si>
    <t>0344 007</t>
  </si>
  <si>
    <t>3081 N MAIN ST WALNUT CREEK CA 94597</t>
  </si>
  <si>
    <t>Apartments, 25-59 units</t>
  </si>
  <si>
    <t>4291024007</t>
  </si>
  <si>
    <t>M-1.5</t>
  </si>
  <si>
    <t>ENCLAVE LP</t>
  </si>
  <si>
    <t>2191 MARKET ST STE A</t>
  </si>
  <si>
    <t>343 MOON RIVER PL VACAVILLE CA 95687</t>
  </si>
  <si>
    <t>MAIN</t>
  </si>
  <si>
    <t>contra-costa</t>
  </si>
  <si>
    <t>4291022015</t>
  </si>
  <si>
    <t>170-100-027-3</t>
  </si>
  <si>
    <t>333 DOUGLAS ST LOS ANGELES CA</t>
  </si>
  <si>
    <t>333 DOUGLAS ST LOS ANGELES CA 90026-5632</t>
  </si>
  <si>
    <t>CW</t>
  </si>
  <si>
    <t>Central City West Specific Plan</t>
  </si>
  <si>
    <t>CAR VORTEX LLC</t>
  </si>
  <si>
    <t>3300 NORTHSIDE PKWY NW</t>
  </si>
  <si>
    <t>DOUGLAS</t>
  </si>
  <si>
    <t>3400 RICHMOND PKWY RICHMOND CA 94806</t>
  </si>
  <si>
    <t>25-568</t>
  </si>
  <si>
    <t>Apartments, 60 units or more</t>
  </si>
  <si>
    <t>RM2</t>
  </si>
  <si>
    <t>Golden Bee Properties</t>
  </si>
  <si>
    <t>Multifamily High Density Residential</t>
  </si>
  <si>
    <t xml:space="preserve">Kingdom Development, Inc. </t>
  </si>
  <si>
    <t>GUARDIANKW HILLTOP LLC</t>
  </si>
  <si>
    <t>151 S EL CAMINO DR</t>
  </si>
  <si>
    <t>RICHMOND</t>
  </si>
  <si>
    <t>4262018026</t>
  </si>
  <si>
    <t>405-490-007-3</t>
  </si>
  <si>
    <t>https://taxcolp.cccttc.us/PTS_TaxbillsPdfCY?APN=405490007</t>
  </si>
  <si>
    <t>Hawaiian Gardens</t>
  </si>
  <si>
    <t>25-569</t>
  </si>
  <si>
    <t>4262016011</t>
  </si>
  <si>
    <t>MKCR Capital LLC</t>
  </si>
  <si>
    <t>363 E GILBERT ST SAN BERNARDINO CA</t>
  </si>
  <si>
    <t>SENIOR CITIZEN APT, 15 UNITS AND UP</t>
  </si>
  <si>
    <t>CO</t>
  </si>
  <si>
    <t>Commercial Office</t>
  </si>
  <si>
    <t>CASTLE ROCK BERNARDINE APARTMENTS LP</t>
  </si>
  <si>
    <t>17328 VENTURA BLVD #404</t>
  </si>
  <si>
    <t>GILBERT</t>
  </si>
  <si>
    <t>san-bernardino</t>
  </si>
  <si>
    <t>2119001222</t>
  </si>
  <si>
    <t>23-202</t>
  </si>
  <si>
    <t>3715 W 1ST STREET LOS ANGELES CA</t>
  </si>
  <si>
    <t>3715 W 1ST ST LOS ANGELES CA 90004-5848</t>
  </si>
  <si>
    <t>3715 W 1ST STREET LLC</t>
  </si>
  <si>
    <t>2125017014</t>
  </si>
  <si>
    <t>1ST</t>
  </si>
  <si>
    <t>3765 TAMARACK LN SANTA CLARA CA 95051</t>
  </si>
  <si>
    <t>8630009026</t>
  </si>
  <si>
    <t>25-570</t>
  </si>
  <si>
    <t>R3-25D</t>
  </si>
  <si>
    <t>Moderate Density Multiple Dwelling</t>
  </si>
  <si>
    <t>MONTECITO SANTA CLARA LLC</t>
  </si>
  <si>
    <t>777 S CALIFORNIA AVE STE 100</t>
  </si>
  <si>
    <t>TAMARACK</t>
  </si>
  <si>
    <t>2000 Crystal Springs Rd, San Bruno, CA 94066</t>
  </si>
  <si>
    <t>5518020021</t>
  </si>
  <si>
    <t>38000 CAMDEN ST FREMONT CA 94536</t>
  </si>
  <si>
    <t>P-63-2</t>
  </si>
  <si>
    <t>Planned District 63 2</t>
  </si>
  <si>
    <t>CAMDEN STREET APARTMENTS LLC</t>
  </si>
  <si>
    <t>CAMDEN</t>
  </si>
  <si>
    <t>4275024005</t>
  </si>
  <si>
    <t>NO/YES</t>
  </si>
  <si>
    <t>2029 OLYMPIC BLVD SANTA MONICA CA 904043922</t>
  </si>
  <si>
    <t>381 TURK ST SAN FRANCISCO CA</t>
  </si>
  <si>
    <t>25-571</t>
  </si>
  <si>
    <t>RC-4-80-T</t>
  </si>
  <si>
    <t>Kairos Investment Management Company</t>
  </si>
  <si>
    <t>381 TURK STREET ASSOCIATES LLC</t>
  </si>
  <si>
    <t>5183012030</t>
  </si>
  <si>
    <t>0345 012C</t>
  </si>
  <si>
    <t>38441 5TH ST W PALMDALE CA 93551-4262</t>
  </si>
  <si>
    <t>RN-2</t>
  </si>
  <si>
    <t>Residential Neighborhood 2</t>
  </si>
  <si>
    <t>5183001017</t>
  </si>
  <si>
    <t>PALM CHAPARRAL APARTMENTS LLC</t>
  </si>
  <si>
    <t>8149 SANTA MONICA BLVD PMB 298</t>
  </si>
  <si>
    <t>5TH</t>
  </si>
  <si>
    <t>5517005016</t>
  </si>
  <si>
    <t>400 CANAL ST SAN RAFAEL CA 94901</t>
  </si>
  <si>
    <t>Multiple-Resid. - Improved</t>
  </si>
  <si>
    <t>HR1-C</t>
  </si>
  <si>
    <t>High Density Multi Family Residential And Canalfront Review Overlay District</t>
  </si>
  <si>
    <t>400 MERIDIAN LP</t>
  </si>
  <si>
    <t>2191 MARKET ST</t>
  </si>
  <si>
    <t>CANAL</t>
  </si>
  <si>
    <t>marin</t>
  </si>
  <si>
    <t>5501013028</t>
  </si>
  <si>
    <t>25-572</t>
  </si>
  <si>
    <t>4101 SOMERSET DRIVE LOS ANGELES CA</t>
  </si>
  <si>
    <t>4101 SOMERSET DR LOS ANGELES CA 90008-3465</t>
  </si>
  <si>
    <t>36000 Fremont Boulevard, Fremont, CA</t>
  </si>
  <si>
    <t>C2-1-SP</t>
  </si>
  <si>
    <t>Commercial Specific Plan</t>
  </si>
  <si>
    <t>3 SIOF 4101 SOMERSET DR LLC</t>
  </si>
  <si>
    <t>8629 S VERMONT AVE</t>
  </si>
  <si>
    <t>SOMERSET</t>
  </si>
  <si>
    <t>4129 CENTINELA AVENUE LOS ANGELES CA 90066</t>
  </si>
  <si>
    <t>4129 S CENTINELA AVE LOS ANGELES CA 90066-4908</t>
  </si>
  <si>
    <t>PASSO CENTINELA LP</t>
  </si>
  <si>
    <t>CENTINELA</t>
  </si>
  <si>
    <t>5180001013</t>
  </si>
  <si>
    <t>4209 S WESTERN AVE LOS ANGELES CA 90062-1643</t>
  </si>
  <si>
    <t>5183013001</t>
  </si>
  <si>
    <t>BIF NON OZ 4209 WESTERN AVE LP</t>
  </si>
  <si>
    <t>Islas Development, LLC</t>
  </si>
  <si>
    <t>4228 WESTERN AVENUE LOS ANGELES CA</t>
  </si>
  <si>
    <t>4228 S WESTERN AVE LOS ANGELES CA 90062-1642</t>
  </si>
  <si>
    <t>BIF NON 4228 WESTERN AVE LP</t>
  </si>
  <si>
    <t>5518026004</t>
  </si>
  <si>
    <t>PS 4228 Western Ave, LP, a Delaware limited partnership</t>
  </si>
  <si>
    <t>4228 Western Apartments</t>
  </si>
  <si>
    <t>25-511</t>
  </si>
  <si>
    <t>4252 S CRENSHAW BLVD LOS ANGELES CA 90008-2553</t>
  </si>
  <si>
    <t>C1.5-1-SP</t>
  </si>
  <si>
    <t>Limited Commercial Specific Plan</t>
  </si>
  <si>
    <t>4252 CRENSHAW JV LLC</t>
  </si>
  <si>
    <t>17141 VENTURA BLVD STE 214</t>
  </si>
  <si>
    <t>CRENSHAW</t>
  </si>
  <si>
    <t>Eagle Partners</t>
  </si>
  <si>
    <t>426 S MANHATTAN PLACE LOS ANGELES CA</t>
  </si>
  <si>
    <t>426 S MANHATTAN PL LOS ANGELES CA 90020-4140</t>
  </si>
  <si>
    <t>439 West El Norte Parkway / 1045 Morning View Drive, Escondido, CA</t>
  </si>
  <si>
    <t>426 MANHATTAN LLC</t>
  </si>
  <si>
    <t>MANHATTAN</t>
  </si>
  <si>
    <t>441 W 3RD ST SAN PEDRO CA 90731</t>
  </si>
  <si>
    <t>441 W 3RD ST SAN PEDRO CA 90731-2650</t>
  </si>
  <si>
    <t>POST HARBOR TERRACE LP</t>
  </si>
  <si>
    <t>5518008009</t>
  </si>
  <si>
    <t>4481 APPIAN WAY EL SOBRANTE CA 94803</t>
  </si>
  <si>
    <t>P-1</t>
  </si>
  <si>
    <t>Planned Unit</t>
  </si>
  <si>
    <t>APPIAN</t>
  </si>
  <si>
    <t>5518008014</t>
  </si>
  <si>
    <t>454 S CATALINA STREET LOS ANGELES CA</t>
  </si>
  <si>
    <t>454 S CATALINA ST LOS ANGELES CA 90020-2476</t>
  </si>
  <si>
    <t>454 CATALINA LLC</t>
  </si>
  <si>
    <t>CATALINA</t>
  </si>
  <si>
    <t>4706 CENTINELA AVENUE LOS ANGELES CA 90066</t>
  </si>
  <si>
    <t>4706 S CENTINELA AVE LOS ANGELES CA 90066-6818</t>
  </si>
  <si>
    <t>1141 N. Vermont Avenue, Los Angeles, CA 90029</t>
  </si>
  <si>
    <t>PASSO CENTINELA 2 LP</t>
  </si>
  <si>
    <t>121 S PALM DR UNIT 301</t>
  </si>
  <si>
    <t>5040 LOGAN AVENUE SAN DIEGO CA 92113</t>
  </si>
  <si>
    <t>CN-1-3</t>
  </si>
  <si>
    <t>Commercial Neighborhood</t>
  </si>
  <si>
    <t>K D LOGAN LLC</t>
  </si>
  <si>
    <t>10625 SCRIPPS RANCH BLVD #F</t>
  </si>
  <si>
    <t>LOGAN</t>
  </si>
  <si>
    <t>515 S ST ANDREWS PLACE LOS ANGELES CA 90020</t>
  </si>
  <si>
    <t>515 S ST ANDREWS PL LOS ANGELES CA 90020-4470</t>
  </si>
  <si>
    <t>R4-2</t>
  </si>
  <si>
    <t>515 S ST ANDREWS LLC</t>
  </si>
  <si>
    <t>PO BOX 46392</t>
  </si>
  <si>
    <t>ST ANDREWS</t>
  </si>
  <si>
    <t>5160009020</t>
  </si>
  <si>
    <t>5150 EL CAMINO REAL LOS ALTOS CA 94022-1534</t>
  </si>
  <si>
    <t>Vacant Urban</t>
  </si>
  <si>
    <t>CT</t>
  </si>
  <si>
    <t>Commercial Thoroughfare</t>
  </si>
  <si>
    <t>5150 ECR LOS ALTOS LLC</t>
  </si>
  <si>
    <t>1 N B ST STE 4000</t>
  </si>
  <si>
    <t>EL CAMINO REAL</t>
  </si>
  <si>
    <t>2933 W. 8th Street, Los Angeles, CA</t>
  </si>
  <si>
    <t>516 S ST ANDREWS PLACE LOS ANGELES CA 90020</t>
  </si>
  <si>
    <t>516 S ST ANDREWS PL LOS ANGELES CA 90020-4462</t>
  </si>
  <si>
    <t>516 ST ANDREWS LLC</t>
  </si>
  <si>
    <t>520 S MARIPOSA AVENUE LOS ANGELES CA</t>
  </si>
  <si>
    <t>520 S MARIPOSA AVE LOS ANGELES CA 90020-2859</t>
  </si>
  <si>
    <t>520 MARIPOSA LLC</t>
  </si>
  <si>
    <t>530 KINGSLEY DRIVE LOS ANGELES CA</t>
  </si>
  <si>
    <t>530 S KINGSLEY DR LOS ANGELES CA 90020-3541</t>
  </si>
  <si>
    <t>530 KINGSLEY LLC</t>
  </si>
  <si>
    <t>KINGSLEY</t>
  </si>
  <si>
    <t>5518027010</t>
  </si>
  <si>
    <t>5474 RESERVOIR DR SAN DIEGO CA 92120</t>
  </si>
  <si>
    <t>RM-3-9</t>
  </si>
  <si>
    <t>29SC V D S PROPERTY OWNER LLC</t>
  </si>
  <si>
    <t>20 N WACKER DR #4120</t>
  </si>
  <si>
    <t>RESERVOIR</t>
  </si>
  <si>
    <t>5805 CHARLOTTE DRIVE SAN JOSE CA 95123</t>
  </si>
  <si>
    <t>IP(PD</t>
  </si>
  <si>
    <t>Planned Development Industrial Park Base District</t>
  </si>
  <si>
    <t>ICS TRANSIT VIL PROP OWNER LLC</t>
  </si>
  <si>
    <t>130 VANTIS DR STE 200</t>
  </si>
  <si>
    <t>CHARLOTTE</t>
  </si>
  <si>
    <t>Governmentla Grant</t>
  </si>
  <si>
    <t>601 E 8TH ST AZUSA CA 91702-2546</t>
  </si>
  <si>
    <t>MOD</t>
  </si>
  <si>
    <t>Moderate Density Residential</t>
  </si>
  <si>
    <t>CHOEKAE SOON TR K S CHOE TR</t>
  </si>
  <si>
    <t>3785 WILSHIRE BLVD # 1811</t>
  </si>
  <si>
    <t>8TH</t>
  </si>
  <si>
    <t>437 N. Ardmore Avenue, Los Angeles, CA</t>
  </si>
  <si>
    <t>601 TELEGRAPH ROAD CHULA VISTA CA 91910</t>
  </si>
  <si>
    <t>R3</t>
  </si>
  <si>
    <t>Apartment Residential</t>
  </si>
  <si>
    <t>M G CANYON VILLA APARTMENTS LP</t>
  </si>
  <si>
    <t>10505 SORRENTO VALLEY RD #300</t>
  </si>
  <si>
    <t>TELEGRAPH CANYON</t>
  </si>
  <si>
    <t>3004004033</t>
  </si>
  <si>
    <t>6171 MISSION GORGE RD SAN DIEGO CA 92120</t>
  </si>
  <si>
    <t>Neighborhood Shopping Center</t>
  </si>
  <si>
    <t>CC-4-2</t>
  </si>
  <si>
    <t>Commercial Community</t>
  </si>
  <si>
    <t>MISSION GORGE LP</t>
  </si>
  <si>
    <t>350 S GRAND AVE #3050</t>
  </si>
  <si>
    <t>MISSION GORGE</t>
  </si>
  <si>
    <t>6200 S BROADWAY LOS ANGELES CA</t>
  </si>
  <si>
    <t>6200 S BROADWAY LOS ANGELES CA 90003-1430</t>
  </si>
  <si>
    <t>Commercial - Commercial</t>
  </si>
  <si>
    <t>BIF NON OZ 6200 BROADWAY BLK LP</t>
  </si>
  <si>
    <t>BROADWAY</t>
  </si>
  <si>
    <t>249 S. Ave 55, Los Angeles, CA</t>
  </si>
  <si>
    <t>6401 S AVALON BLVD LOS ANGELES CA</t>
  </si>
  <si>
    <t>6401 AVALON BLVD LOS ANGELES CA 90003-1661</t>
  </si>
  <si>
    <t>6 SIOF 6401 S AVALON BLVD LLC</t>
  </si>
  <si>
    <t>5032015003</t>
  </si>
  <si>
    <t>660 MARIPOSA AVE MOUNTAIN VIEW CA</t>
  </si>
  <si>
    <t>R3-2.5</t>
  </si>
  <si>
    <t>Multi Family Residential</t>
  </si>
  <si>
    <t>MARIPOSA CLUB APARTMENTS I LP</t>
  </si>
  <si>
    <t>Mariposa Club Apartments I, LP,</t>
  </si>
  <si>
    <t>154-34-025</t>
  </si>
  <si>
    <t>4231018020</t>
  </si>
  <si>
    <t>6762 HAWTHORN AVE LOS ANGELES CA 90028-2800</t>
  </si>
  <si>
    <t>C4-2D</t>
  </si>
  <si>
    <t>Commercial 2 Development Limitations</t>
  </si>
  <si>
    <t>OODB2 LLC</t>
  </si>
  <si>
    <t>9049 20TH AVE SW</t>
  </si>
  <si>
    <t>HAWTHORN</t>
  </si>
  <si>
    <t>5021028002</t>
  </si>
  <si>
    <t>685 W 4TH ST LOS ANGELES CA</t>
  </si>
  <si>
    <t>2 SIOF 685 FOURTH ST LLC</t>
  </si>
  <si>
    <t>5021009036</t>
  </si>
  <si>
    <t>6930 FAIR OAKS BLVD CARMICHAEL CA 95608</t>
  </si>
  <si>
    <t>AE197A</t>
  </si>
  <si>
    <t>SPA</t>
  </si>
  <si>
    <t>Special Planning Area</t>
  </si>
  <si>
    <t>6930 FAIR OAKS BLVD TIC LLCETAL</t>
  </si>
  <si>
    <t>FAIR OAKS</t>
  </si>
  <si>
    <t>516 N. Harvard Boulevard, Los Angeles, CA</t>
  </si>
  <si>
    <t>5024017036</t>
  </si>
  <si>
    <t>699 14TH STREET SAN DIEGO CA</t>
  </si>
  <si>
    <t>Mixed Use</t>
  </si>
  <si>
    <t>CCPD-RE</t>
  </si>
  <si>
    <t>Center City Planned District Residential Emphasis</t>
  </si>
  <si>
    <t>699 14TH STREET CSLC LP</t>
  </si>
  <si>
    <t>354 W LANCASTER AVE #1400</t>
  </si>
  <si>
    <t>14TH</t>
  </si>
  <si>
    <t>5503015016</t>
  </si>
  <si>
    <t>727 S MARIPOSA AVENUE LOS ANGELES CA</t>
  </si>
  <si>
    <t>727 S MARIPOSA AVE LOS ANGELES CA 90005-2069</t>
  </si>
  <si>
    <t>R5-2</t>
  </si>
  <si>
    <t>MARIPOSA 20 LLC</t>
  </si>
  <si>
    <t>345 N MAPLE DR</t>
  </si>
  <si>
    <t>739 S NORMANDIE AVENUE LOS ANGELES CA</t>
  </si>
  <si>
    <t>739 S NORMANDIE AVE LOS ANGELES CA 90005-2270</t>
  </si>
  <si>
    <t>739 NORMANDIE LLC</t>
  </si>
  <si>
    <t>NORMANDIE</t>
  </si>
  <si>
    <t>7455002027</t>
  </si>
  <si>
    <t>5200 Hollywood Boulevard, Los Angeles, CA</t>
  </si>
  <si>
    <t>750-752 S MARIPOSA AVENUE LOS ANGELES CA</t>
  </si>
  <si>
    <t>750 S MARIPOSA AVE LOS ANGELES CA 90005-2039</t>
  </si>
  <si>
    <t>750 MARIPOSA LLC</t>
  </si>
  <si>
    <t>7518 S HOOVER LOS ANGELES CA 90044</t>
  </si>
  <si>
    <t>7518 AGNEW AVE LOS ANGELES CA 90045-1006</t>
  </si>
  <si>
    <t>R1V2</t>
  </si>
  <si>
    <t>One Family Residential Variable Mass</t>
  </si>
  <si>
    <t>EVANSFAITH R TR FAITH R EVANS FAMILY TR</t>
  </si>
  <si>
    <t>7518 AGNEW AVE</t>
  </si>
  <si>
    <t>AGNEW</t>
  </si>
  <si>
    <t>5502011009</t>
  </si>
  <si>
    <t>7524 S HOOVER ST LOS ANGELES CA</t>
  </si>
  <si>
    <t>7524 S HOOVER ST LOS ANGELES CA 90044-6008</t>
  </si>
  <si>
    <t>2974 PROPERTIES INC AND</t>
  </si>
  <si>
    <t>PO BOX 5569</t>
  </si>
  <si>
    <t>HOOVER</t>
  </si>
  <si>
    <t>4221007056</t>
  </si>
  <si>
    <t>7940 RESEDA BOULEVARD RESEDA CA</t>
  </si>
  <si>
    <t>7940 RESEDA BLVD RESEDA CA 91335-1927</t>
  </si>
  <si>
    <t>15301 VENTURA BLVD STE B570</t>
  </si>
  <si>
    <t>RESEDA</t>
  </si>
  <si>
    <t>800 RELIANT WY AMERICAN CANYON CA 94503</t>
  </si>
  <si>
    <t>BDSP-DC-CC</t>
  </si>
  <si>
    <t>Broadway District Specific Plan Downtown Core Community Commercial</t>
  </si>
  <si>
    <t>NAPA JUNCTION PARTNERS LLC</t>
  </si>
  <si>
    <t>5504029006</t>
  </si>
  <si>
    <t>601 CALIFORNIA ST, STE 1150</t>
  </si>
  <si>
    <t>RELIANT</t>
  </si>
  <si>
    <t>napa</t>
  </si>
  <si>
    <t>801-809 WATERLOO STREET LOS ANGELES CA</t>
  </si>
  <si>
    <t>801 WATERLOO ST LOS ANGELES CA 90026-4039</t>
  </si>
  <si>
    <t>RD1.5-1VL</t>
  </si>
  <si>
    <t>Restricted Density Multiple Dwelling Very Limited Height District</t>
  </si>
  <si>
    <t>801 WATERLOO PARTNERS LP</t>
  </si>
  <si>
    <t>4346 REDWOOD AVE UNIT 107</t>
  </si>
  <si>
    <t>WATERLOO</t>
  </si>
  <si>
    <t xml:space="preserve">915 S. Kenmore Avenue, Los Angeles, CA </t>
  </si>
  <si>
    <t>805 71ST AVENUE OAKLAND CA</t>
  </si>
  <si>
    <t>D-CO-1</t>
  </si>
  <si>
    <t>Coliseum Area Transit Oriented Development District 1</t>
  </si>
  <si>
    <t>SAN FRANCISCO BAY AREA RAPID TRANSIT DISTRICT</t>
  </si>
  <si>
    <t>2150 WEBSTER ST</t>
  </si>
  <si>
    <t>71ST</t>
  </si>
  <si>
    <t>5503017013</t>
  </si>
  <si>
    <t>808 S HOBART BOULEVARD LOS ANGELES CA</t>
  </si>
  <si>
    <t>808 S HOBART BLVD LOS ANGELES CA 90005-2777</t>
  </si>
  <si>
    <t>808 S HOBART LLC</t>
  </si>
  <si>
    <t>HOBART</t>
  </si>
  <si>
    <t>5502019004</t>
  </si>
  <si>
    <t>RU-5</t>
  </si>
  <si>
    <t>Urban Residential 5</t>
  </si>
  <si>
    <t>2019 OZONE AFFORDABLE HOUSING 820 MACARTHUR LP</t>
  </si>
  <si>
    <t>2744 E 11TH ST</t>
  </si>
  <si>
    <t>W MACARTHUR</t>
  </si>
  <si>
    <t>5503024012</t>
  </si>
  <si>
    <t>840 17TH ST SAN DIEGO CA 92101</t>
  </si>
  <si>
    <t>CCPD-ER</t>
  </si>
  <si>
    <t>Center City Planned District Employment Residential Mixed Use</t>
  </si>
  <si>
    <t>N AVENUE LP</t>
  </si>
  <si>
    <t>2727 CAMINO DEL RIO S #139</t>
  </si>
  <si>
    <t>17TH</t>
  </si>
  <si>
    <t>Security Properties</t>
  </si>
  <si>
    <t>861 FEDORA STREET LOS ANGELES CA</t>
  </si>
  <si>
    <t>861 FEDORA ST LOS ANGELES CA 90005-2162</t>
  </si>
  <si>
    <t>861 FEDORA LLC</t>
  </si>
  <si>
    <t>FEDORA</t>
  </si>
  <si>
    <t>5406 Lexington Avenue, Los Angeles, CA</t>
  </si>
  <si>
    <t>915 S KENMORE AVENUE LOS ANGELES CA</t>
  </si>
  <si>
    <t>915 S KENMORE AVE LOS ANGELES CA 90006-1557</t>
  </si>
  <si>
    <t>KENMORE LLC</t>
  </si>
  <si>
    <t>8608030071</t>
  </si>
  <si>
    <t>920 S GRAMERCY PLACE LOS ANGELES CA</t>
  </si>
  <si>
    <t>920 S GRAMERCY PL LOS ANGELES CA 90019-2141</t>
  </si>
  <si>
    <t>920 GRAMERCY UPWELL LLC</t>
  </si>
  <si>
    <t>626 WILSHIRE BLVD STE 410</t>
  </si>
  <si>
    <t>GRAMERCY</t>
  </si>
  <si>
    <t>9300 COMPTON AVE LOS ANGELES CA</t>
  </si>
  <si>
    <t>9300 COMPTON AVE XX LOS ANGELES CA 90002-2489</t>
  </si>
  <si>
    <t>6 SIOF 9300 COMPTON AVE LLC</t>
  </si>
  <si>
    <t>410 S. Manhattan Place / 509 S. Manhattan Place, Los Angeles, CA</t>
  </si>
  <si>
    <t>9301 – 9609 CRENSHAW
BLVD INGLEWOOD CA</t>
  </si>
  <si>
    <t>9301 CRENSHAW BLVD INGLEWOOD CA 90305-2943</t>
  </si>
  <si>
    <t>Residential - Four Units (Any Combination)</t>
  </si>
  <si>
    <t>R-3</t>
  </si>
  <si>
    <t>Residential Multiple Family</t>
  </si>
  <si>
    <t>SV INGLEWOOD HOLDINGS LP</t>
  </si>
  <si>
    <t>3111 CAMINO DEL RIO N STE 800</t>
  </si>
  <si>
    <t>6005021032</t>
  </si>
  <si>
    <t>941 S KENMORE AVENUE LOS ANGELES CA</t>
  </si>
  <si>
    <t>941 S KENMORE AVE LOS ANGELES CA 90006-1558</t>
  </si>
  <si>
    <t>941 S KENMORE LLC</t>
  </si>
  <si>
    <t>6006018001</t>
  </si>
  <si>
    <t>9515 COMPTON AVENUE LOS ANGELES CA</t>
  </si>
  <si>
    <t>9515 COMPTON AVE LOS ANGELES CA 90002-2330</t>
  </si>
  <si>
    <t>6 SIOF 9515 COMPTON AVE LLC</t>
  </si>
  <si>
    <t>960 S OXFORD AVENUE LOS ANGELES CA</t>
  </si>
  <si>
    <t>960 S OXFORD AVE LOS ANGELES CA 90006-1164</t>
  </si>
  <si>
    <t>960 S OXFORD LLC</t>
  </si>
  <si>
    <t>974 S GRAMERCY PLACE LOS ANGELES CA</t>
  </si>
  <si>
    <t>974 S GRAMERCY PL LOS ANGELES CA 90019-2169</t>
  </si>
  <si>
    <t>974 S GRAMERCY LLC AND</t>
  </si>
  <si>
    <t>5547013021</t>
  </si>
  <si>
    <t>975-985 S OXFORD AVENUE LOS ANGELES CA</t>
  </si>
  <si>
    <t>975 S OXFORD AVE LOS ANGELES CA 90006-1167</t>
  </si>
  <si>
    <t>OXFORD 19 LLC</t>
  </si>
  <si>
    <t>7451026002</t>
  </si>
  <si>
    <t>9830 RESEDA BLVD NORTHRIDGE CA 91324</t>
  </si>
  <si>
    <t>9830.0 RESEDA BLVD NORTHRIDGE CA 91324-2060</t>
  </si>
  <si>
    <t>WRPV XII CANDLEWOOD NORTHRIDGE LLC</t>
  </si>
  <si>
    <t>30 S WACKER DR 36TH FL</t>
  </si>
  <si>
    <t>99 OCEAN AVE SAN FRANCISCO CA 94112-2548</t>
  </si>
  <si>
    <t>NCD-EXCELSIOR-40-X</t>
  </si>
  <si>
    <t>Excelsior Outer Mission Street Neighborhood Commercial District</t>
  </si>
  <si>
    <t>99 OCEAN AVENUE LLC</t>
  </si>
  <si>
    <t>160 PACIFIC AVE STE 204</t>
  </si>
  <si>
    <t>OCEAN</t>
  </si>
  <si>
    <t>6954 018</t>
  </si>
  <si>
    <t>5094005005</t>
  </si>
  <si>
    <t>Multiple parcels</t>
  </si>
  <si>
    <t>5094004004</t>
  </si>
  <si>
    <t>5094006003</t>
  </si>
  <si>
    <t>4110025040</t>
  </si>
  <si>
    <t>5635 Monte Vista Street, Los Angeles, CA</t>
  </si>
  <si>
    <t>6020022025</t>
  </si>
  <si>
    <t>2102015045</t>
  </si>
  <si>
    <t>2701 RANDOLPH ST HUNTINGTON PARK CA</t>
  </si>
  <si>
    <t>24-224</t>
  </si>
  <si>
    <t>207 S. Oxford St, Los Angeles, CA</t>
  </si>
  <si>
    <t>445 N AVALON BOULEVARD LOS ANGELES CA</t>
  </si>
  <si>
    <t>5402028023</t>
  </si>
  <si>
    <t>RMG Fee Avalon, LP, a California limited partnership</t>
  </si>
  <si>
    <t>5402-028-022</t>
  </si>
  <si>
    <t>6020-022-025</t>
  </si>
  <si>
    <t>807 WATERLOO ST LOS ANGELES CA 90026</t>
  </si>
  <si>
    <t>300 W. Avenue 37, Los Angeles, CA</t>
  </si>
  <si>
    <t>5093017031</t>
  </si>
  <si>
    <t>7518 S HOOVER LOS ANGELES CA</t>
  </si>
  <si>
    <t>5094017020</t>
  </si>
  <si>
    <t>5094023025</t>
  </si>
  <si>
    <t>132 S. Westmoreland Avenue, Los Angeles, CA</t>
  </si>
  <si>
    <t>4327 S VERMONT LOS ANGELES CA</t>
  </si>
  <si>
    <t>5092023021</t>
  </si>
  <si>
    <t>6048022067</t>
  </si>
  <si>
    <t>3500 EDISON ST SAN MATEO CA 94403</t>
  </si>
  <si>
    <t>4025014001</t>
  </si>
  <si>
    <t>9301 – 9609 CRENSHAW BLVD INGLEWOOD CA</t>
  </si>
  <si>
    <t>Multiple</t>
  </si>
  <si>
    <t>5601 NORTH PARAMOUNT BOULEVARD, Long Beach</t>
  </si>
  <si>
    <t>4025014002</t>
  </si>
  <si>
    <t>234 Escuela Avenue, Mountain View, CA</t>
  </si>
  <si>
    <t>4025014003</t>
  </si>
  <si>
    <t>651 ADDISON ST BERKELEY CA 94710</t>
  </si>
  <si>
    <t>4025014004</t>
  </si>
  <si>
    <t>4025014005</t>
  </si>
  <si>
    <t>Proposed</t>
  </si>
  <si>
    <t>https://propertytax.alamedacountyca.gov/view-bill?taxType=SEC&amp;tracer=14246000&amp;rollYear=2025</t>
  </si>
  <si>
    <t>4025014006</t>
  </si>
  <si>
    <t>Foothill Affordable Housing Foundation</t>
  </si>
  <si>
    <t>201 S 4th St, San Jose, CA 95112</t>
  </si>
  <si>
    <t>4025014007</t>
  </si>
  <si>
    <t>2130 SOUTHWEST EXPY SAN JOSE CA 95126</t>
  </si>
  <si>
    <t>4025014008</t>
  </si>
  <si>
    <t>4025014009</t>
  </si>
  <si>
    <t>4025014010</t>
  </si>
  <si>
    <t>5565 &amp; 5575 Ackerfield Avenue, Long Beach, CA</t>
  </si>
  <si>
    <t>4025014011</t>
  </si>
  <si>
    <t>https://www.sccassessor.org/index.php/all-situs-search?SFrom=all&amp;SType=all&amp;STab=address&amp;addValue=2130%20Southwest%20Expressway&amp;guid=3901f7e4-ad19-4bf2-9ca2-03134f319849</t>
  </si>
  <si>
    <t>4025014012</t>
  </si>
  <si>
    <t>4025014013</t>
  </si>
  <si>
    <t>1451 W. Martin Luther King Boulevard, Los Angeles, CA</t>
  </si>
  <si>
    <t>4025014014</t>
  </si>
  <si>
    <t>4025014015</t>
  </si>
  <si>
    <t>2533 S MANSFIELD AVE LOS ANGELES CA 90016</t>
  </si>
  <si>
    <t>4025014016</t>
  </si>
  <si>
    <t>4025014017</t>
  </si>
  <si>
    <t>4256 Whittier Blvd Apartments, Los Angeles, CA</t>
  </si>
  <si>
    <t>7777 VALLEY VIEW STREET LA PALMA CA</t>
  </si>
  <si>
    <t>089-082-034-000</t>
  </si>
  <si>
    <t>4025014018</t>
  </si>
  <si>
    <t>5094023030</t>
  </si>
  <si>
    <t>10535 LINDLEY AVE GRANADA HILLS CA 91326</t>
  </si>
  <si>
    <t>6048004025</t>
  </si>
  <si>
    <t>26 TERRACE VIEW CT DALY CITY CA 94015</t>
  </si>
  <si>
    <t>5080015003</t>
  </si>
  <si>
    <t>225 W. 25th St, Los Angeles, CA</t>
  </si>
  <si>
    <t>5081032007</t>
  </si>
  <si>
    <t>5080008006</t>
  </si>
  <si>
    <t>5080008007</t>
  </si>
  <si>
    <t>1451 W MLK BLVD LOS ANGELES CA</t>
  </si>
  <si>
    <t>5080008008</t>
  </si>
  <si>
    <t>985 S OXFORD AVE LOS ANGELES CA 90006-1167</t>
  </si>
  <si>
    <t>2764001013</t>
  </si>
  <si>
    <t>321 E FLORENCE AVE LOS ANGELES CA</t>
  </si>
  <si>
    <t>9422 Firth Avenue, Los Angeles, CA</t>
  </si>
  <si>
    <t>569 W 6TH STREET, San Pedro, CA</t>
  </si>
  <si>
    <t>2695-003-001</t>
  </si>
  <si>
    <t>4008 Martin Luther King Boulevard, Los Angeles, CA</t>
  </si>
  <si>
    <t>17188 CHATSWORTH ST LOS ANGELES CA</t>
  </si>
  <si>
    <t>4640 ARDEN WAY EL MONTE CA 91731</t>
  </si>
  <si>
    <t>1026 S DE ANZA BLVD SAN JOSE CA 95129</t>
  </si>
  <si>
    <t>Anton DevCo, Inc</t>
  </si>
  <si>
    <t>2311 Ivy Hill Way, San Ramon, CA 94582</t>
  </si>
  <si>
    <t>355 KIELY BLVD SAN JOSE CA 95129</t>
  </si>
  <si>
    <t>https://www.sccassessor.org/index.php/apn-redirect?ApnValue=29640005</t>
  </si>
  <si>
    <t>832 IROLO STREET LOS ANGELES CA</t>
  </si>
  <si>
    <t>26-108</t>
  </si>
  <si>
    <t>Farallon Capital Management L.L.C.</t>
  </si>
  <si>
    <t>740 S. Western Avenue, Santa Maria, CA 93458</t>
  </si>
  <si>
    <t>5210 MONTEREY RD SAN JOSE CA 95111</t>
  </si>
  <si>
    <t>26-109</t>
  </si>
  <si>
    <t>1723 Corinth Ave, Los Angeles, CA 90025</t>
  </si>
  <si>
    <t>4125-011-010</t>
  </si>
  <si>
    <t>9033 RAMSGATE AVENUE WESTCHESTER CA</t>
  </si>
  <si>
    <t>26-110</t>
  </si>
  <si>
    <t>3751 Delmas Terrace, Los Angeles, CA 90034</t>
  </si>
  <si>
    <t>3200 W 5th St, Santa Ana, CA 92703</t>
  </si>
  <si>
    <t>APN</t>
  </si>
  <si>
    <t>Property</t>
  </si>
  <si>
    <t>OWNER?</t>
  </si>
  <si>
    <t>Taxable Value_2025</t>
  </si>
  <si>
    <t>Exemptions_2025</t>
  </si>
  <si>
    <t>Value after Exemptions</t>
  </si>
  <si>
    <t>Ad valorem taxes</t>
  </si>
  <si>
    <t>LINK TO TAX?</t>
  </si>
  <si>
    <t>TAX VALUE LOST TO EXEMPTION</t>
  </si>
  <si>
    <t>Capital Insight Holdings</t>
  </si>
  <si>
    <t>9750 Airport Blvd, Westchester, CA 90045</t>
  </si>
  <si>
    <t>Hillsdale Garden Apartments</t>
  </si>
  <si>
    <t>Application</t>
  </si>
  <si>
    <t>1408 W Jefferson Blvd, Los Angeles, CA 90007</t>
  </si>
  <si>
    <t>Santa Monica Portfolio Apartments</t>
  </si>
  <si>
    <t>12342 Osborne Pl, Pacoima, CA 91331</t>
  </si>
  <si>
    <t>1422 7TH ST SANTA MONICA CA 904012653</t>
  </si>
  <si>
    <t>GC 1422 -1432 7TH LP</t>
  </si>
  <si>
    <t>220 Humboldt Ct. Sunnyvale, CA</t>
  </si>
  <si>
    <t>1423 6TH ST SANTA MONICA CA 904012593</t>
  </si>
  <si>
    <t>1537 7TH ST SANTA MONICA CA 904012672</t>
  </si>
  <si>
    <t>1522 6TH ST SANTA MONICA CA 904012548</t>
  </si>
  <si>
    <t>2001 OLYMPIC BLVD SANTA MONICA CA 904043942</t>
  </si>
  <si>
    <t>GC 2001-2029 OLYMPIC LP</t>
  </si>
  <si>
    <t>38441 5TH ST W PALMDALE CA 935514262</t>
  </si>
  <si>
    <t>POST PALMDALE CHAPARRAL LP</t>
  </si>
  <si>
    <t>https://latapi.estreamone.com/repos/LAT2-Main/docs/5725692.92548?token=eyJhbGciOiJBMTI4S1ciLCJlbmMiOiJBMTI4Q0JDLUhTMjU2IiwidHlwIjoiSldUIn0.YuXjMtIV47uoxckQiHD6r4Uk4CCoAr0LcTscDD5uzRknOAomRAPocA._yIN0bwYErxfOj8PVVf4yg.vzbhdcz4iYRrmK5fJiUN48YQaYFSOd64FfS0xzbPBz0Rnx0J0wwBpbVRZEQ3hbxxT4TLo7yIzSSuBMc7F14rHDpyMevcODBe2XFyBfPKPnrz4CUgor-3yIznjcKa9nJci9sCAGNl7Bll8N8EaGfbXEY7sfdlkL8v7XyFS412KnBoMggmpkvVqhym5hY8k6MXATYn05h1RFL7kd7pMT9-f5zYTVv35dRvwJRcnfFEciM-68XZTInW_927wKKLlDh5fPuKoTe_dL99HBM4lrgSR0g-inH7dAb2ooxXuDWwvumChLKsvZ-r_ZtiSFbovqHWmwoE2DgosB_LMxIr6mLgK9vwiNtAiIJA4gRLvslkUocrixlrD-KXmZTe69FfCFpkMNoe68gv45MvZ3oAeadauI7D9a5Omjqwmhbcd1HvLoCJt4esdBCLn64taW_rLNlW.bl9ps_CoTX4xTtThNMOgNQ</t>
  </si>
  <si>
    <t>1311 W Battles Rd, Santa Maria, CA 93458</t>
  </si>
  <si>
    <t>4252 S CRENSHAW BLVD LOS ANGELES CA 900080000</t>
  </si>
  <si>
    <t>4252 CRENSHAW LP</t>
  </si>
  <si>
    <t xml:space="preserve"> $ -   </t>
  </si>
  <si>
    <t>Jenson Capital Group</t>
  </si>
  <si>
    <t>2625 Cullen St, Los Angeles, CA 90034</t>
  </si>
  <si>
    <t>441 W 3RD ST LOS ANGELES CA 907312650</t>
  </si>
  <si>
    <t>7940 RESEDA BLVD LOS ANGELES CA 913351927</t>
  </si>
  <si>
    <t>2481 Sawtelle Blvd, Los Angeles, CA 90064</t>
  </si>
  <si>
    <t>26-176</t>
  </si>
  <si>
    <t>https://latapi.estreamone.com/repos/LAT2-Main/docs/5725328.101316?token=eyJhbGciOiJBMTI4S1ciLCJlbmMiOiJBMTI4Q0JDLUhTMjU2IiwidHlwIjoiSldUIn0.F_433L4RTX8DDITFZxhyB_nTyZIwf3d3ZlOjgOehfH-NvgJD0eg6_Q.NCBWcv6tP94RvSsfWE7F4w.z4M-GT4X0XdROv4w2f4ow9cTLENKy4KGQvEFEmPVTLOMipWOPcERpc7f28g2CzWAwMxQbv5EImc3pUlJpIbMovekTX8BdTzYSj469ZAqW-cfqZKKK3DEbyJXUQMjcRk85ve7Z2jUeMzY3gHvGHL61GPM3dRuy9fJW53S1Bh6Jphux0xr6vljgMZNmw6doIB-iJw3Pn0Z-nw9Zu-2SU3kVT069wv50-4TViBwF48SqL6SAJYi87lL7fepoYG0DLorofgHKDMnzdmq99ZaQ4y_eBpt_tUcUSNa5S6hzZ1RvgCZC1SYCICkxEZv6UHdj0ICUa08qQETCzOrsTe6SYhfVbeftJioNjBVRJysPHRQYYvtPK2fw5bVJ-MdXzR_B8dvryEvIgAvFTLzpKkwsKppxjX-ATXMrPNa_A6LaQbIzMzYR_8FtmCHPQkrRa7ZRBs7.MY-S9j22ISNvslg5AvqyUg</t>
  </si>
  <si>
    <t>21701 Foothill Blvd, Hayward, CA 94541</t>
  </si>
  <si>
    <t>Avanath Seaport Village</t>
  </si>
  <si>
    <t>2697 E 56TH WAY LONG BEACH CA 908055068</t>
  </si>
  <si>
    <t>AVANATH SEAPORT LP</t>
  </si>
  <si>
    <t>https://latapi.estreamone.com/repos/LAT2-Main/docs/5725738.216192?token=eyJhbGciOiJBMTI4S1ciLCJlbmMiOiJBMTI4Q0JDLUhTMjU2IiwidHlwIjoiSldUIn0.dHPb9H07h9gswdjuIM_xLZevhxce5qcq-IdaKWs42lBb-AUnfXJl7w.oB6eI9Ai_AisXLBYQ46X-g.paPBhu1Y4vANFJp64Ml7YO-EdymxTwjfT6c73sXl3rH-U06SDdMdCBPJfLnETzX3sz9FcxZbveEyfVLJmJPz6YlR4D4dGBQZgThxV1WpS9IespaB-i_Pw3q5P-TTmUdESGDDJsJmuno-WGyHA6yjahWTWxTDJzm9hx3AhIFQ_AUDkkP2hlkxaimGwDf-RFps_9C5AcluHjPijpROuEquGYMNNMfPYj0ioBmeudkJzHh3GjpCgka1aAHjTGi70HvZuNdyMHr5_8G0gJYI3pRrIyaUjq0HrIEBxBUSWYk5tqbQDZqo5uGSmQvpd3aUcZy65jEYxFOGeqOTzNyIrMk-u3t6wMSK1KNCMxKiz7hH1s-AUmWTKg09pRy0oa6MwvbhjLFWYKFd6dSP-M0XGTdqEctU2Yq0ICHRvLx3sz3x13olQCCRKtzt4Mgm1V1ciljR.1qFO80Ezbhad3mRA96mghg</t>
  </si>
  <si>
    <t>MG Properties</t>
  </si>
  <si>
    <t>11720 San Pablo Ave, El Cerrito, CA 94530</t>
  </si>
  <si>
    <t>2687 E 56TH WAY LONG BEACH CA 908057003</t>
  </si>
  <si>
    <t>2677 E 56TH WAY LONG BEACH CA 908055067</t>
  </si>
  <si>
    <t>2667 E 56TH WAY LONG BEACH CA 908055066</t>
  </si>
  <si>
    <t>2657 E 56TH WAY LONG BEACH CA 908055096</t>
  </si>
  <si>
    <t>5679 LANGPORT AVE LONG BEACH CA 908057012</t>
  </si>
  <si>
    <t>5649 LANGPORT AVE LONG BEACH CA 908055064</t>
  </si>
  <si>
    <t>5639 LANGPORT AVE LONG BEACH CA 908057010</t>
  </si>
  <si>
    <t>609 Frederick St, Santa Cruz, CA 95062</t>
  </si>
  <si>
    <t>5599 LANGPORT AVE LONG BEACH CA 908057009</t>
  </si>
  <si>
    <t>5579 LANGPORT AVE LONG BEACH CA 908055063</t>
  </si>
  <si>
    <t>5549 LANGPORT AVE LONG BEACH CA 908057007</t>
  </si>
  <si>
    <t>5539 LANGPORT AVE LONG BEACH CA 908055061</t>
  </si>
  <si>
    <t>2656 E 55TH WAY LONG BEACH CA 908055079</t>
  </si>
  <si>
    <t>2666 E 55TH WAY LONG BEACH CA 908055080</t>
  </si>
  <si>
    <t>2676 E 55TH WAY LONG BEACH CA 908055055</t>
  </si>
  <si>
    <t>2686 E 55TH WAY LONG BEACH CA 908055084</t>
  </si>
  <si>
    <t>Pacific Housing Inc</t>
  </si>
  <si>
    <t>11720 San Pablo Avenue, El Cerrito, CA</t>
  </si>
  <si>
    <t>2696 E 55TH WAY LONG BEACH CA 908055074</t>
  </si>
  <si>
    <t>2666 E 56TH WAY LONG BEACH CA 908055073</t>
  </si>
  <si>
    <t>2676 E 56TH WAY LONG BEACH CA 908055072</t>
  </si>
  <si>
    <t>2686 E 56TH WAY LONG BEACH CA 908057002</t>
  </si>
  <si>
    <t>2696 E 56TH ST LONG BEACH CA 908055058</t>
  </si>
  <si>
    <t>2667 E 56TH ST LONG BEACH CA 908055089</t>
  </si>
  <si>
    <t>2677 E 56TH ST LONG BEACH CA 908055071</t>
  </si>
  <si>
    <t>2687 E 56TH ST LONG BEACH CA 908055093</t>
  </si>
  <si>
    <t>2697 E 56TH ST LONG BEACH CA 908055095</t>
  </si>
  <si>
    <t>2666 E 56TH ST LONG BEACH CA 908055088</t>
  </si>
  <si>
    <t>2676 E 56TH ST LONG BEACH CA 908055060</t>
  </si>
  <si>
    <t>2686 E 56TH ST LONG BEACH CA 908055092</t>
  </si>
  <si>
    <t>2667 E 55TH WAY LONG BEACH CA 908055081</t>
  </si>
  <si>
    <t>2677 E 55TH WAY LONG BEACH CA 908055083</t>
  </si>
  <si>
    <t>2687 E 55TH WAY LONG BEACH CA 908055057</t>
  </si>
  <si>
    <t>2697 E 55TH WAY LONG BEACH CA 908055087</t>
  </si>
  <si>
    <t>Tailwind Investment Group</t>
  </si>
  <si>
    <t>4350 Galbrath Dr, Sacramento, CA 95842</t>
  </si>
  <si>
    <t>820 W MacArthur Blvd</t>
  </si>
  <si>
    <t>7157031001</t>
  </si>
  <si>
    <t>7157031002</t>
  </si>
  <si>
    <t>7157031003</t>
  </si>
  <si>
    <t>KDF Communities, LLC</t>
  </si>
  <si>
    <t>Affordable Housing Access, Inc.</t>
  </si>
  <si>
    <t>1845 N Broadway, Escondido, CA 92026</t>
  </si>
  <si>
    <t>7157031004</t>
  </si>
  <si>
    <t>7157031005</t>
  </si>
  <si>
    <t>Equitable Connections to Housing Opportunities (ECHO)</t>
  </si>
  <si>
    <t>7157031006</t>
  </si>
  <si>
    <t>1454 W Florence Ave, Los Angeles, CA 90047</t>
  </si>
  <si>
    <t>7157031007</t>
  </si>
  <si>
    <t>7157031008</t>
  </si>
  <si>
    <t>7157031009</t>
  </si>
  <si>
    <t>Red Stone Equity Partners</t>
  </si>
  <si>
    <t>San Diego Interfaith Housing Foundation</t>
  </si>
  <si>
    <t>7157031010</t>
  </si>
  <si>
    <t>6790 Embarcadero Ln, Carlsbad, CA 92011</t>
  </si>
  <si>
    <t>7157031011</t>
  </si>
  <si>
    <t>7157031012</t>
  </si>
  <si>
    <t>7157031013</t>
  </si>
  <si>
    <t>7157031014</t>
  </si>
  <si>
    <t>7157031015</t>
  </si>
  <si>
    <t xml:space="preserve">6633 Valley Hi Drive, Sacramento, CA </t>
  </si>
  <si>
    <t>7157031016</t>
  </si>
  <si>
    <t>7157031017</t>
  </si>
  <si>
    <t>7157031018</t>
  </si>
  <si>
    <t>7157031019</t>
  </si>
  <si>
    <t>7157031020</t>
  </si>
  <si>
    <t>7157031021</t>
  </si>
  <si>
    <t>142 Fig Tree Lane, Martinez, CA 94553</t>
  </si>
  <si>
    <t>7157031022</t>
  </si>
  <si>
    <t>7157031023</t>
  </si>
  <si>
    <t>7157031024</t>
  </si>
  <si>
    <t>7157031025</t>
  </si>
  <si>
    <t>7157031026</t>
  </si>
  <si>
    <t>Positive Investments, Inc.</t>
  </si>
  <si>
    <t>225 West Colden Avenue, Los Angeles, CA</t>
  </si>
  <si>
    <t>7157031027</t>
  </si>
  <si>
    <t>7157031028</t>
  </si>
  <si>
    <t>7157031029</t>
  </si>
  <si>
    <t>11821 Foothill Blvd, Lake View Terrace, CA 91342</t>
  </si>
  <si>
    <t>7157031030</t>
  </si>
  <si>
    <t>7157031031</t>
  </si>
  <si>
    <t>7157031032</t>
  </si>
  <si>
    <t>7157031033</t>
  </si>
  <si>
    <t xml:space="preserve">EREP TVG Crystal View Owner, LP </t>
  </si>
  <si>
    <t>12091 Bayport St, Garden Grove, CA 92840</t>
  </si>
  <si>
    <t>https://vistria.com/vistria-real-estate-acquires-orange-county-apartment-community/</t>
  </si>
  <si>
    <t>San Lorenzo</t>
  </si>
  <si>
    <t>Faulkner Capital Partners</t>
  </si>
  <si>
    <t>N/A</t>
  </si>
  <si>
    <t>16077 Ashland Ave, San Lorenzo, CA 94580</t>
  </si>
  <si>
    <t>Positive Investments Inc</t>
  </si>
  <si>
    <t>5035 Guava Ave, La Mesa, CA 91942</t>
  </si>
  <si>
    <t>SFF 4 LLC</t>
  </si>
  <si>
    <t>Governmental Grant and Regulatory Agreement Creating Affordable Housing in a Rental Housing Project; $5,000 grant; 55-year regulatory term.</t>
  </si>
  <si>
    <t>26H-[_]</t>
  </si>
  <si>
    <t>Category Company</t>
  </si>
  <si>
    <t>511 N. Hoover Street, Los Angeles, California</t>
  </si>
  <si>
    <t>https://cscda.org/wp-content/uploads/2026/06/CSCDA-Agenda-Packet-7.2.26.pdf</t>
  </si>
  <si>
    <t>LA Apartments</t>
  </si>
  <si>
    <t>6530 Independence Ave, Canoga Park, CA 91303</t>
  </si>
  <si>
    <t>KBX Investments</t>
  </si>
  <si>
    <t>2075 W Jefferson BlvdLos Angeles, CA 90018</t>
  </si>
  <si>
    <t>TriWest Development</t>
  </si>
  <si>
    <t>5416 Jackson St, North Highlands, CA 95660</t>
  </si>
  <si>
    <t>San Dimas</t>
  </si>
  <si>
    <t>The Korda Group</t>
  </si>
  <si>
    <t>AOF/Pacific Affordable Housing Corp.</t>
  </si>
  <si>
    <t>444 N Amelia Ave, San Dimas, CA 91773</t>
  </si>
  <si>
    <t>1408 W Jefferson Blvd Los Angeles, California 90007</t>
  </si>
  <si>
    <t>932 IROLO STREET LOS ANGELES CA</t>
  </si>
  <si>
    <t>603 Mariposa Apartments</t>
  </si>
  <si>
    <t>603 S Mariposa AveLos Angeles, CA 90005</t>
  </si>
  <si>
    <t>236 N Berendo St, Los Angeles, CA 90004</t>
  </si>
  <si>
    <t>5134-017-016</t>
  </si>
  <si>
    <t>1317 S GRAND AVE LOS ANGELES CA 90015</t>
  </si>
  <si>
    <t>Banner Avenue Apartments</t>
  </si>
  <si>
    <t>5134-009-008</t>
  </si>
  <si>
    <t>1411 S FLOWER ST LOS ANGELES CA 90015</t>
  </si>
  <si>
    <t>Affirmed Housing</t>
  </si>
  <si>
    <t>Compass for Affordable Housing</t>
  </si>
  <si>
    <t>Housing Diversity or an affiliate thereof</t>
  </si>
  <si>
    <t>6219 Banner Avenue, Los Angeles, CA 90038</t>
  </si>
  <si>
    <t>5134-009-007</t>
  </si>
  <si>
    <t>1412 S FLOWER ST LOS ANGELES CA 90015</t>
  </si>
  <si>
    <t>1419 S FLOWER ST LOS ANGELES CA 90015</t>
  </si>
  <si>
    <t>Standard Properties or an affiliated thereof</t>
  </si>
  <si>
    <t>CGI+</t>
  </si>
  <si>
    <t>5159-020-012</t>
  </si>
  <si>
    <t>1540 W COURT ST LOS ANGELES CA 90026</t>
  </si>
  <si>
    <t>1536 W COURT ST Los Angeles CA 90026</t>
  </si>
  <si>
    <t>5159-020-013</t>
  </si>
  <si>
    <t>1541 W. Court Street, LP</t>
  </si>
  <si>
    <t>1541 W Court Apartments</t>
  </si>
  <si>
    <t>5159-020-014</t>
  </si>
  <si>
    <t>1542 W. Court Street, LP</t>
  </si>
  <si>
    <t>1542 W Court Apartments</t>
  </si>
  <si>
    <t>5159-020-015</t>
  </si>
  <si>
    <t>1552 W COURT ST LOS ANGELES CA 90026</t>
  </si>
  <si>
    <t>1543 W. Court Street, LP</t>
  </si>
  <si>
    <t>1543 W Court Apartments</t>
  </si>
  <si>
    <t>5159-020-011</t>
  </si>
  <si>
    <t>1544 W. Court Street, LP</t>
  </si>
  <si>
    <t>1544 W Court Apartments</t>
  </si>
  <si>
    <t>Post Real Estate Group</t>
  </si>
  <si>
    <t>Bedford Affordable Housing Foundation</t>
  </si>
  <si>
    <t>1545 W. Court Street, LP</t>
  </si>
  <si>
    <t>1545 W Court Apartments</t>
  </si>
  <si>
    <t>160 S Virgil Ave, Los Angeles, CA 90004</t>
  </si>
  <si>
    <t>1546 W. Court Street, LP</t>
  </si>
  <si>
    <t>1546 W Court Apartments</t>
  </si>
  <si>
    <t>6083-010-038</t>
  </si>
  <si>
    <t>LP</t>
  </si>
  <si>
    <t>Keren Housing</t>
  </si>
  <si>
    <t>926 S Kingsley Dr, Los Angeles, CA 90006</t>
  </si>
  <si>
    <r>
      <rPr>
        <rFont val="Verdana, Arial, Helvetica, sans-serif"/>
        <color rgb="FF1155CC"/>
        <sz val="9.0"/>
        <u/>
      </rPr>
      <t>123-140-01</t>
    </r>
    <r>
      <rPr>
        <rFont val="Verdana, Arial, Helvetica, sans-serif"/>
        <sz val="9.0"/>
      </rPr>
      <t>9</t>
    </r>
  </si>
  <si>
    <r>
      <rPr>
        <color rgb="FF1155CC"/>
        <u/>
      </rPr>
      <t>123-140-020</t>
    </r>
  </si>
  <si>
    <r>
      <rPr>
        <color rgb="FF1155CC"/>
        <u/>
      </rPr>
      <t>123-140-021</t>
    </r>
  </si>
  <si>
    <t>939 S Kingsley Dr, Los Angeles, CA 90006</t>
  </si>
  <si>
    <t>3950 Ingraham St, San Diego, CA 92109</t>
  </si>
  <si>
    <t>5565-5700 Ackerfield Avenue, Long Beach, CA</t>
  </si>
  <si>
    <t>Killefer Development</t>
  </si>
  <si>
    <t>6985 S. Centinela Avenue, Los Angeles, CA 90045</t>
  </si>
  <si>
    <t>Angeleno Invesments</t>
  </si>
  <si>
    <t>1178 N Edgemont St, Los Angeles, CA 90029</t>
  </si>
  <si>
    <t>2780 N Texas St, Fairfield, CA 94533</t>
  </si>
  <si>
    <t>1 Shoal Ct, Sacramento, CA 95831</t>
  </si>
  <si>
    <t>2121 Wood St</t>
  </si>
  <si>
    <t>2121 WOOD ST OAKLAND 94607</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</si>
</sst>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M/d/yyyy"/>
    <numFmt numFmtId="165" formatCode="&quot;$&quot;#,##0"/>
    <numFmt numFmtId="166" formatCode="0.0000%"/>
    <numFmt numFmtId="167" formatCode="&quot;$&quot;#,##0.00"/>
    <numFmt numFmtId="168" formatCode="m/d/yyyy"/>
    <numFmt numFmtId="169" formatCode="mm/dd/yy"/>
    <numFmt numFmtId="170" formatCode="mm/dd/yyyy"/>
    <numFmt numFmtId="171" formatCode="yyyy&quot;-&quot;mm&quot;-&quot;dd"/>
    <numFmt numFmtId="172" formatCode="m/d/yyyy h:mm:ss"/>
    <numFmt numFmtId="173" formatCode="$#,##0"/>
    <numFmt numFmtId="174" formatCode="yyyy-mm-dd"/>
    <numFmt numFmtId="175" formatCode="_(&quot;$&quot;* #,##0_);_(&quot;$&quot;* \(#,##0\);_(&quot;$&quot;* &quot;-&quot;??_);_(@_)"/>
  </numFmts>
  <fonts count="50">
    <font>
      <sz val="10.0"/>
      <color rgb="FF000000"/>
      <name val="Arial"/>
      <scheme val="minor"/>
    </font>
    <font>
      <b/>
      <color theme="1"/>
      <name val="Arial"/>
      <scheme val="minor"/>
    </font>
    <font>
      <color theme="1"/>
      <name val="Arial"/>
      <scheme val="minor"/>
    </font>
    <font>
      <u/>
      <color rgb="FF0000FF"/>
    </font>
    <font>
      <color rgb="FF000000"/>
      <name val="&quot;Helvetica Neue&quot;"/>
    </font>
    <font>
      <u/>
      <color rgb="FF0000FF"/>
    </font>
    <font>
      <color rgb="FF000000"/>
      <name val="Helvetica Neue"/>
    </font>
    <font>
      <color rgb="FF000000"/>
      <name val="Arial"/>
    </font>
    <font>
      <u/>
      <color rgb="FF0000FF"/>
    </font>
    <font/>
    <font>
      <u/>
      <color rgb="FF0000FF"/>
    </font>
    <font>
      <u/>
      <color theme="1"/>
      <name val="Arial"/>
      <scheme val="minor"/>
    </font>
    <font>
      <color rgb="FF000000"/>
      <name val="Arial"/>
      <scheme val="minor"/>
    </font>
    <font>
      <u/>
      <color theme="1"/>
      <name val="Arial"/>
      <scheme val="minor"/>
    </font>
    <font>
      <u/>
      <color rgb="FF0000FF"/>
    </font>
    <font>
      <u/>
      <color rgb="FF0000FF"/>
    </font>
    <font>
      <u/>
      <color rgb="FF0000FF"/>
    </font>
    <font>
      <u/>
      <color rgb="FF0000FF"/>
    </font>
    <font>
      <u/>
      <color theme="1"/>
      <name val="Arial"/>
      <scheme val="minor"/>
    </font>
    <font>
      <color rgb="FF000000"/>
      <name val="CostarBrownLight"/>
    </font>
    <font>
      <u/>
      <color rgb="FF0000FF"/>
    </font>
    <font>
      <sz val="9.0"/>
      <color rgb="FF000000"/>
      <name val="&quot;Helvetica Neue&quot;"/>
    </font>
    <font>
      <sz val="11.0"/>
      <color rgb="FF1F1F1F"/>
      <name val="Roboto"/>
    </font>
    <font>
      <i/>
      <sz val="11.0"/>
      <color theme="1"/>
      <name val="Calibri"/>
    </font>
    <font>
      <sz val="11.0"/>
      <color rgb="FFFFFFFF"/>
      <name val="Calibri"/>
    </font>
    <font>
      <sz val="11.0"/>
      <color theme="1"/>
      <name val="Calibri"/>
    </font>
    <font>
      <b/>
      <sz val="11.0"/>
      <color rgb="FFFFFFFF"/>
      <name val="Calibri"/>
    </font>
    <font>
      <u/>
      <color rgb="FF0000FF"/>
    </font>
    <font>
      <color theme="1"/>
      <name val="Arial"/>
    </font>
    <font>
      <sz val="11.0"/>
      <color theme="1"/>
      <name val="Arial"/>
    </font>
    <font>
      <u/>
      <color rgb="FF0000FF"/>
    </font>
    <font>
      <u/>
      <color rgb="FF0000FF"/>
    </font>
    <font>
      <u/>
      <color rgb="FF0000FF"/>
    </font>
    <font>
      <u/>
      <color rgb="FF1155CC"/>
      <name val="Arial"/>
    </font>
    <font>
      <sz val="10.0"/>
      <color theme="1"/>
      <name val="Arial"/>
    </font>
    <font>
      <sz val="10.0"/>
      <color theme="1"/>
      <name val="Arial"/>
      <scheme val="minor"/>
    </font>
    <font>
      <sz val="11.0"/>
      <color rgb="FF212121"/>
      <name val="Arial"/>
    </font>
    <font>
      <sz val="10.0"/>
      <color theme="1"/>
      <name val="Aptos Narrow"/>
    </font>
    <font>
      <u/>
      <sz val="10.0"/>
      <color theme="1"/>
      <name val="Aptos Narrow"/>
    </font>
    <font>
      <sz val="11.0"/>
      <color theme="1"/>
      <name val="Aptos Narrow"/>
    </font>
    <font>
      <u/>
      <color rgb="FF0000FF"/>
    </font>
    <font>
      <u/>
      <color rgb="FF0000FF"/>
    </font>
    <font>
      <u/>
      <color rgb="FF0000FF"/>
    </font>
    <font>
      <sz val="11.0"/>
      <color theme="1"/>
      <name val="Arial"/>
      <scheme val="minor"/>
    </font>
    <font>
      <color rgb="FF000000"/>
      <name val="Aptos"/>
    </font>
    <font>
      <sz val="9.0"/>
      <color theme="1"/>
      <name val="Arial"/>
      <scheme val="minor"/>
    </font>
    <font>
      <sz val="9.0"/>
      <color rgb="FF000000"/>
      <name val="Arial"/>
    </font>
    <font>
      <color rgb="FF000000"/>
      <name val="&quot;Segoe UI&quot;"/>
    </font>
    <font>
      <u/>
      <sz val="9.0"/>
      <color rgb="FF0000FF"/>
      <name val="Verdana"/>
    </font>
    <font>
      <u/>
      <color rgb="FF0000FF"/>
    </font>
  </fonts>
  <fills count="20">
    <fill>
      <patternFill patternType="none"/>
    </fill>
    <fill>
      <patternFill patternType="lightGray"/>
    </fill>
    <fill>
      <patternFill patternType="solid">
        <fgColor rgb="FFC1E4F5"/>
        <bgColor rgb="FFC1E4F5"/>
      </patternFill>
    </fill>
    <fill>
      <patternFill patternType="solid">
        <fgColor rgb="FFFFFFFF"/>
        <bgColor rgb="FFFFFFFF"/>
      </patternFill>
    </fill>
    <fill>
      <patternFill patternType="solid">
        <fgColor rgb="FFEFEFEF"/>
        <bgColor rgb="FFEFEFEF"/>
      </patternFill>
    </fill>
    <fill>
      <patternFill patternType="solid">
        <fgColor rgb="FFD9D9D9"/>
        <bgColor rgb="FFD9D9D9"/>
      </patternFill>
    </fill>
    <fill>
      <patternFill patternType="solid">
        <fgColor rgb="FFF9CB9C"/>
        <bgColor rgb="FFF9CB9C"/>
      </patternFill>
    </fill>
    <fill>
      <patternFill patternType="solid">
        <fgColor rgb="FFD9E0E8"/>
        <bgColor rgb="FFD9E0E8"/>
      </patternFill>
    </fill>
    <fill>
      <patternFill patternType="solid">
        <fgColor rgb="FF6883A4"/>
        <bgColor rgb="FF6883A4"/>
      </patternFill>
    </fill>
    <fill>
      <patternFill patternType="solid">
        <fgColor rgb="FFF2F5F7"/>
        <bgColor rgb="FFF2F5F7"/>
      </patternFill>
    </fill>
    <fill>
      <patternFill patternType="solid">
        <fgColor rgb="FF1F4E78"/>
        <bgColor rgb="FF1F4E78"/>
      </patternFill>
    </fill>
    <fill>
      <patternFill patternType="solid">
        <fgColor rgb="FFC6EFCE"/>
        <bgColor rgb="FFC6EFCE"/>
      </patternFill>
    </fill>
    <fill>
      <patternFill patternType="solid">
        <fgColor rgb="FFFCE4D6"/>
        <bgColor rgb="FFFCE4D6"/>
      </patternFill>
    </fill>
    <fill>
      <patternFill patternType="solid">
        <fgColor rgb="FFF4CCCC"/>
        <bgColor rgb="FFF4CCCC"/>
      </patternFill>
    </fill>
    <fill>
      <patternFill patternType="solid">
        <fgColor rgb="FFD9EAD3"/>
        <bgColor rgb="FFD9EAD3"/>
      </patternFill>
    </fill>
    <fill>
      <patternFill patternType="solid">
        <fgColor rgb="FFDDEBF7"/>
        <bgColor rgb="FFDDEBF7"/>
      </patternFill>
    </fill>
    <fill>
      <patternFill patternType="solid">
        <fgColor rgb="FFFFF2CC"/>
        <bgColor rgb="FFFFF2CC"/>
      </patternFill>
    </fill>
    <fill>
      <patternFill patternType="solid">
        <fgColor rgb="FFFFFF00"/>
        <bgColor rgb="FFFFFF00"/>
      </patternFill>
    </fill>
    <fill>
      <patternFill patternType="solid">
        <fgColor theme="0"/>
        <bgColor theme="0"/>
      </patternFill>
    </fill>
    <fill>
      <patternFill patternType="solid">
        <fgColor rgb="FFF7FAFD"/>
        <bgColor rgb="FFF7FAFD"/>
      </patternFill>
    </fill>
  </fills>
  <borders count="16">
    <border/>
    <border>
      <bottom style="thin">
        <color rgb="FFE0E0E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bottom style="thick">
        <color rgb="FF6883A4"/>
      </bottom>
    </border>
    <border>
      <right style="thin">
        <color rgb="FFFFFFFF"/>
      </right>
    </border>
    <border>
      <left/>
      <right/>
      <top/>
      <bottom/>
    </border>
    <border>
      <right style="medium">
        <color rgb="FFCCCCCC"/>
      </right>
      <bottom style="medium">
        <color rgb="FFCCCCCC"/>
      </bottom>
    </border>
    <border>
      <left style="thin">
        <color rgb="FFE7EEF8"/>
      </left>
      <right style="thin">
        <color rgb="FFE7EEF8"/>
      </right>
      <top style="thin">
        <color rgb="FFD9E2F3"/>
      </top>
      <bottom style="thin">
        <color rgb="FFD9E2F3"/>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2" fontId="1" numFmtId="0" xfId="0" applyAlignment="1" applyFill="1" applyFont="1">
      <alignment readingOrder="0"/>
    </xf>
    <xf borderId="0" fillId="0" fontId="1" numFmtId="0" xfId="0" applyFont="1"/>
    <xf borderId="0" fillId="0" fontId="1" numFmtId="164" xfId="0" applyAlignment="1" applyFont="1" applyNumberFormat="1">
      <alignment readingOrder="0"/>
    </xf>
    <xf borderId="0" fillId="0" fontId="2" numFmtId="0" xfId="0" applyAlignment="1" applyFont="1">
      <alignment readingOrder="0"/>
    </xf>
    <xf borderId="0" fillId="0" fontId="1" numFmtId="10" xfId="0" applyAlignment="1" applyFont="1" applyNumberFormat="1">
      <alignment readingOrder="0"/>
    </xf>
    <xf borderId="0" fillId="0" fontId="2" numFmtId="166" xfId="0" applyFont="1" applyNumberFormat="1"/>
    <xf borderId="0" fillId="0" fontId="1" numFmtId="165" xfId="0" applyAlignment="1" applyFont="1" applyNumberFormat="1">
      <alignment readingOrder="0"/>
    </xf>
    <xf borderId="0" fillId="0" fontId="2" numFmtId="10" xfId="0" applyFont="1" applyNumberFormat="1"/>
    <xf borderId="0" fillId="0" fontId="1" numFmtId="0" xfId="0" applyAlignment="1" applyFont="1">
      <alignment readingOrder="0" shrinkToFit="0" wrapText="0"/>
    </xf>
    <xf borderId="0" fillId="2" fontId="2" numFmtId="0" xfId="0" applyAlignment="1" applyFill="1" applyFont="1">
      <alignment readingOrder="0"/>
    </xf>
    <xf borderId="0" fillId="0" fontId="2" numFmtId="164" xfId="0" applyAlignment="1" applyFont="1" applyNumberFormat="1">
      <alignment readingOrder="0"/>
    </xf>
    <xf borderId="0" fillId="0" fontId="2" numFmtId="165" xfId="0" applyFont="1" applyNumberFormat="1"/>
    <xf borderId="0" fillId="0" fontId="2" numFmtId="0" xfId="0" applyAlignment="1" applyFont="1">
      <alignment shrinkToFit="0" wrapText="0"/>
    </xf>
    <xf borderId="0" fillId="0" fontId="2" numFmtId="0" xfId="0" applyFont="1"/>
    <xf borderId="0" fillId="0" fontId="2" numFmtId="167" xfId="0" applyFont="1" applyNumberFormat="1"/>
    <xf borderId="0" fillId="2" fontId="2" numFmtId="165" xfId="0" applyAlignment="1" applyFill="1" applyFont="1" applyNumberFormat="1">
      <alignment readingOrder="0"/>
    </xf>
    <xf borderId="0" fillId="0" fontId="2" numFmtId="0" xfId="0" applyFont="1"/>
    <xf borderId="0" fillId="0" fontId="2" numFmtId="10" xfId="0" applyAlignment="1" applyFont="1" applyNumberFormat="1">
      <alignment readingOrder="0"/>
    </xf>
    <xf borderId="0" fillId="0" fontId="3" numFmtId="164" xfId="0" applyAlignment="1" applyFont="1" applyNumberFormat="1">
      <alignment readingOrder="0"/>
    </xf>
    <xf borderId="0" fillId="2" fontId="2" numFmtId="0" xfId="0" applyFill="1" applyFont="1"/>
    <xf borderId="0" fillId="0" fontId="2" numFmtId="164" xfId="0" applyAlignment="1" applyFont="1" applyNumberFormat="1">
      <alignment readingOrder="0"/>
    </xf>
    <xf borderId="0" fillId="2" fontId="2" numFmtId="49" xfId="0" applyAlignment="1" applyFill="1" applyFont="1" applyNumberFormat="1">
      <alignment readingOrder="0"/>
    </xf>
    <xf borderId="0" fillId="0" fontId="2" numFmtId="165" xfId="0" applyAlignment="1" applyFont="1" applyNumberFormat="1">
      <alignment readingOrder="0"/>
    </xf>
    <xf borderId="0" fillId="0" fontId="2" numFmtId="167" xfId="0" applyAlignment="1" applyFont="1" applyNumberFormat="1">
      <alignment shrinkToFit="0" wrapText="0"/>
    </xf>
    <xf borderId="0" fillId="0" fontId="2" numFmtId="168" xfId="0" applyAlignment="1" applyFont="1" applyNumberFormat="1">
      <alignment readingOrder="0"/>
    </xf>
    <xf borderId="0" fillId="3" fontId="4" numFmtId="0" xfId="0" applyAlignment="1" applyFill="1" applyFont="1">
      <alignment readingOrder="0"/>
    </xf>
    <xf borderId="0" fillId="0" fontId="2" numFmtId="169" xfId="0" applyAlignment="1" applyFont="1" applyNumberFormat="1">
      <alignment readingOrder="0"/>
    </xf>
    <xf borderId="0" fillId="0" fontId="2" numFmtId="3" xfId="0" applyAlignment="1" applyFont="1" applyNumberFormat="1">
      <alignment readingOrder="0"/>
    </xf>
    <xf borderId="0" fillId="2" fontId="2" numFmtId="165" xfId="0" applyFill="1" applyFont="1" applyNumberFormat="1"/>
    <xf borderId="0" fillId="0" fontId="2" numFmtId="166" xfId="0" applyAlignment="1" applyFont="1" applyNumberFormat="1">
      <alignment shrinkToFit="0" wrapText="0"/>
    </xf>
    <xf borderId="0" fillId="2" fontId="4" numFmtId="0" xfId="0" applyAlignment="1" applyFill="1" applyFont="1">
      <alignment readingOrder="0"/>
    </xf>
    <xf borderId="0" fillId="0" fontId="2" numFmtId="10" xfId="0" applyAlignment="1" applyFont="1" applyNumberFormat="1">
      <alignment shrinkToFit="0" wrapText="0"/>
    </xf>
    <xf borderId="0" fillId="0" fontId="2" numFmtId="4" xfId="0" applyAlignment="1" applyFont="1" applyNumberFormat="1">
      <alignment readingOrder="0"/>
    </xf>
    <xf borderId="0" fillId="2" fontId="2" numFmtId="167" xfId="0" applyAlignment="1" applyFill="1" applyFont="1" applyNumberFormat="1">
      <alignment readingOrder="0"/>
    </xf>
    <xf borderId="0" fillId="0" fontId="2" numFmtId="170" xfId="0" applyAlignment="1" applyFont="1" applyNumberFormat="1">
      <alignment readingOrder="0"/>
    </xf>
    <xf borderId="0" fillId="0" fontId="2"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1" fillId="0" fontId="2" numFmtId="0" xfId="0" applyBorder="1" applyFont="1"/>
    <xf borderId="0" fillId="0" fontId="2" numFmtId="170" xfId="0" applyAlignment="1" applyFont="1" applyNumberFormat="1">
      <alignment readingOrder="0"/>
    </xf>
    <xf borderId="0" fillId="0" fontId="7" numFmtId="0" xfId="0" applyAlignment="1" applyFont="1">
      <alignment readingOrder="0" shrinkToFit="0" wrapText="0"/>
    </xf>
    <xf borderId="0" fillId="0" fontId="4" numFmtId="165" xfId="0" applyAlignment="1" applyFont="1" applyNumberFormat="1">
      <alignment horizontal="left" readingOrder="0" shrinkToFit="0" vertical="bottom" wrapText="0"/>
    </xf>
    <xf borderId="0" fillId="0" fontId="2" numFmtId="0" xfId="0" applyAlignment="1" applyFont="1">
      <alignment horizontal="left" readingOrder="0" shrinkToFit="0" wrapText="0"/>
    </xf>
    <xf borderId="0" fillId="0" fontId="2" numFmtId="167" xfId="0" applyAlignment="1" applyFont="1" applyNumberFormat="1">
      <alignment readingOrder="0"/>
    </xf>
    <xf borderId="0" fillId="0" fontId="2" numFmtId="168" xfId="0" applyAlignment="1" applyFont="1" applyNumberFormat="1">
      <alignment readingOrder="0"/>
    </xf>
    <xf borderId="0" fillId="0" fontId="1" numFmtId="0" xfId="0" applyAlignment="1" applyFont="1">
      <alignment horizontal="left" readingOrder="0"/>
    </xf>
    <xf borderId="0" fillId="0" fontId="1" numFmtId="165" xfId="0" applyAlignment="1" applyFont="1" applyNumberFormat="1">
      <alignment horizontal="center" readingOrder="0"/>
    </xf>
    <xf borderId="0" fillId="3" fontId="1" numFmtId="0" xfId="0" applyAlignment="1" applyFill="1" applyFont="1">
      <alignment horizontal="center" readingOrder="0"/>
    </xf>
    <xf borderId="0" fillId="0" fontId="8" numFmtId="0" xfId="0" applyAlignment="1" applyFont="1">
      <alignment readingOrder="0" shrinkToFit="0" wrapText="0"/>
    </xf>
    <xf borderId="2" fillId="0" fontId="1" numFmtId="0" xfId="0" applyAlignment="1" applyBorder="1" applyFont="1">
      <alignment horizontal="center" readingOrder="0"/>
    </xf>
    <xf borderId="3" fillId="0" fontId="9" numFmtId="0" xfId="0" applyBorder="1" applyFont="1"/>
    <xf borderId="4" fillId="0" fontId="9" numFmtId="0" xfId="0" applyBorder="1" applyFont="1"/>
    <xf borderId="2" fillId="0" fontId="1" numFmtId="165" xfId="0" applyAlignment="1" applyBorder="1" applyFont="1" applyNumberFormat="1">
      <alignment horizontal="center" readingOrder="0"/>
    </xf>
    <xf borderId="2" fillId="3" fontId="1" numFmtId="0" xfId="0" applyAlignment="1" applyBorder="1" applyFill="1" applyFont="1">
      <alignment horizontal="center" readingOrder="0"/>
    </xf>
    <xf borderId="5" fillId="4" fontId="1" numFmtId="0" xfId="0" applyAlignment="1" applyBorder="1" applyFill="1" applyFont="1">
      <alignment horizontal="center" readingOrder="0"/>
    </xf>
    <xf borderId="0" fillId="4" fontId="1" numFmtId="0" xfId="0" applyAlignment="1" applyFill="1" applyFont="1">
      <alignment horizontal="center" readingOrder="0"/>
    </xf>
    <xf borderId="0" fillId="4" fontId="1" numFmtId="171" xfId="0" applyAlignment="1" applyFill="1" applyFont="1" applyNumberFormat="1">
      <alignment horizontal="center" readingOrder="0"/>
    </xf>
    <xf borderId="6" fillId="4" fontId="1" numFmtId="0" xfId="0" applyAlignment="1" applyBorder="1" applyFill="1" applyFont="1">
      <alignment horizontal="left" readingOrder="0"/>
    </xf>
    <xf borderId="5" fillId="4" fontId="1" numFmtId="165" xfId="0" applyAlignment="1" applyBorder="1" applyFill="1" applyFont="1" applyNumberFormat="1">
      <alignment horizontal="center" readingOrder="0"/>
    </xf>
    <xf borderId="0" fillId="4" fontId="1" numFmtId="165" xfId="0" applyAlignment="1" applyFill="1" applyFont="1" applyNumberFormat="1">
      <alignment horizontal="center" readingOrder="0"/>
    </xf>
    <xf borderId="6" fillId="4" fontId="1" numFmtId="165" xfId="0" applyAlignment="1" applyBorder="1" applyFill="1" applyFont="1" applyNumberFormat="1">
      <alignment horizontal="center" readingOrder="0"/>
    </xf>
    <xf borderId="5" fillId="5" fontId="1" numFmtId="0" xfId="0" applyAlignment="1" applyBorder="1" applyFill="1" applyFont="1">
      <alignment horizontal="center" readingOrder="0"/>
    </xf>
    <xf borderId="0" fillId="5" fontId="1" numFmtId="0" xfId="0" applyAlignment="1" applyFill="1" applyFont="1">
      <alignment horizontal="center" readingOrder="0"/>
    </xf>
    <xf borderId="6" fillId="5" fontId="1" numFmtId="0" xfId="0" applyAlignment="1" applyBorder="1" applyFill="1" applyFont="1">
      <alignment horizontal="center" readingOrder="0"/>
    </xf>
    <xf borderId="5" fillId="0" fontId="2" numFmtId="0" xfId="0" applyBorder="1" applyFont="1"/>
    <xf borderId="0" fillId="0" fontId="10" numFmtId="171" xfId="0" applyAlignment="1" applyFont="1" applyNumberFormat="1">
      <alignment readingOrder="0"/>
    </xf>
    <xf borderId="0" fillId="0" fontId="2" numFmtId="171" xfId="0" applyAlignment="1" applyFont="1" applyNumberFormat="1">
      <alignment readingOrder="0"/>
    </xf>
    <xf borderId="0" fillId="0" fontId="11" numFmtId="0" xfId="0" applyAlignment="1" applyFont="1">
      <alignment readingOrder="0"/>
    </xf>
    <xf borderId="6" fillId="0" fontId="2" numFmtId="168" xfId="0" applyAlignment="1" applyBorder="1" applyFont="1" applyNumberFormat="1">
      <alignment horizontal="center" readingOrder="0"/>
    </xf>
    <xf borderId="5" fillId="0" fontId="2" numFmtId="165" xfId="0" applyAlignment="1" applyBorder="1" applyFont="1" applyNumberFormat="1">
      <alignment horizontal="center" readingOrder="0"/>
    </xf>
    <xf borderId="0" fillId="0" fontId="2" numFmtId="165" xfId="0" applyAlignment="1" applyFont="1" applyNumberFormat="1">
      <alignment horizontal="center" readingOrder="0"/>
    </xf>
    <xf borderId="6" fillId="0" fontId="2" numFmtId="165" xfId="0" applyAlignment="1" applyBorder="1" applyFont="1" applyNumberFormat="1">
      <alignment horizontal="center" readingOrder="0"/>
    </xf>
    <xf borderId="5" fillId="0" fontId="2" numFmtId="165" xfId="0" applyAlignment="1" applyBorder="1" applyFont="1" applyNumberFormat="1">
      <alignment horizontal="center"/>
    </xf>
    <xf borderId="0" fillId="0" fontId="2" numFmtId="165" xfId="0" applyAlignment="1" applyFont="1" applyNumberFormat="1">
      <alignment horizontal="center"/>
    </xf>
    <xf borderId="6" fillId="0" fontId="2" numFmtId="165" xfId="0" applyAlignment="1" applyBorder="1" applyFont="1" applyNumberFormat="1">
      <alignment horizontal="center"/>
    </xf>
    <xf borderId="6" fillId="0" fontId="2" numFmtId="0" xfId="0" applyAlignment="1" applyBorder="1" applyFont="1">
      <alignment horizontal="center"/>
    </xf>
    <xf borderId="5" fillId="0" fontId="2" numFmtId="10" xfId="0" applyAlignment="1" applyBorder="1" applyFont="1" applyNumberFormat="1">
      <alignment horizontal="center"/>
    </xf>
    <xf borderId="0" fillId="0" fontId="2" numFmtId="10" xfId="0" applyAlignment="1" applyFont="1" applyNumberFormat="1">
      <alignment horizontal="center"/>
    </xf>
    <xf borderId="6" fillId="0" fontId="2" numFmtId="10" xfId="0" applyAlignment="1" applyBorder="1" applyFont="1" applyNumberFormat="1">
      <alignment horizontal="center"/>
    </xf>
    <xf borderId="0" fillId="0" fontId="12" numFmtId="0" xfId="0" applyAlignment="1" applyFont="1">
      <alignment readingOrder="0"/>
    </xf>
    <xf borderId="0" fillId="0" fontId="13" numFmtId="0" xfId="0" applyAlignment="1" applyFont="1">
      <alignment readingOrder="0"/>
    </xf>
    <xf borderId="5" fillId="0" fontId="2" numFmtId="0" xfId="0" applyAlignment="1" applyBorder="1" applyFont="1">
      <alignment horizontal="center"/>
    </xf>
    <xf borderId="0" fillId="0" fontId="2" numFmtId="0" xfId="0" applyAlignment="1" applyFont="1">
      <alignment horizontal="center"/>
    </xf>
    <xf borderId="0" fillId="6" fontId="2" numFmtId="0" xfId="0" applyFill="1" applyFont="1"/>
    <xf borderId="0" fillId="6" fontId="2" numFmtId="0" xfId="0" applyAlignment="1" applyFill="1" applyFont="1">
      <alignment readingOrder="0"/>
    </xf>
    <xf borderId="0" fillId="6" fontId="6" numFmtId="0" xfId="0" applyAlignment="1" applyFill="1" applyFont="1">
      <alignment readingOrder="0" vertical="top"/>
    </xf>
    <xf borderId="0" fillId="6" fontId="14" numFmtId="164" xfId="0" applyAlignment="1" applyFill="1" applyFont="1" applyNumberFormat="1">
      <alignment readingOrder="0"/>
    </xf>
    <xf borderId="0" fillId="6" fontId="2" numFmtId="0" xfId="0" applyAlignment="1" applyFill="1" applyFont="1">
      <alignment readingOrder="0"/>
    </xf>
    <xf borderId="0" fillId="6" fontId="2" numFmtId="165" xfId="0" applyAlignment="1" applyFill="1" applyFont="1" applyNumberFormat="1">
      <alignment readingOrder="0"/>
    </xf>
    <xf borderId="0" fillId="6" fontId="2" numFmtId="0" xfId="0" applyAlignment="1" applyFill="1" applyFont="1">
      <alignment shrinkToFit="0" wrapText="0"/>
    </xf>
    <xf borderId="0" fillId="0" fontId="15" numFmtId="164" xfId="0" applyFont="1" applyNumberFormat="1"/>
    <xf borderId="0" fillId="0" fontId="2" numFmtId="168" xfId="0" applyFont="1" applyNumberFormat="1"/>
    <xf borderId="7" fillId="0" fontId="2" numFmtId="0" xfId="0" applyBorder="1" applyFont="1"/>
    <xf borderId="8" fillId="0" fontId="2" numFmtId="0" xfId="0" applyAlignment="1" applyBorder="1" applyFont="1">
      <alignment readingOrder="0"/>
    </xf>
    <xf borderId="8" fillId="0" fontId="16" numFmtId="171" xfId="0" applyAlignment="1" applyBorder="1" applyFont="1" applyNumberFormat="1">
      <alignment readingOrder="0"/>
    </xf>
    <xf borderId="0" fillId="0" fontId="17" numFmtId="0" xfId="0" applyFont="1"/>
    <xf borderId="8" fillId="0" fontId="2" numFmtId="171" xfId="0" applyAlignment="1" applyBorder="1" applyFont="1" applyNumberFormat="1">
      <alignment readingOrder="0"/>
    </xf>
    <xf borderId="8" fillId="0" fontId="18" numFmtId="0" xfId="0" applyAlignment="1" applyBorder="1" applyFont="1">
      <alignment readingOrder="0"/>
    </xf>
    <xf borderId="8" fillId="0" fontId="2" numFmtId="0" xfId="0" applyBorder="1" applyFont="1"/>
    <xf borderId="9" fillId="0" fontId="2" numFmtId="168" xfId="0" applyAlignment="1" applyBorder="1" applyFont="1" applyNumberFormat="1">
      <alignment horizontal="center" readingOrder="0"/>
    </xf>
    <xf borderId="7" fillId="0" fontId="2" numFmtId="165" xfId="0" applyAlignment="1" applyBorder="1" applyFont="1" applyNumberFormat="1">
      <alignment horizontal="center" readingOrder="0"/>
    </xf>
    <xf borderId="8" fillId="0" fontId="2" numFmtId="165" xfId="0" applyAlignment="1" applyBorder="1" applyFont="1" applyNumberFormat="1">
      <alignment horizontal="center" readingOrder="0"/>
    </xf>
    <xf borderId="9" fillId="0" fontId="2" numFmtId="165" xfId="0" applyAlignment="1" applyBorder="1" applyFont="1" applyNumberFormat="1">
      <alignment horizontal="center" readingOrder="0"/>
    </xf>
    <xf borderId="7" fillId="0" fontId="2" numFmtId="165" xfId="0" applyAlignment="1" applyBorder="1" applyFont="1" applyNumberFormat="1">
      <alignment horizontal="center"/>
    </xf>
    <xf borderId="8" fillId="0" fontId="2" numFmtId="165" xfId="0" applyAlignment="1" applyBorder="1" applyFont="1" applyNumberFormat="1">
      <alignment horizontal="center"/>
    </xf>
    <xf borderId="9" fillId="0" fontId="2" numFmtId="165" xfId="0" applyAlignment="1" applyBorder="1" applyFont="1" applyNumberFormat="1">
      <alignment horizontal="center"/>
    </xf>
    <xf borderId="7" fillId="0" fontId="2" numFmtId="0" xfId="0" applyAlignment="1" applyBorder="1" applyFont="1">
      <alignment horizontal="center"/>
    </xf>
    <xf borderId="9" fillId="0" fontId="2" numFmtId="0" xfId="0" applyAlignment="1" applyBorder="1" applyFont="1">
      <alignment horizontal="center"/>
    </xf>
    <xf borderId="7" fillId="0" fontId="2" numFmtId="10" xfId="0" applyAlignment="1" applyBorder="1" applyFont="1" applyNumberFormat="1">
      <alignment horizontal="center"/>
    </xf>
    <xf borderId="8" fillId="0" fontId="2" numFmtId="10" xfId="0" applyAlignment="1" applyBorder="1" applyFont="1" applyNumberFormat="1">
      <alignment horizontal="center"/>
    </xf>
    <xf borderId="9" fillId="0" fontId="2" numFmtId="10" xfId="0" applyAlignment="1" applyBorder="1" applyFont="1" applyNumberFormat="1">
      <alignment horizontal="center"/>
    </xf>
    <xf borderId="0" fillId="0" fontId="2" numFmtId="171" xfId="0" applyFont="1" applyNumberFormat="1"/>
    <xf borderId="0" fillId="2" fontId="2" numFmtId="49" xfId="0" applyFill="1" applyFont="1" applyNumberFormat="1"/>
    <xf borderId="0" fillId="3" fontId="19" numFmtId="0" xfId="0" applyAlignment="1" applyFill="1" applyFont="1">
      <alignment readingOrder="0" shrinkToFit="0" wrapText="0"/>
    </xf>
    <xf borderId="0" fillId="0" fontId="20" numFmtId="0" xfId="0" applyAlignment="1" applyFont="1">
      <alignment readingOrder="0"/>
    </xf>
    <xf borderId="0" fillId="0" fontId="6" numFmtId="0" xfId="0" applyAlignment="1" applyFont="1">
      <alignment readingOrder="0" vertical="top"/>
    </xf>
    <xf borderId="0" fillId="2" fontId="21" numFmtId="165" xfId="0" applyAlignment="1" applyFill="1" applyFont="1" applyNumberFormat="1">
      <alignment horizontal="center" readingOrder="0"/>
    </xf>
    <xf borderId="0" fillId="0" fontId="2" numFmtId="172" xfId="0" applyFont="1" applyNumberFormat="1"/>
    <xf borderId="0" fillId="0" fontId="2" numFmtId="164" xfId="0" applyFont="1" applyNumberFormat="1"/>
    <xf borderId="0" fillId="3" fontId="22" numFmtId="0" xfId="0" applyAlignment="1" applyFill="1" applyFont="1">
      <alignment readingOrder="0"/>
    </xf>
    <xf borderId="10" fillId="7" fontId="23" numFmtId="0" xfId="0" applyAlignment="1" applyBorder="1" applyFill="1" applyFont="1">
      <alignment vertical="bottom"/>
    </xf>
    <xf borderId="10" fillId="8" fontId="24" numFmtId="0" xfId="0" applyAlignment="1" applyBorder="1" applyFill="1" applyFont="1">
      <alignment vertical="bottom"/>
    </xf>
    <xf borderId="11" fillId="9" fontId="25" numFmtId="0" xfId="0" applyAlignment="1" applyBorder="1" applyFill="1" applyFont="1">
      <alignment vertical="bottom"/>
    </xf>
    <xf borderId="0" fillId="3" fontId="25" numFmtId="173" xfId="0" applyAlignment="1" applyFill="1" applyFont="1" applyNumberFormat="1">
      <alignment horizontal="right" vertical="bottom"/>
    </xf>
    <xf borderId="0" fillId="0" fontId="2" numFmtId="174" xfId="0" applyAlignment="1" applyFont="1" applyNumberFormat="1">
      <alignment readingOrder="0"/>
    </xf>
    <xf borderId="12" fillId="10" fontId="26" numFmtId="0" xfId="0" applyAlignment="1" applyBorder="1" applyFill="1" applyFont="1">
      <alignment shrinkToFit="0" wrapText="1"/>
    </xf>
    <xf borderId="0" fillId="0" fontId="25" numFmtId="0" xfId="0" applyAlignment="1" applyFont="1">
      <alignment horizontal="right" shrinkToFit="0" vertical="top" wrapText="1"/>
    </xf>
    <xf borderId="0" fillId="0" fontId="25" numFmtId="0" xfId="0" applyAlignment="1" applyFont="1">
      <alignment shrinkToFit="0" vertical="top" wrapText="1"/>
    </xf>
    <xf borderId="12" fillId="11" fontId="25" numFmtId="0" xfId="0" applyAlignment="1" applyBorder="1" applyFill="1" applyFont="1">
      <alignment shrinkToFit="0" vertical="top" wrapText="1"/>
    </xf>
    <xf borderId="0" fillId="11" fontId="25" numFmtId="0" xfId="0" applyAlignment="1" applyFill="1" applyFont="1">
      <alignment horizontal="center" shrinkToFit="0" vertical="top" wrapText="1"/>
    </xf>
    <xf borderId="12" fillId="12" fontId="25" numFmtId="0" xfId="0" applyAlignment="1" applyBorder="1" applyFill="1" applyFont="1">
      <alignment shrinkToFit="0" vertical="top" wrapText="1"/>
    </xf>
    <xf borderId="0" fillId="12" fontId="25" numFmtId="0" xfId="0" applyAlignment="1" applyFill="1" applyFont="1">
      <alignment vertical="top"/>
    </xf>
    <xf borderId="12" fillId="13" fontId="25" numFmtId="0" xfId="0" applyAlignment="1" applyBorder="1" applyFill="1" applyFont="1">
      <alignment shrinkToFit="0" vertical="top" wrapText="1"/>
    </xf>
    <xf borderId="0" fillId="13" fontId="25" numFmtId="0" xfId="0" applyAlignment="1" applyFill="1" applyFont="1">
      <alignment vertical="top"/>
    </xf>
    <xf borderId="12" fillId="14" fontId="25" numFmtId="0" xfId="0" applyAlignment="1" applyBorder="1" applyFill="1" applyFont="1">
      <alignment shrinkToFit="0" vertical="top" wrapText="1"/>
    </xf>
    <xf borderId="12" fillId="15" fontId="25" numFmtId="0" xfId="0" applyAlignment="1" applyBorder="1" applyFill="1" applyFont="1">
      <alignment shrinkToFit="0" vertical="top" wrapText="1"/>
    </xf>
    <xf borderId="0" fillId="11" fontId="25" numFmtId="0" xfId="0" applyAlignment="1" applyFill="1" applyFont="1">
      <alignment vertical="top"/>
    </xf>
    <xf borderId="0" fillId="4" fontId="2" numFmtId="0" xfId="0" applyFill="1" applyFont="1"/>
    <xf borderId="0" fillId="4" fontId="2" numFmtId="0" xfId="0" applyAlignment="1" applyFill="1" applyFont="1">
      <alignment readingOrder="0"/>
    </xf>
    <xf borderId="0" fillId="4" fontId="27" numFmtId="164" xfId="0" applyAlignment="1" applyFill="1" applyFont="1" applyNumberFormat="1">
      <alignment readingOrder="0"/>
    </xf>
    <xf borderId="0" fillId="4" fontId="2" numFmtId="168" xfId="0" applyAlignment="1" applyFill="1" applyFont="1" applyNumberFormat="1">
      <alignment readingOrder="0"/>
    </xf>
    <xf borderId="0" fillId="4" fontId="2" numFmtId="165" xfId="0" applyAlignment="1" applyFill="1" applyFont="1" applyNumberFormat="1">
      <alignment readingOrder="0"/>
    </xf>
    <xf borderId="0" fillId="4" fontId="2" numFmtId="0" xfId="0" applyAlignment="1" applyFill="1" applyFont="1">
      <alignment shrinkToFit="0" wrapText="0"/>
    </xf>
    <xf borderId="0" fillId="16" fontId="2" numFmtId="0" xfId="0" applyAlignment="1" applyFill="1" applyFont="1">
      <alignment readingOrder="0"/>
    </xf>
    <xf borderId="0" fillId="16" fontId="2" numFmtId="167" xfId="0" applyAlignment="1" applyFill="1" applyFont="1" applyNumberFormat="1">
      <alignment readingOrder="0"/>
    </xf>
    <xf borderId="0" fillId="0" fontId="2" numFmtId="167" xfId="0" applyAlignment="1" applyFont="1" applyNumberFormat="1">
      <alignment readingOrder="0"/>
    </xf>
    <xf borderId="0" fillId="16" fontId="2" numFmtId="167" xfId="0" applyFill="1" applyFont="1" applyNumberFormat="1"/>
    <xf borderId="0" fillId="0" fontId="2" numFmtId="169" xfId="0" applyAlignment="1" applyFont="1" applyNumberFormat="1">
      <alignment readingOrder="0"/>
    </xf>
    <xf borderId="0" fillId="0" fontId="2" numFmtId="49" xfId="0" applyAlignment="1" applyFont="1" applyNumberFormat="1">
      <alignment readingOrder="0"/>
    </xf>
    <xf borderId="0" fillId="16" fontId="2" numFmtId="165" xfId="0" applyAlignment="1" applyFill="1" applyFont="1" applyNumberFormat="1">
      <alignment readingOrder="0"/>
    </xf>
    <xf borderId="0" fillId="16" fontId="2" numFmtId="165" xfId="0" applyFill="1" applyFont="1" applyNumberFormat="1"/>
    <xf borderId="0" fillId="0" fontId="28" numFmtId="165" xfId="0" applyAlignment="1" applyFont="1" applyNumberFormat="1">
      <alignment horizontal="right" vertical="bottom"/>
    </xf>
    <xf borderId="0" fillId="0" fontId="29" numFmtId="175" xfId="0" applyAlignment="1" applyFont="1" applyNumberFormat="1">
      <alignment horizontal="right" vertical="bottom"/>
    </xf>
    <xf borderId="0" fillId="0" fontId="30" numFmtId="49" xfId="0" applyAlignment="1" applyFont="1" applyNumberFormat="1">
      <alignment readingOrder="0"/>
    </xf>
    <xf borderId="0" fillId="0" fontId="28" numFmtId="49" xfId="0" applyAlignment="1" applyFont="1" applyNumberFormat="1">
      <alignment horizontal="right" vertical="bottom"/>
    </xf>
    <xf borderId="0" fillId="0" fontId="28" numFmtId="0" xfId="0" applyAlignment="1" applyFont="1">
      <alignment vertical="bottom"/>
    </xf>
    <xf borderId="0" fillId="3" fontId="28" numFmtId="49" xfId="0" applyAlignment="1" applyFill="1" applyFont="1" applyNumberFormat="1">
      <alignment horizontal="right" vertical="bottom"/>
    </xf>
    <xf borderId="0" fillId="3" fontId="28" numFmtId="0" xfId="0" applyAlignment="1" applyFill="1" applyFont="1">
      <alignment vertical="bottom"/>
    </xf>
    <xf borderId="0" fillId="3" fontId="28" numFmtId="165" xfId="0" applyAlignment="1" applyFill="1" applyFont="1" applyNumberFormat="1">
      <alignment horizontal="right" vertical="bottom"/>
    </xf>
    <xf borderId="0" fillId="2" fontId="2" numFmtId="167" xfId="0" applyFill="1" applyFont="1" applyNumberFormat="1"/>
    <xf borderId="0" fillId="0" fontId="1" numFmtId="167" xfId="0" applyAlignment="1" applyFont="1" applyNumberFormat="1">
      <alignment shrinkToFit="0" wrapText="0"/>
    </xf>
    <xf borderId="0" fillId="17" fontId="2" numFmtId="0" xfId="0" applyAlignment="1" applyFill="1" applyFont="1">
      <alignment readingOrder="0"/>
    </xf>
    <xf borderId="0" fillId="17" fontId="2" numFmtId="170" xfId="0" applyAlignment="1" applyFill="1" applyFont="1" applyNumberFormat="1">
      <alignment readingOrder="0"/>
    </xf>
    <xf borderId="0" fillId="17" fontId="2" numFmtId="0" xfId="0" applyFill="1" applyFont="1"/>
    <xf borderId="0" fillId="17" fontId="2" numFmtId="165" xfId="0" applyAlignment="1" applyFill="1" applyFont="1" applyNumberFormat="1">
      <alignment readingOrder="0"/>
    </xf>
    <xf borderId="0" fillId="17" fontId="31" numFmtId="0" xfId="0" applyAlignment="1" applyFill="1" applyFont="1">
      <alignment readingOrder="0"/>
    </xf>
    <xf borderId="0" fillId="16" fontId="2" numFmtId="167" xfId="0" applyAlignment="1" applyFill="1" applyFont="1" applyNumberFormat="1">
      <alignment readingOrder="0"/>
    </xf>
    <xf borderId="0" fillId="17" fontId="2" numFmtId="3" xfId="0" applyAlignment="1" applyFill="1" applyFont="1" applyNumberFormat="1">
      <alignment readingOrder="0"/>
    </xf>
    <xf borderId="0" fillId="17" fontId="2" numFmtId="168" xfId="0" applyAlignment="1" applyFill="1" applyFont="1" applyNumberFormat="1">
      <alignment readingOrder="0"/>
    </xf>
    <xf borderId="0" fillId="17" fontId="2" numFmtId="167" xfId="0" applyAlignment="1" applyFill="1" applyFont="1" applyNumberFormat="1">
      <alignment readingOrder="0"/>
    </xf>
    <xf borderId="0" fillId="17" fontId="32" numFmtId="0" xfId="0" applyAlignment="1" applyFill="1" applyFont="1">
      <alignment readingOrder="0"/>
    </xf>
    <xf borderId="0" fillId="0" fontId="33" numFmtId="49" xfId="0" applyAlignment="1" applyFont="1" applyNumberFormat="1">
      <alignment horizontal="right" vertical="bottom"/>
    </xf>
    <xf borderId="0" fillId="0" fontId="28" numFmtId="167" xfId="0" applyAlignment="1" applyFont="1" applyNumberFormat="1">
      <alignment vertical="bottom"/>
    </xf>
    <xf borderId="0" fillId="0" fontId="28" numFmtId="167" xfId="0" applyAlignment="1" applyFont="1" applyNumberFormat="1">
      <alignment horizontal="right" vertical="bottom"/>
    </xf>
    <xf borderId="0" fillId="16" fontId="2" numFmtId="0" xfId="0" applyFill="1" applyFont="1"/>
    <xf borderId="0" fillId="0" fontId="1" numFmtId="167" xfId="0" applyAlignment="1" applyFont="1" applyNumberFormat="1">
      <alignment readingOrder="0"/>
    </xf>
    <xf borderId="0" fillId="0" fontId="28" numFmtId="0" xfId="0" applyAlignment="1" applyFont="1">
      <alignment horizontal="right" vertical="bottom"/>
    </xf>
    <xf borderId="0" fillId="0" fontId="28" numFmtId="0" xfId="0" applyAlignment="1" applyFont="1">
      <alignment vertical="bottom"/>
    </xf>
    <xf borderId="0" fillId="0" fontId="28" numFmtId="0" xfId="0" applyAlignment="1" applyFont="1">
      <alignment readingOrder="0" vertical="bottom"/>
    </xf>
    <xf borderId="0" fillId="0" fontId="29" numFmtId="175" xfId="0" applyAlignment="1" applyFont="1" applyNumberFormat="1">
      <alignment readingOrder="0"/>
    </xf>
    <xf borderId="0" fillId="0" fontId="28" numFmtId="0" xfId="0" applyAlignment="1" applyFont="1">
      <alignment horizontal="right" readingOrder="0" vertical="bottom"/>
    </xf>
    <xf borderId="0" fillId="0" fontId="28" numFmtId="165" xfId="0" applyAlignment="1" applyFont="1" applyNumberFormat="1">
      <alignment readingOrder="0" vertical="bottom"/>
    </xf>
    <xf borderId="0" fillId="18" fontId="34" numFmtId="0" xfId="0" applyAlignment="1" applyFill="1" applyFont="1">
      <alignment horizontal="right" readingOrder="0" vertical="bottom"/>
    </xf>
    <xf borderId="0" fillId="18" fontId="34" numFmtId="0" xfId="0" applyAlignment="1" applyFill="1" applyFont="1">
      <alignment readingOrder="0" vertical="bottom"/>
    </xf>
    <xf borderId="0" fillId="18" fontId="34" numFmtId="165" xfId="0" applyAlignment="1" applyFill="1" applyFont="1" applyNumberFormat="1">
      <alignment readingOrder="0" vertical="bottom"/>
    </xf>
    <xf borderId="0" fillId="18" fontId="35" numFmtId="165" xfId="0" applyAlignment="1" applyFill="1" applyFont="1" applyNumberFormat="1">
      <alignment readingOrder="0"/>
    </xf>
    <xf borderId="0" fillId="18" fontId="2" numFmtId="10" xfId="0" applyFill="1" applyFont="1" applyNumberFormat="1"/>
    <xf borderId="0" fillId="18" fontId="2" numFmtId="0" xfId="0" applyFill="1" applyFont="1"/>
    <xf borderId="0" fillId="18" fontId="2" numFmtId="167" xfId="0" applyFill="1" applyFont="1" applyNumberFormat="1"/>
    <xf borderId="0" fillId="18" fontId="34" numFmtId="0" xfId="0" applyAlignment="1" applyFill="1" applyFont="1">
      <alignment vertical="bottom"/>
    </xf>
    <xf borderId="0" fillId="3" fontId="36" numFmtId="167" xfId="0" applyAlignment="1" applyFill="1" applyFont="1" applyNumberFormat="1">
      <alignment horizontal="right" vertical="bottom"/>
    </xf>
    <xf borderId="0" fillId="18" fontId="34" numFmtId="175" xfId="0" applyAlignment="1" applyFill="1" applyFont="1" applyNumberFormat="1">
      <alignment vertical="bottom"/>
    </xf>
    <xf borderId="0" fillId="16" fontId="2" numFmtId="165" xfId="0" applyAlignment="1" applyFill="1" applyFont="1" applyNumberFormat="1">
      <alignment readingOrder="0"/>
    </xf>
    <xf borderId="0" fillId="18" fontId="28" numFmtId="0" xfId="0" applyAlignment="1" applyFill="1" applyFont="1">
      <alignment vertical="bottom"/>
    </xf>
    <xf borderId="0" fillId="18" fontId="37" numFmtId="0" xfId="0" applyAlignment="1" applyFill="1" applyFont="1">
      <alignment vertical="bottom"/>
    </xf>
    <xf borderId="0" fillId="18" fontId="37" numFmtId="175" xfId="0" applyFill="1" applyFont="1" applyNumberFormat="1"/>
    <xf borderId="0" fillId="18" fontId="37" numFmtId="10" xfId="0" applyFill="1" applyFont="1" applyNumberFormat="1"/>
    <xf borderId="0" fillId="18" fontId="38" numFmtId="0" xfId="0" applyAlignment="1" applyFill="1" applyFont="1">
      <alignment readingOrder="0"/>
    </xf>
    <xf borderId="0" fillId="18" fontId="28" numFmtId="0" xfId="0" applyAlignment="1" applyFill="1" applyFont="1">
      <alignment horizontal="right" readingOrder="0" vertical="bottom"/>
    </xf>
    <xf borderId="0" fillId="18" fontId="2" numFmtId="0" xfId="0" applyAlignment="1" applyFill="1" applyFont="1">
      <alignment readingOrder="0"/>
    </xf>
    <xf borderId="0" fillId="18" fontId="34" numFmtId="0" xfId="0" applyAlignment="1" applyFill="1" applyFont="1">
      <alignment readingOrder="0"/>
    </xf>
    <xf borderId="0" fillId="18" fontId="34" numFmtId="10" xfId="0" applyAlignment="1" applyFill="1" applyFont="1" applyNumberFormat="1">
      <alignment readingOrder="0"/>
    </xf>
    <xf borderId="0" fillId="18" fontId="34" numFmtId="0" xfId="0" applyAlignment="1" applyFill="1" applyFont="1">
      <alignment readingOrder="0"/>
    </xf>
    <xf borderId="0" fillId="18" fontId="28" numFmtId="0" xfId="0" applyAlignment="1" applyFill="1" applyFont="1">
      <alignment horizontal="right" vertical="bottom"/>
    </xf>
    <xf borderId="0" fillId="18" fontId="34" numFmtId="165" xfId="0" applyAlignment="1" applyFill="1" applyFont="1" applyNumberFormat="1">
      <alignment readingOrder="0"/>
    </xf>
    <xf borderId="0" fillId="18" fontId="39" numFmtId="0" xfId="0" applyAlignment="1" applyFill="1" applyFont="1">
      <alignment horizontal="right" vertical="bottom"/>
    </xf>
    <xf borderId="0" fillId="18" fontId="39" numFmtId="0" xfId="0" applyAlignment="1" applyFill="1" applyFont="1">
      <alignment vertical="bottom"/>
    </xf>
    <xf borderId="0" fillId="18" fontId="39" numFmtId="175" xfId="0" applyAlignment="1" applyFill="1" applyFont="1" applyNumberFormat="1">
      <alignment horizontal="right" vertical="bottom"/>
    </xf>
    <xf borderId="0" fillId="18" fontId="39" numFmtId="10" xfId="0" applyAlignment="1" applyFill="1" applyFont="1" applyNumberFormat="1">
      <alignment horizontal="right" vertical="bottom"/>
    </xf>
    <xf borderId="0" fillId="18" fontId="28" numFmtId="0" xfId="0" applyAlignment="1" applyFill="1" applyFont="1">
      <alignment readingOrder="0" vertical="bottom"/>
    </xf>
    <xf borderId="0" fillId="18" fontId="40" numFmtId="167" xfId="0" applyAlignment="1" applyFill="1" applyFont="1" applyNumberFormat="1">
      <alignment readingOrder="0"/>
    </xf>
    <xf borderId="0" fillId="18" fontId="2" numFmtId="167" xfId="0" applyAlignment="1" applyFill="1" applyFont="1" applyNumberFormat="1">
      <alignment readingOrder="0"/>
    </xf>
    <xf borderId="0" fillId="18" fontId="2" numFmtId="167" xfId="0" applyFill="1" applyFont="1" applyNumberFormat="1"/>
    <xf borderId="0" fillId="18" fontId="2" numFmtId="10" xfId="0" applyAlignment="1" applyFill="1" applyFont="1" applyNumberFormat="1">
      <alignment readingOrder="0"/>
    </xf>
    <xf borderId="0" fillId="18" fontId="41" numFmtId="0" xfId="0" applyAlignment="1" applyFill="1" applyFont="1">
      <alignment readingOrder="0"/>
    </xf>
    <xf borderId="0" fillId="18" fontId="39" numFmtId="0" xfId="0" applyAlignment="1" applyFill="1" applyFont="1">
      <alignment vertical="bottom"/>
    </xf>
    <xf borderId="0" fillId="0" fontId="39" numFmtId="0" xfId="0" applyAlignment="1" applyFont="1">
      <alignment horizontal="right" vertical="bottom"/>
    </xf>
    <xf borderId="0" fillId="0" fontId="39" numFmtId="0" xfId="0" applyAlignment="1" applyFont="1">
      <alignment vertical="bottom"/>
    </xf>
    <xf borderId="0" fillId="17" fontId="42" numFmtId="49" xfId="0" applyAlignment="1" applyFill="1" applyFont="1" applyNumberFormat="1">
      <alignment readingOrder="0"/>
    </xf>
    <xf borderId="0" fillId="0" fontId="39" numFmtId="175" xfId="0" applyAlignment="1" applyFont="1" applyNumberFormat="1">
      <alignment horizontal="right" vertical="bottom"/>
    </xf>
    <xf borderId="0" fillId="17" fontId="2" numFmtId="49" xfId="0" applyAlignment="1" applyFill="1" applyFont="1" applyNumberFormat="1">
      <alignment readingOrder="0"/>
    </xf>
    <xf borderId="13" fillId="0" fontId="43" numFmtId="0" xfId="0" applyAlignment="1" applyBorder="1" applyFont="1">
      <alignment shrinkToFit="0" wrapText="1"/>
    </xf>
    <xf borderId="0" fillId="0" fontId="43" numFmtId="0" xfId="0" applyFont="1"/>
    <xf borderId="0" fillId="0" fontId="43" numFmtId="0" xfId="0" applyAlignment="1" applyFont="1">
      <alignment readingOrder="0"/>
    </xf>
    <xf borderId="0" fillId="0" fontId="43" numFmtId="167" xfId="0" applyAlignment="1" applyFont="1" applyNumberFormat="1">
      <alignment readingOrder="0"/>
    </xf>
    <xf borderId="0" fillId="0" fontId="43" numFmtId="167" xfId="0" applyFont="1" applyNumberFormat="1"/>
    <xf borderId="0" fillId="0" fontId="43" numFmtId="10" xfId="0" applyAlignment="1" applyFont="1" applyNumberFormat="1">
      <alignment readingOrder="0"/>
    </xf>
    <xf borderId="0" fillId="0" fontId="43" numFmtId="167" xfId="0" applyFont="1" applyNumberFormat="1"/>
    <xf borderId="0" fillId="0" fontId="43" numFmtId="165" xfId="0" applyAlignment="1" applyFont="1" applyNumberFormat="1">
      <alignment readingOrder="0"/>
    </xf>
    <xf borderId="0" fillId="18" fontId="39" numFmtId="49" xfId="0" applyAlignment="1" applyFill="1" applyFont="1" applyNumberFormat="1">
      <alignment horizontal="right" vertical="bottom"/>
    </xf>
    <xf borderId="0" fillId="17" fontId="2" numFmtId="0" xfId="0" applyAlignment="1" applyFill="1" applyFont="1">
      <alignment readingOrder="0"/>
    </xf>
    <xf borderId="0" fillId="18" fontId="39" numFmtId="165" xfId="0" applyAlignment="1" applyFill="1" applyFont="1" applyNumberFormat="1">
      <alignment horizontal="right" vertical="bottom"/>
    </xf>
    <xf borderId="0" fillId="0" fontId="39" numFmtId="49" xfId="0" applyAlignment="1" applyFont="1" applyNumberFormat="1">
      <alignment horizontal="right" vertical="bottom"/>
    </xf>
    <xf borderId="0" fillId="0" fontId="39" numFmtId="165" xfId="0" applyAlignment="1" applyFont="1" applyNumberFormat="1">
      <alignment horizontal="right" vertical="bottom"/>
    </xf>
    <xf borderId="14" fillId="0" fontId="2" numFmtId="0" xfId="0" applyAlignment="1" applyBorder="1" applyFont="1">
      <alignment readingOrder="0"/>
    </xf>
    <xf borderId="13" fillId="0" fontId="43" numFmtId="49" xfId="0" applyAlignment="1" applyBorder="1" applyFont="1" applyNumberFormat="1">
      <alignment shrinkToFit="0" wrapText="1"/>
    </xf>
    <xf borderId="0" fillId="0" fontId="29" numFmtId="165" xfId="0" applyAlignment="1" applyFont="1" applyNumberFormat="1">
      <alignment horizontal="right" vertical="bottom"/>
    </xf>
    <xf borderId="0" fillId="17" fontId="2" numFmtId="49" xfId="0" applyAlignment="1" applyFill="1" applyFont="1" applyNumberFormat="1">
      <alignment readingOrder="0"/>
    </xf>
    <xf borderId="0" fillId="17" fontId="2" numFmtId="49" xfId="0" applyAlignment="1" applyFill="1" applyFont="1" applyNumberFormat="1">
      <alignment readingOrder="0"/>
    </xf>
    <xf borderId="0" fillId="19" fontId="44" numFmtId="0" xfId="0" applyAlignment="1" applyFill="1" applyFont="1">
      <alignment readingOrder="0" vertical="top"/>
    </xf>
    <xf borderId="14" fillId="19" fontId="44" numFmtId="0" xfId="0" applyAlignment="1" applyBorder="1" applyFill="1" applyFont="1">
      <alignment readingOrder="0" vertical="top"/>
    </xf>
    <xf borderId="0" fillId="17" fontId="45" numFmtId="49" xfId="0" applyAlignment="1" applyFill="1" applyFont="1" applyNumberFormat="1">
      <alignment readingOrder="0"/>
    </xf>
    <xf borderId="0" fillId="3" fontId="44" numFmtId="0" xfId="0" applyAlignment="1" applyFill="1" applyFont="1">
      <alignment readingOrder="0" vertical="top"/>
    </xf>
    <xf borderId="14" fillId="3" fontId="44" numFmtId="0" xfId="0" applyAlignment="1" applyBorder="1" applyFill="1" applyFont="1">
      <alignment readingOrder="0" vertical="top"/>
    </xf>
    <xf borderId="0" fillId="0" fontId="46" numFmtId="49" xfId="0" applyAlignment="1" applyFont="1" applyNumberFormat="1">
      <alignment readingOrder="0"/>
    </xf>
    <xf borderId="0" fillId="3" fontId="7" numFmtId="0" xfId="0" applyAlignment="1" applyFill="1" applyFont="1">
      <alignment readingOrder="0" vertical="top"/>
    </xf>
    <xf borderId="0" fillId="3" fontId="28" numFmtId="0" xfId="0" applyAlignment="1" applyFill="1" applyFont="1">
      <alignment vertical="top"/>
    </xf>
    <xf borderId="0" fillId="3" fontId="47" numFmtId="0" xfId="0" applyAlignment="1" applyFill="1" applyFont="1">
      <alignment readingOrder="0"/>
    </xf>
    <xf borderId="15" fillId="0" fontId="6" numFmtId="0" xfId="0" applyAlignment="1" applyBorder="1" applyFont="1">
      <alignment readingOrder="0" vertical="top"/>
    </xf>
    <xf borderId="0" fillId="0" fontId="48" numFmtId="49" xfId="0" applyAlignment="1" applyFont="1" applyNumberFormat="1">
      <alignment horizontal="left" readingOrder="0"/>
    </xf>
    <xf borderId="0" fillId="0" fontId="49" numFmtId="49" xfId="0" applyAlignment="1" applyFont="1" applyNumberFormat="1">
      <alignment readingOrder="0"/>
    </xf>
    <xf borderId="0" fillId="0" fontId="2" numFmtId="49" xfId="0" applyFont="1" applyNumberFormat="1"/>
    <xf borderId="0" fillId="0" fontId="2" numFmtId="167" xfId="0" applyAlignment="1" applyFont="1" applyNumberFormat="1">
      <alignment readingOrder="0" shrinkToFit="0" wrapText="0"/>
    </xf>
  </cellXfs>
  <cellStyles count="1">
    <cellStyle xfId="0" name="Normal" builtinId="0"/>
  </cellStyles>
  <dxfs count="8">
    <dxf>
      <font/>
      <fill>
        <patternFill patternType="solid">
          <fgColor rgb="FFD9EAD3"/>
          <bgColor rgb="FFD9EAD3"/>
        </patternFill>
      </fill>
      <border/>
    </dxf>
    <dxf>
      <font/>
      <fill>
        <patternFill patternType="solid">
          <fgColor rgb="FFF9CB9C"/>
          <bgColor rgb="FFF9CB9C"/>
        </patternFill>
      </fill>
      <border/>
    </dxf>
    <dxf>
      <font/>
      <fill>
        <patternFill patternType="solid">
          <fgColor rgb="FFCFE2F3"/>
          <bgColor rgb="FFCFE2F3"/>
        </patternFill>
      </fill>
      <border/>
    </dxf>
    <dxf>
      <font/>
      <fill>
        <patternFill patternType="solid">
          <fgColor rgb="FFFCE5CD"/>
          <bgColor rgb="FFFCE5CD"/>
        </patternFill>
      </fill>
      <border/>
    </dxf>
    <dxf>
      <font/>
      <fill>
        <patternFill patternType="solid">
          <fgColor rgb="FFEAD1DC"/>
          <bgColor rgb="FFEAD1DC"/>
        </patternFill>
      </fill>
      <border/>
    </dxf>
    <dxf>
      <font/>
      <fill>
        <patternFill patternType="solid">
          <fgColor rgb="FFFFF2CC"/>
          <bgColor rgb="FFFFF2CC"/>
        </patternFill>
      </fill>
      <border/>
    </dxf>
    <dxf>
      <font/>
      <fill>
        <patternFill patternType="solid">
          <fgColor rgb="FFB7E1CD"/>
          <bgColor rgb="FFB7E1CD"/>
        </patternFill>
      </fill>
      <border/>
    </dxf>
    <dxf>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2.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pivotCacheDefinition" Target="pivotCache/pivotCacheDefinition1.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Best Estimate Exemption vs. Date - Year</a:t>
            </a:r>
          </a:p>
        </c:rich>
      </c:tx>
      <c:overlay val="0"/>
    </c:title>
    <c:plotArea>
      <c:layout/>
      <c:barChart>
        <c:barDir val="col"/>
        <c:ser>
          <c:idx val="0"/>
          <c:order val="0"/>
          <c:tx>
            <c:strRef>
              <c:f>'Yearly Summaries'!$B$1</c:f>
            </c:strRef>
          </c:tx>
          <c:spPr>
            <a:solidFill>
              <a:schemeClr val="accent1"/>
            </a:solidFill>
            <a:ln cmpd="sng">
              <a:noFill/>
            </a:ln>
          </c:spPr>
          <c:cat>
            <c:strRef>
              <c:f>'Yearly Summaries'!$A$2:$A$6</c:f>
            </c:strRef>
          </c:cat>
          <c:val>
            <c:numRef>
              <c:f>'Yearly Summaries'!$B$2:$B$6</c:f>
              <c:numCache/>
            </c:numRef>
          </c:val>
        </c:ser>
        <c:axId val="1642123569"/>
        <c:axId val="1312801565"/>
      </c:barChart>
      <c:catAx>
        <c:axId val="16421235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 Year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12801565"/>
      </c:catAx>
      <c:valAx>
        <c:axId val="13128015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Best Estimate Exemption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4212356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Restricted Unit Count vs. Date - Year</a:t>
            </a:r>
          </a:p>
        </c:rich>
      </c:tx>
      <c:overlay val="0"/>
    </c:title>
    <c:plotArea>
      <c:layout/>
      <c:barChart>
        <c:barDir val="col"/>
        <c:ser>
          <c:idx val="0"/>
          <c:order val="0"/>
          <c:tx>
            <c:strRef>
              <c:f>'Yearly Summaries'!$D$1</c:f>
            </c:strRef>
          </c:tx>
          <c:spPr>
            <a:solidFill>
              <a:schemeClr val="accent1"/>
            </a:solidFill>
            <a:ln cmpd="sng">
              <a:noFill/>
            </a:ln>
          </c:spPr>
          <c:cat>
            <c:strRef>
              <c:f>'Yearly Summaries'!$A$2:$A$5</c:f>
            </c:strRef>
          </c:cat>
          <c:val>
            <c:numRef>
              <c:f>'Yearly Summaries'!$D$2:$D$5</c:f>
              <c:numCache/>
            </c:numRef>
          </c:val>
        </c:ser>
        <c:axId val="2146975577"/>
        <c:axId val="2074233352"/>
      </c:barChart>
      <c:catAx>
        <c:axId val="21469755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 Year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74233352"/>
      </c:catAx>
      <c:valAx>
        <c:axId val="20742333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Restricted Unit Count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46975577"/>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314325</xdr:colOff>
      <xdr:row>8</xdr:row>
      <xdr:rowOff>85725</xdr:rowOff>
    </xdr:from>
    <xdr:ext cx="4752975"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247650</xdr:colOff>
      <xdr:row>8</xdr:row>
      <xdr:rowOff>85725</xdr:rowOff>
    </xdr:from>
    <xdr:ext cx="4238625"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ate talerico" id="{02e52cb3-59be-4f42-9a29-14e2e4545649}" providerId="google-sheets"/>
  <x18tc:person displayName="kate.talerico@sfchronicle.com" id="{651d1d22-e607-45fe-95a4-4328127f684b}" userId="kate.talerico@sfchronicle.com" providerId="google-sheets"/>
  <x18tc:person displayName="Drew Hayes" id="{fda2c864-b579-45a9-b885-6171e6339ed9}"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N899" sheet="CMFA-CSCDA Grants"/>
  </cacheSource>
  <cacheFields>
    <cacheField name="Project ID" numFmtId="0">
      <sharedItems containsString="0" containsBlank="1" containsNumber="1" containsInteger="1">
        <n v="238.0"/>
        <n v="192.0"/>
        <n v="193.0"/>
        <n v="1.0"/>
        <n v="4.0"/>
        <n v="2.0"/>
        <n v="3.0"/>
        <n v="5.0"/>
        <n v="6.0"/>
        <n v="7.0"/>
        <n v="8.0"/>
        <n v="9.0"/>
        <n v="10.0"/>
        <n v="11.0"/>
        <n v="12.0"/>
        <n v="14.0"/>
        <n v="13.0"/>
        <n v="15.0"/>
        <n v="17.0"/>
        <n v="16.0"/>
        <n v="18.0"/>
        <n v="20.0"/>
        <n v="21.0"/>
        <n v="19.0"/>
        <n v="22.0"/>
        <n v="23.0"/>
        <n v="24.0"/>
        <n v="25.0"/>
        <n v="34.0"/>
        <n v="35.0"/>
        <n v="33.0"/>
        <n v="27.0"/>
        <n v="28.0"/>
        <n v="29.0"/>
        <n v="30.0"/>
        <n v="31.0"/>
        <n v="32.0"/>
        <n v="26.0"/>
        <n v="36.0"/>
        <n v="37.0"/>
        <n v="39.0"/>
        <n v="40.0"/>
        <n v="41.0"/>
        <n v="42.0"/>
        <n v="38.0"/>
        <n v="43.0"/>
        <n v="46.0"/>
        <n v="45.0"/>
        <n v="48.0"/>
        <n v="47.0"/>
        <n v="44.0"/>
        <n v="50.0"/>
        <n v="52.0"/>
        <n v="51.0"/>
        <n v="53.0"/>
        <n v="54.0"/>
        <n v="55.0"/>
        <n v="56.0"/>
        <n v="59.0"/>
        <n v="57.0"/>
        <n v="58.0"/>
        <n v="60.0"/>
        <n v="64.0"/>
        <n v="61.0"/>
        <n v="63.0"/>
        <n v="62.0"/>
        <n v="67.0"/>
        <n v="65.0"/>
        <n v="66.0"/>
        <n v="69.0"/>
        <n v="68.0"/>
        <n v="70.0"/>
        <n v="71.0"/>
        <n v="72.0"/>
        <n v="73.0"/>
        <n v="75.0"/>
        <n v="74.0"/>
        <n v="76.0"/>
        <n v="78.0"/>
        <n v="80.0"/>
        <n v="81.0"/>
        <n v="82.0"/>
        <n v="83.0"/>
        <n v="84.0"/>
        <n v="79.0"/>
        <n v="85.0"/>
        <n v="86.0"/>
        <n v="87.0"/>
        <n v="77.0"/>
        <n v="90.0"/>
        <n v="89.0"/>
        <n v="158.0"/>
        <n v="88.0"/>
        <n v="97.0"/>
        <n v="96.0"/>
        <n v="95.0"/>
        <n v="92.0"/>
        <n v="93.0"/>
        <n v="94.0"/>
        <n v="91.0"/>
        <n v="98.0"/>
        <n v="99.0"/>
        <n v="100.0"/>
        <n v="101.0"/>
        <n v="102.0"/>
        <n v="103.0"/>
        <n v="104.0"/>
        <n v="105.0"/>
        <n v="106.0"/>
        <n v="107.0"/>
        <n v="108.0"/>
        <n v="109.0"/>
        <n v="110.0"/>
        <n v="111.0"/>
        <n v="112.0"/>
        <n v="113.0"/>
        <n v="114.0"/>
        <n v="115.0"/>
        <n v="116.0"/>
        <n v="117.0"/>
        <n v="118.0"/>
        <n v="119.0"/>
        <n v="120.0"/>
        <n v="131.0"/>
        <n v="160.0"/>
        <n v="121.0"/>
        <n v="122.0"/>
        <n v="123.0"/>
        <n v="124.0"/>
        <n v="125.0"/>
        <n v="126.0"/>
        <n v="127.0"/>
        <n v="128.0"/>
        <n v="129.0"/>
        <n v="130.0"/>
        <n v="135.0"/>
        <n v="134.0"/>
        <n v="132.0"/>
        <n v="136.0"/>
        <n v="141.0"/>
        <n v="137.0"/>
        <n v="142.0"/>
        <n v="143.0"/>
        <n v="140.0"/>
        <n v="139.0"/>
        <n v="138.0"/>
        <n v="146.0"/>
        <n v="147.0"/>
        <n v="148.0"/>
        <n v="149.0"/>
        <n v="150.0"/>
        <n v="151.0"/>
        <n v="152.0"/>
        <n v="153.0"/>
        <n v="154.0"/>
        <n v="155.0"/>
        <n v="156.0"/>
        <n v="145.0"/>
        <n v="157.0"/>
        <n v="159.0"/>
        <n v="161.0"/>
        <n v="162.0"/>
        <n v="163.0"/>
        <n v="164.0"/>
        <n v="165.0"/>
        <n v="166.0"/>
        <n v="167.0"/>
        <n v="168.0"/>
        <n v="169.0"/>
        <n v="170.0"/>
        <n v="171.0"/>
        <n v="172.0"/>
        <n v="173.0"/>
        <n v="174.0"/>
        <n v="175.0"/>
        <n v="176.0"/>
        <n v="177.0"/>
        <n v="178.0"/>
        <n v="179.0"/>
        <n v="180.0"/>
        <n v="191.0"/>
        <n v="189.0"/>
        <n v="181.0"/>
        <n v="182.0"/>
        <n v="183.0"/>
        <n v="184.0"/>
        <n v="185.0"/>
        <n v="186.0"/>
        <n v="190.0"/>
        <n v="144.0"/>
        <n v="195.0"/>
        <n v="194.0"/>
        <n v="187.0"/>
        <n v="196.0"/>
        <n v="200.0"/>
        <n v="197.0"/>
        <n v="198.0"/>
        <n v="199.0"/>
        <n v="201.0"/>
        <n v="207.0"/>
        <n v="208.0"/>
        <n v="49.0"/>
        <n v="188.0"/>
        <n v="202.0"/>
        <n v="205.0"/>
        <n v="203.0"/>
        <n v="204.0"/>
        <n v="206.0"/>
        <n v="224.0"/>
        <n v="209.0"/>
        <n v="210.0"/>
        <n v="226.0"/>
        <n v="228.0"/>
        <n v="230.0"/>
        <n v="232.0"/>
        <n v="222.0"/>
        <n v="216.0"/>
        <n v="217.0"/>
        <n v="215.0"/>
        <n v="211.0"/>
        <n v="212.0"/>
        <n v="213.0"/>
        <n v="214.0"/>
        <n v="218.0"/>
        <n v="219.0"/>
        <n v="220.0"/>
        <n v="221.0"/>
        <n v="229.0"/>
        <n v="231.0"/>
        <n v="233.0"/>
        <n v="234.0"/>
        <n v="235.0"/>
        <n v="236.0"/>
        <n v="237.0"/>
        <n v="225.0"/>
        <n v="227.0"/>
        <n v="223.0"/>
        <m/>
      </sharedItems>
    </cacheField>
    <cacheField name="Property Name" numFmtId="0">
      <sharedItems containsBlank="1">
        <s v="Heritage Park Apartments Livermore"/>
        <s v="Heritage Village Anaheim Apartments"/>
        <s v="Heritage Park Escondido Apartments"/>
        <s v="Alvarado Streets Apartments"/>
        <s v="Bernardine Apartments"/>
        <s v="2025 New Jersey Apartments"/>
        <s v="Mariposa Club Apartments"/>
        <s v="City View aka Outlook at Mission Valley&#10;Apartments"/>
        <s v="381 Turk Street Apartment"/>
        <s v="Townhomes at Gading Apartments"/>
        <s v="1317 S. Grand Apartments"/>
        <s v="1411 S. Flower Apartments"/>
        <s v="7518 Hoover St. Apartments"/>
        <s v="820 MacArthur Apartments"/>
        <s v="The Waterloo Apartments"/>
        <s v="Electric Lofts Apartments"/>
        <s v="275 Turk Street Apartments"/>
        <s v="Premiere Hollywood Apartments"/>
        <s v="4252 Crenshaw Apartments"/>
        <s v="Montessa Apartments"/>
        <s v="Fallbrook Trail Apartments"/>
        <s v="Pinetree Terrace Apartments"/>
        <s v="Windmere Court Apartments"/>
        <s v="The Arbors Apartments"/>
        <s v="Seville Gardens Apartments"/>
        <s v="Harbour Residences Apartments"/>
        <s v="4209 Western Avenue Apartments"/>
        <s v="1130 Martin Luther King Jr. Blvd Apartments"/>
        <s v="Appian Terrace Apartments"/>
        <s v="Sierra Park Apartments"/>
        <s v="7524 S. Hoover St. Apartments"/>
        <s v="Santa Monica Portfolio A Apartments"/>
        <s v="Santa Monica Portfolio B Apartments"/>
        <s v="Santa Monica Portfolio C Apartments"/>
        <s v="Santa Monica Portfolio D Apartments"/>
        <s v="Santa Monica Portfolio E Apartments"/>
        <s v="Santa Monica Portfolio F Apartments"/>
        <s v="Harbor Terrace Apartments"/>
        <s v="Stadium Village Apartments"/>
        <s v="2330 E. 3rd Street Apartments"/>
        <s v="6200 S. Broadway Apartments"/>
        <s v="4228 Western Ave. Apartments"/>
        <s v="4327 S. Vermont Apartments"/>
        <s v="2023 Imperial Apartments"/>
        <s v="Marquee Apartments"/>
        <s v="Meridian Apartments"/>
        <s v="4752 Main Street Apartments"/>
        <s v="Horizon Apartments"/>
        <s v="Hillsdale Gardens Apartments"/>
        <s v="6171 Mission Gorge Apartments"/>
        <s v="Soto Apartments"/>
        <s v="Market Street Village Apartments"/>
        <s v="The Carla Apartments"/>
        <s v="Creekside Villas Apartments"/>
        <s v="Skylark Place by Trion Living Apartments"/>
        <s v="Seaport Village Apartments"/>
        <s v="1457 Main Street Apartments"/>
        <s v="Viewpoint Apartments"/>
        <s v="Ventana Residences Apartments"/>
        <s v="SoFi Los Gatos Creek Apartments"/>
        <s v="Chaparral Apartments"/>
        <s v="HARKEN APARTMENTS"/>
        <s v="333 Douglas Apartments"/>
        <s v="11422 Broadway Apartments"/>
        <s v="The Enclave Apartments"/>
        <s v="Mansfield Micro Apartments"/>
        <s v="Coronado Palms Apartments"/>
        <s v="Casa La Palma Apartments"/>
        <s v="The Eaves Apartments"/>
        <s v="Lindley Parc Apartments"/>
        <s v="Candlewood North Apartments"/>
        <s v="Terrace View Apartments"/>
        <s v="SoFi Redwood Park Apartments"/>
        <s v="Waterbend Apartments"/>
        <s v="1540 W Court Apartments"/>
        <s v="Palmilla Apartments"/>
        <s v="Sol Haus Apartments"/>
        <s v="1451 W. MLK Boulevard Apartments"/>
        <s v="Bella Vista at Hilltop Apartments"/>
        <s v="4101 Somerset Dr. Apartments"/>
        <s v="321 E. Florence Apartments"/>
        <s v="9300 Compton Ave. Apartments"/>
        <s v="6401 S. Avalon Blvd. Apartments"/>
        <s v="9515 Compton Ave. Apartments"/>
        <s v="10811 S. Compton Ave Apartments"/>
        <s v="569 W. 6th Street Apartments"/>
        <s v="685 W. 4th St Apartments"/>
        <s v="Chadwick Apartments"/>
        <s v="11630 S. Main Street Apartments"/>
        <s v="Pacific Trails Apartments"/>
        <s v="LINQ Apartments"/>
        <s v="Kalmia Apartments"/>
        <s v="Chatsworth Apartments"/>
        <s v="Azusa Gardens Apartments"/>
        <s v="Park Kiely Apartments"/>
        <s v="Fountain Park Apartments"/>
        <s v="The Parker Apartments"/>
        <s v="Canyon Ridge at Napa Junction Apartments"/>
        <s v="Canyon Villa Apartment Homes"/>
        <s v="Huston Affordable Housing Apartments"/>
        <s v="Camden Village Apartments"/>
        <s v="Passo Barrington Apartments"/>
        <s v="Passo Centinela I Apartments"/>
        <s v="Passo Centinela II Apartments"/>
        <s v="Passo Stoner Apartments"/>
        <s v="4th Street Apartments"/>
        <s v="Alexandria I Apartments"/>
        <s v="Ashby Apartments"/>
        <s v="Catalina Apartments"/>
        <s v="Edgemont Apartments"/>
        <s v="Gramercy Apartments"/>
        <s v="Irolo Apartments"/>
        <s v="Kenmore I Apartments"/>
        <s v="Manhattan III Apartments"/>
        <s v="Mariposa II Apartments"/>
        <s v="Normandie Apartments"/>
        <s v="Norton Apartments"/>
        <s v="Oxford I Apartments"/>
        <s v="Oxford III Apartments"/>
        <s v="Seven Lions Apartments"/>
        <s v="St. Andrews I Apartments"/>
        <s v="St. Andrews II Apartments"/>
        <s v="The Falls at Arden Apartments"/>
        <s v="Citrine Apartments"/>
        <s v="12th Street Apartments"/>
        <s v="Alexandria II Apartments"/>
        <s v="Fedora Apartments"/>
        <s v="Kenmore II Apartments"/>
        <s v="Kenmore III Apartments"/>
        <s v="Kingsley Apartments"/>
        <s v="Mariposa I Apartments"/>
        <s v="Mariposa III Apartments"/>
        <s v="Mariposa IV Apartments"/>
        <s v="Oxford II Apartments"/>
        <s v="Western Apartments"/>
        <s v="236 Berendo Apartments"/>
        <s v="10705 Avalon Blvd Apartments"/>
        <s v="7524 S. Hoover St Apartments"/>
        <s v="Ascent Apartments"/>
        <s v="Renaissance Apartment Homes"/>
        <s v="Kittridge Affordable Housing Apartments"/>
        <s v="9033 Ramsgate Apartments"/>
        <s v="Coliseum Transit Village"/>
        <s v="The Crossings Apartments"/>
        <s v="Thornbridge Apartments"/>
        <s v="Montecito Apartments"/>
        <s v="San Pedro Apartments"/>
        <s v="Coliseum Connections"/>
        <s v="Park Wilshire Apartments"/>
        <s v="Sir Francis Drake Villa Apartments"/>
        <s v="Langham Apartments"/>
        <s v="Piccadilly Apartments"/>
        <s v="The Hive at Ackerfield Apartments"/>
        <s v="Hawaiian Terrace Senior Apartments"/>
        <s v="Crystal Springs Terrace"/>
        <s v="Trailview Apartments"/>
        <s v="Casa Serena Apartments"/>
        <s v="Golden Gardens Apartments"/>
        <s v="Hendrix and Hadley Apartments"/>
        <s v="1141 N. Vermont Avenue Apartments"/>
        <s v="8th Street Apartments"/>
        <s v="Ardmore Apartments"/>
        <s v="Avalon Apartments"/>
        <s v="Harvard Apartments"/>
        <s v="Hollywood Apartments"/>
        <s v="Kinglsey Apartments"/>
        <s v="Lexington Apartments"/>
        <s v="Manhattan I &amp; II Apartments"/>
        <s v="Monte Vista Apartments"/>
        <s v="Parkview Apartments"/>
        <s v="Westmoreland Apartments"/>
        <s v="Highland Gardens Apartments"/>
        <s v="The Colonnade Apartments"/>
        <s v="The Hive Apartments"/>
        <s v="1451 W MLK BLVD Apartments"/>
        <s v="4256 Whittier Blvd Apartments"/>
        <s v="225 W 25th Apartments"/>
        <s v="9422 Firth Avenue Apartments"/>
        <s v="4008 Martin Luther King Blvd Apartments"/>
        <s v="Highlands Point Apartments"/>
        <s v="La Vista Apartment Homes"/>
        <s v="1723 Corinth Apartments"/>
        <s v="3751 Delmas Terrace Apartments"/>
        <s v="Bentley Parke Apartments"/>
        <s v="The Dream Apartments"/>
        <s v="1408 Jefferson Apartments"/>
        <s v="12342 Osborne Place Apartments"/>
        <s v="220 Humboldt Ct. Apartments"/>
        <s v="Baird Affordable Housing Apartments"/>
        <s v="Villa Del Sol Senior Apartments"/>
        <s v="Cullen Living Apartments"/>
        <s v="Sawtelle 2481 Apartments"/>
        <s v="Summerwood Apartments Homes Apartments"/>
        <s v="Del Norte Place Apartments"/>
        <s v="La Posada Apartments"/>
        <s v="Bent Tree Apartments"/>
        <s v="Hazelhurst Affordable Housing Apartments"/>
        <s v="Elan River Village Apartments"/>
        <s v="1454 Florence Apartments"/>
        <s v="Bluwater Crossing Apartments"/>
        <s v="California Place Apartments"/>
        <s v="Maris at Martinez Apartments"/>
        <s v="Colden Oaks Apartments"/>
        <s v="Hansen illage Apartments"/>
        <s v="Crystal View Apartments"/>
        <s v="Bayfair Apartments"/>
        <s v="Guava Gardens Apartments"/>
        <s v="Park View by Angeleno Apartments"/>
        <s v="511 Hoover Street Apartments"/>
        <s v="Haven Warner Center"/>
        <s v="The Arlo"/>
        <s v="Sierra Village"/>
        <s v="Trails at San Dimas"/>
        <s v="1408 Jefferson Blvd Apartments"/>
        <s v="603 Mariposa Apartments"/>
        <s v="Banner Avenue Apartments"/>
        <s v="Violet on Virgil"/>
        <s v="926 S. Kingsley Apartments"/>
        <s v="939 S. Kingsley Apartments"/>
        <s v="3950 Ingraham Apartments"/>
        <s v="Park Playa Apartments"/>
        <s v="Edgemont by Angeleno"/>
        <s v="Bennington Apartments"/>
        <s v="Westlake Apartments"/>
        <s v="2121 Wood St"/>
        <m/>
      </sharedItems>
    </cacheField>
    <cacheField name="Applicant / Entity" numFmtId="0">
      <sharedItems containsBlank="1">
        <s v="Standard Heritage Livermore Owner LP"/>
        <s v="Standard Heritage Anaheim Owner LP"/>
        <s v="STANDARD HERITAGE ESCONDIDO OWNER LP"/>
        <s v="Alvarado Affordable Associates, LP"/>
        <s v="Castle Rock Bernardine Apartments, LP"/>
        <s v="2025 NJ, LP"/>
        <s v="Mariposa Club Apartments I, LP"/>
        <s v="Mission Valley Preservation LP"/>
        <s v="381 Turk Street Associates"/>
        <s v="SFF 2, LLC"/>
        <s v="1317 SGA QOZB, LP or an affiliate thereof"/>
        <s v="Housing Diversity"/>
        <s v="BIF NON OZ 7518 S Hoover St, LP"/>
        <s v="2019 Ozone Affordable Housing"/>
        <s v="801 Waterloo Partners, LP"/>
        <s v="Electric Lofts, LP"/>
        <s v="RHI-Mosser 275 Turk LP"/>
        <s v="OODB2, LP"/>
        <s v="4252 Crenshaw LP"/>
        <s v="Affordable Housing Alliance II, Inc. dba Integrity Housing"/>
        <s v="1735 South Mission LP"/>
        <s v="Hacienda Investors LP"/>
        <s v="Post Arbors Santa Ana LP"/>
        <s v="BG Apartments Investors LP"/>
        <s v="RMG Fee Avalon, LP"/>
        <s v="BIF NON OZ 4209 WESTERN AVE, LP"/>
        <s v="BIF NON OZ 1100 MLK BLK, LP"/>
        <s v="APPIAN LP"/>
        <s v="Sierra Park LP, a California Limited Partnership"/>
        <s v="BIF NON OZ 7524 S HOOVER ST, LP"/>
        <s v="GC 1422-1428 6th, LP"/>
        <s v="GC 1422-1432 7th, LP"/>
        <s v="GC 1423-1425 6th, LP"/>
        <s v="GC 1522 6th, LP"/>
        <s v="GC 1537 7th, LP"/>
        <s v="GC 2001-2029 Olympic, LP"/>
        <s v="Post Harbor Terrace, LP"/>
        <s v="SV INGLEWOOD HOLDINGS, L.P., a California limited partnership"/>
        <s v="2330 3rd Street Apartments L.P."/>
        <s v="BIF NON OZ 6200 BROADWAY BLK, LP"/>
        <s v="BIF NON OZ 4228 WESTERN AVE, LP"/>
        <s v="IF OZ 4300 S VERMONT AVE BLK LP, a Delaware limited partnership"/>
        <s v="BIF NON OZ 2000 Imperial Hwy Blk, LP"/>
        <s v="Post Marquee North Hollywood, LP"/>
        <s v="400 Meridian, LP, a California limited partnership"/>
        <s v="4752 Main, LP"/>
        <s v="BWF II ETHOS CA HORIZON LP, a Delaware limited partnership"/>
        <s v="Hillsdale Property LP"/>
        <s v="6171 Mission Gorge Owner LP, a California limited partnership"/>
        <s v="EV 228 Soto, LP, a California limited partnership"/>
        <s v="699 14TH Street CSLC LP"/>
        <s v="1201 Fulton Ave LP"/>
        <s v="Post Creekside, LP"/>
        <s v="Trion Skylark Properties, LP"/>
        <s v="Avanath Seaport, LP"/>
        <s v="1457 Main Owner LP"/>
        <s v="651 Addison LLC"/>
        <s v="99 Ocean Avenue LP"/>
        <s v="BWF III Ethos CA Los Gatos Creek LP"/>
        <s v="Post Chaparral, LP"/>
        <s v="Prometheus Real Estate Group"/>
        <s v="333 Douglas Street, LP, a California limited partnership"/>
        <s v="BIF IMPACT OZ 1100 BROADWAY BLK, LP"/>
        <s v="ENCLAVE LP, a California limited partnership"/>
        <s v="2533 Mansfield Owner, L.P., a California limited partnership"/>
        <s v="Coronado Owner, LP"/>
        <s v="7777 Valley View, L.P., a California limited partnership"/>
        <s v="920 Gramercy Upwell, LP, a Delaware limited partnership"/>
        <s v="10535 Lindley Affordable L.P."/>
        <s v="Post Candlewood North, LP"/>
        <s v="SFF 4, LLC"/>
        <s v="SFF 3, LLC"/>
        <s v="AXIS FEE OWNER LP"/>
        <s v="1540 W. Court Street, LP"/>
        <s v="BWF III Ethos CA Palmilla LP"/>
        <s v="Sol Haus Owner LP, California Limited Partnership"/>
        <s v="1451 W. MLK Boulevard Apartments"/>
        <s v="Bella Vista Owner, LP"/>
        <s v="6 SIOF 4101 Somerset Dr, LP"/>
        <s v="3 SIOF 321 E Florence Ave, LP"/>
        <s v="6 SIOF 9300 Compton Ave, LP"/>
        <s v="6 SIOF 6401 S Avalon Blvd, LP"/>
        <s v="6 SIOF 9515 Compton Ave, LP"/>
        <s v="10811 S. Compton Ave Apartments"/>
        <s v="SIOF 5 Properties, LP, California limited partnership"/>
        <s v="2 SIOF 685 W Fourth St, LP, Delaware limited partnership"/>
        <s v="Chadwick Owner, LP"/>
        <s v="4 SIOF 11630 S MAIN ST, LP"/>
        <s v="Pacific Trails, LP"/>
        <s v="Ethos GP I Venture, LP"/>
        <s v="Kalmia Supportive Housing, LP"/>
        <s v="Chatsworth Housing, LP"/>
        <s v="Azusa Gardens Owner, LP"/>
        <s v="Standard Vistria Park Kiely Owner, LP"/>
        <s v="Fountain Park, L.P."/>
        <s v="Flag VII The Parker, L.P."/>
        <s v="Canyon Ridge at Napa Junction, LP"/>
        <s v="Post Canyon Villa, LP"/>
        <s v="10910 Huston LP"/>
        <s v="Flag VII Camden Village, L.P."/>
        <s v="Passo Barrington, LP"/>
        <s v="Passo Centinela, LP"/>
        <s v="Passo Centinela 2, LP"/>
        <s v="Passo Stoner, LP"/>
        <s v="2025 E 4th Street LLLP"/>
        <s v="247 S Alexandria LLLP"/>
        <s v="808 S Hobart LLLP"/>
        <s v="454 Catalina LLLP"/>
        <s v="103 S Edgemont LLLP"/>
        <s v="Carson Gramercy LLLP // 974 S Gramercy LLLP"/>
        <s v="Irolo 16 LLLP"/>
        <s v="Kenmore 20 LLLP"/>
        <s v="426 Manhattan LLLP"/>
        <s v="260 S Mariposa LLLP"/>
        <s v="739 Normandie LLLP"/>
        <s v="1111 Norton LLLP"/>
        <s v="Oxford 19 LLLP"/>
        <s v="960 S Oxford LLLP"/>
        <s v="3715 W 1st Street LLLP"/>
        <s v="515 S St. Andrews LLLP"/>
        <s v="516 St. Andrews LLLP"/>
        <s v="GB Falls, LP"/>
        <s v="Citrine Preservation, LP"/>
        <s v="12th Street 19 LLLP"/>
        <s v="130 Alexandria LLLP"/>
        <s v="861 Fedora LLLP"/>
        <s v="Kenmore II 20 LLLP"/>
        <s v="915 S Kenmore LLLP"/>
        <s v="530 Kingsley LLLP"/>
        <s v="Mariposa 20 LLLP"/>
        <s v="750 Mariposa LLLP"/>
        <s v="520 Mariposa LLLP"/>
        <s v="Oxford 20 LLLP"/>
        <s v="Western 19 LLLP"/>
        <s v="236 Berendo Holdings OZ LP"/>
        <s v="PS 10705 Avalon Blvd, LP"/>
        <s v="PS 7518 Hoover St, LP"/>
        <s v="Post Renaissance Apartments, LP"/>
        <s v="18337 Kittridge, LP"/>
        <s v="9033 Ramsgate LP"/>
        <s v="Coliseum Transit Village One, LP"/>
        <s v="Thornbridge Holdings, L.P."/>
        <s v="Flag VII Montecito, L.P."/>
        <s v="7655 San Pedro, LP"/>
        <s v="Concord Park Wilshire LP"/>
        <s v="Concord Sir Francis Drake LP"/>
        <s v="Concord Langham LP"/>
        <s v="Concord Piccadilly LP"/>
        <s v="Ackerfield 2 LP"/>
        <s v="RK Equity Group Limited Partnership, 12142 Oxnard Limited Partnership, HG Napa Equity Limited&#10;Partnership, HG FSA Capital Limited Partnership"/>
        <s v="Crystal Springs Terrace Apartments, LP"/>
        <s v="TBD LP"/>
        <s v="Golden Gardens Housing Partners LP"/>
        <s v="Hendrix EREP, LP &amp; Hadley EREP, LP"/>
        <s v="1141 N. Vermont NH LP"/>
        <s v="2933 8th LLLP"/>
        <s v="Ardmore 19 LLLP"/>
        <s v="Ave 55 19 LLLP"/>
        <s v="516 Harvard LLLP"/>
        <s v="5200 Hollywood LLLP"/>
        <s v="5406 Lexington LLLP"/>
        <s v="Manhattan 20 LLLP"/>
        <s v="Monte Vista 19 LLLP"/>
        <s v="Highland 19 LLLP"/>
        <s v="132 Westmoreland LLLP"/>
        <s v="Crossings Property LP"/>
        <s v="Post Colonnade Apartments LP"/>
        <s v="3 SIOF 1451 W MLK BLVD, LP"/>
        <s v="SIOF 4252 Whittier Blvd, LP"/>
        <s v="2 SIOF 225 E 25th St, LP"/>
        <s v="6 SIOF 9416 FIRTH, LP"/>
        <s v="SIOF 9 Properties, LP"/>
        <s v="St. Anton Highland, LP"/>
        <s v="SM La Vista Owner, LP"/>
        <s v="1723 Corinth, LP"/>
        <s v="3851 Delmas LP"/>
        <s v="Post Bentley Parke, LP"/>
        <s v="Perseverance LAX Affordable, LP"/>
        <s v="AH 1408 Jefferson LP"/>
        <s v="N31GP LP"/>
        <s v="TAP BFR ACQUISITIONS, LLC"/>
        <s v="6942 Baird LP"/>
        <m/>
        <s v="Cullen Living LLC"/>
        <s v="Sawtelle 2481 LLC"/>
        <s v="Standard Properties"/>
        <s v="MG Del Norte Place Apartments, L.P"/>
        <s v="La Posada Preservation, L.P"/>
        <s v="MG Del Norte Place Apartments LP"/>
        <s v="PR TIG BENT TREE, LP"/>
        <s v="6144 Hazelhurst LP"/>
        <s v="River Village 1845, LP"/>
        <s v="1454 Florence LLC"/>
        <s v="6801 Embarcadero Lane, LP"/>
        <s v="PR TIG Cal Place, LP"/>
        <s v="MG Maris Martinez Apartments LP"/>
        <s v="Colden Oaks Apartments LP"/>
        <s v="Hansen Village Apartments LP"/>
        <s v="EREP TVG Crystal View Owner, LP "/>
        <s v="16077 Ashland Avenue LP"/>
        <s v="Guava Gardens Senior Apartments, LP"/>
        <s v="Angeleno Investment, LP"/>
        <s v="511 Hoover Partnership LP"/>
        <s v="Heven LP"/>
        <s v="The Arlo LP"/>
        <s v="Sierra Village Owner LP"/>
        <s v="Trails San Dimas LP"/>
        <s v="AH 1408 Jefferson, LP"/>
        <s v="CGI Creekside Bliss, LP"/>
        <s v="Post Violet, LP"/>
        <s v="Kian Investments, LP"/>
        <s v="Kingsley Project, LP"/>
        <s v="Ingraham Investment Group, LP"/>
        <s v="Park Playa, LP"/>
        <s v="1178 Edgemont LP"/>
        <s v="CG Bennington, LP / JSP Bennington, LP"/>
        <s v="Westlake Apts LP"/>
      </sharedItems>
    </cacheField>
    <cacheField name="City" numFmtId="0">
      <sharedItems containsBlank="1">
        <s v="Livermore"/>
        <s v="Anaheim"/>
        <s v="Escondido"/>
        <s v="Los Angeles"/>
        <s v="San Bernardino"/>
        <s v="Mountain View"/>
        <s v="San Diego"/>
        <s v="San Francisco"/>
        <s v="Hayward"/>
        <s v="Oakland"/>
        <s v="Vacaville"/>
        <s v="Santa Ana"/>
        <s v="Huntington Park"/>
        <s v="El Sobrante"/>
        <s v="Unincorporated"/>
        <s v="Santa Monica"/>
        <s v="Inglewood"/>
        <s v="San Rafael"/>
        <s v="San Mateo"/>
        <s v="Long Beach"/>
        <s v="Berkeley"/>
        <s v="San Jose"/>
        <s v="Palmdale"/>
        <s v="Los Altos"/>
        <s v="Walnut Creek"/>
        <s v="La Palma"/>
        <s v="Daly City"/>
        <s v="Redwood City"/>
        <s v="Richmond"/>
        <s v="Azusa"/>
        <s v="El Monte"/>
        <s v="American Canyon"/>
        <s v="Chula Vista"/>
        <s v="Fremont"/>
        <s v="Healdsburg"/>
        <s v="Fresno"/>
        <s v="Sunnyvale"/>
        <s v="Hawaiian Gardens"/>
        <s v="San Bruno"/>
        <s v="Concord"/>
        <s v="San Ramon"/>
        <s v="Santa Maria"/>
        <s v="El Cerrito"/>
        <s v="Santa Cruz"/>
        <s v="Carlsbad"/>
        <s v="Sacramento"/>
        <s v="Martinez"/>
        <s v="Garden Grove"/>
        <s v="San Lorenzo"/>
        <s v="La Mesa"/>
        <s v="San Dimas"/>
        <s v="Fairfield"/>
        <m/>
      </sharedItems>
    </cacheField>
    <cacheField name="County" numFmtId="0">
      <sharedItems containsBlank="1">
        <s v="Alameda"/>
        <s v="Orange"/>
        <s v="San Diego"/>
        <s v="Los Angeles"/>
        <s v="San Bernardino"/>
        <s v="Santa Clara"/>
        <s v="San Francisco"/>
        <s v="Solano"/>
        <s v="Contra Costa"/>
        <s v="Sacramento"/>
        <s v="Marin"/>
        <s v="San Mateo"/>
        <s v="Napa"/>
        <s v="Sonoma"/>
        <s v="Fresno"/>
        <s v="Santa Barbara"/>
        <s v="Santa Cruz"/>
        <m/>
      </sharedItems>
    </cacheField>
    <cacheField name="Agency" numFmtId="0">
      <sharedItems containsBlank="1">
        <s v="CMFA"/>
        <s v="CSCDA"/>
        <m/>
      </sharedItems>
    </cacheField>
    <cacheField name="Grant Description" numFmtId="0">
      <sharedItems containsBlank="1">
        <s v="Loan / $100,000"/>
        <s v="Grant up to $10,000"/>
        <m/>
        <s v="Grant up to $10,000 (Charitable Affordable Housing)"/>
        <s v="Approve application for proposed grant up to $10,000"/>
        <s v="Governmental Grant"/>
        <s v="Governmental Grant and Regulatory Agreement Creating Affordable Housing in a Rental Housing Project; $5,000 grant; 55-year regulatory term."/>
      </sharedItems>
    </cacheField>
    <cacheField name="Resolution" numFmtId="0">
      <sharedItems containsBlank="1">
        <m/>
        <s v="23-204"/>
        <s v="23-222"/>
        <s v="23-223"/>
        <s v="23-224"/>
        <s v="23-275"/>
        <s v="23-307"/>
        <s v="23-370"/>
        <s v="23-371"/>
        <s v="23-372"/>
        <s v="24-041"/>
        <s v="24-052"/>
        <s v="24-053"/>
        <s v="24-074"/>
        <s v="24-076"/>
        <s v="24-178"/>
        <s v="24-199"/>
        <s v="24-200"/>
        <s v="24-219"/>
        <s v="24-220"/>
        <s v="24-221"/>
        <s v="24-222"/>
        <s v="24-223"/>
        <s v="24-252"/>
        <s v="24-253"/>
        <s v="24-254"/>
        <s v="24-277"/>
        <s v="24-278"/>
        <s v="24-279"/>
        <s v="24-280"/>
        <s v="24-281"/>
        <s v="24-282"/>
        <s v="24-283"/>
        <s v="24-284"/>
        <s v="24-285"/>
        <s v="24-286"/>
        <s v="24-361"/>
        <s v="24-363"/>
        <s v="24-379"/>
        <s v="24-380"/>
        <s v="24-381"/>
        <s v="24-382"/>
        <s v="24-383"/>
        <s v="24-384"/>
        <s v="24-399"/>
        <s v="24-410"/>
        <s v="24-411"/>
        <s v="24-412"/>
        <s v="24-413"/>
        <s v="24-427"/>
        <s v="24-428"/>
        <s v="24-429"/>
        <s v="24-430"/>
        <s v="24-442"/>
        <s v="24-443"/>
        <s v="24-470"/>
        <s v="24-471"/>
        <s v="24-472"/>
        <s v="24-473"/>
        <s v="25-065"/>
        <s v="25-080"/>
        <s v="25-081"/>
        <s v="25-082"/>
        <s v="25-084"/>
        <s v="25-102"/>
        <s v="25-103"/>
        <s v="25-104"/>
        <s v="25-116"/>
        <s v="25-117"/>
        <s v="25-144"/>
        <s v="25-145"/>
        <s v="25-219"/>
        <s v="25-207"/>
        <s v="25-208"/>
        <s v="25-209"/>
        <s v="Proposed "/>
        <s v="25-281"/>
        <s v="25-282"/>
        <s v="25-283"/>
        <s v="25-284"/>
        <s v="25-285"/>
        <s v="25-286"/>
        <s v="25-287"/>
        <s v="25-288"/>
        <s v="25-289"/>
        <s v="25-290"/>
        <s v="25-291"/>
        <s v="25-304"/>
        <s v="25-305"/>
        <s v="25-306"/>
        <s v="25-308"/>
        <s v="25-347"/>
        <s v="25-348"/>
        <s v="25-349"/>
        <s v="25-350"/>
        <s v="25-351"/>
        <s v="25-352"/>
        <s v="25-353"/>
        <s v="25-423"/>
        <s v="25-424"/>
        <s v="25-425"/>
        <s v="25-426"/>
        <s v="25-427"/>
        <s v="25-448"/>
        <s v="25-449"/>
        <s v="25-450"/>
        <s v="25-451"/>
        <s v="25-452"/>
        <s v="25-453"/>
        <s v="25-454"/>
        <s v="25-455"/>
        <s v="25-456"/>
        <s v="25-457"/>
        <s v="25-458"/>
        <s v="25-459"/>
        <s v="25-460"/>
        <s v="25-461"/>
        <s v="25-462"/>
        <s v="25-463"/>
        <s v="25-464"/>
        <s v="25-484"/>
        <s v="25-485"/>
        <s v="25-486"/>
        <s v="25-487"/>
        <s v="25-488"/>
        <s v="25-489"/>
        <s v="25-490"/>
        <s v="25-491"/>
        <s v="25-492"/>
        <s v="25-493"/>
        <s v="25-494"/>
        <s v="25-495"/>
        <s v="25-496"/>
        <s v="25-510"/>
        <s v="25-512"/>
        <s v="25-513"/>
        <s v="CSCDA"/>
        <s v="25-551"/>
        <s v="25-552"/>
        <s v="25-553"/>
        <s v="25-554"/>
        <s v="25-555"/>
        <s v="25-556"/>
        <s v="25-557"/>
        <s v="25-562"/>
        <s v="25-563"/>
        <s v="25-564"/>
        <s v="25-565"/>
        <s v="25-566"/>
        <s v="25-567"/>
        <s v="25-568"/>
        <s v="25-569"/>
        <s v="25-570"/>
        <s v="25-571"/>
        <s v="25-572"/>
        <s v="Proposed"/>
        <s v="26-108"/>
        <s v="26-109"/>
        <s v="26-110"/>
        <s v="Application"/>
        <s v="26-176"/>
        <s v="26H-[_]"/>
      </sharedItems>
    </cacheField>
    <cacheField name="Date" numFmtId="164">
      <sharedItems containsDate="1" containsString="0" containsBlank="1">
        <d v="2022-04-08T00:00:00Z"/>
        <d v="2022-04-15T00:00:00Z"/>
        <d v="2023-07-14T00:00:00Z"/>
        <d v="2023-08-04T00:00:00Z"/>
        <d v="2023-08-25T00:00:00Z"/>
        <d v="2023-09-15T00:00:00Z"/>
        <d v="2023-12-08T00:00:00Z"/>
        <d v="2024-02-02T00:00:00Z"/>
        <d v="2024-02-23T00:00:00Z"/>
        <d v="2024-03-15T00:00:00Z"/>
        <d v="2024-04-26T00:00:00Z"/>
        <d v="2024-05-17T00:00:00Z"/>
        <d v="2024-06-07T00:00:00Z"/>
        <d v="2024-07-19T00:00:00Z"/>
        <d v="2024-08-09T00:00:00Z"/>
        <d v="2024-08-30T00:00:00Z"/>
        <d v="2024-09-20T00:00:00Z"/>
        <d v="2024-10-11T00:00:00Z"/>
        <d v="2024-11-01T00:00:00Z"/>
        <d v="2024-11-22T00:00:00Z"/>
        <d v="2024-12-13T00:00:00Z"/>
        <d v="2025-01-31T00:00:00Z"/>
        <d v="2025-02-21T00:00:00Z"/>
        <d v="2025-03-14T00:00:00Z"/>
        <d v="2025-04-04T00:00:00Z"/>
        <d v="2025-04-25T00:00:00Z"/>
        <d v="2025-05-16T00:00:00Z"/>
        <d v="2025-06-06T00:00:00Z"/>
        <d v="2025-06-27T00:00:00Z"/>
        <d v="2025-07-18T00:00:00Z"/>
        <d v="2025-08-08T00:00:00Z"/>
        <d v="2025-08-29T00:00:00Z"/>
        <d v="2025-09-19T00:00:00Z"/>
        <d v="2025-10-10T00:00:00Z"/>
        <d v="2025-10-24T00:00:00Z"/>
        <d v="2025-11-20T00:00:00Z"/>
        <d v="2025-11-21T00:00:00Z"/>
        <d v="2025-12-12T00:00:00Z"/>
        <d v="2025-12-18T00:00:00Z"/>
        <d v="2026-01-09T00:00:00Z"/>
        <d v="2026-01-22T00:00:00Z"/>
        <d v="2026-01-30T00:00:00Z"/>
        <d v="2026-02-20T00:00:00Z"/>
        <d v="2026-03-05T00:00:00Z"/>
        <d v="2026-03-13T00:00:00Z"/>
        <d v="2026-03-27T00:00:00Z"/>
        <d v="2026-04-02T00:00:00Z"/>
        <d v="2026-04-17T00:00:00Z"/>
        <d v="2026-05-07T00:00:00Z"/>
        <d v="2026-05-08T00:00:00Z"/>
        <d v="2026-05-21T00:00:00Z"/>
        <d v="2026-05-29T00:00:00Z"/>
        <d v="2026-06-02T00:00:00Z"/>
        <d v="2026-06-18T00:00:00Z"/>
        <d v="2026-06-26T00:00:00Z"/>
        <d v="2026-07-02T00:00:00Z"/>
        <d v="2026-07-16T00:00:00Z"/>
        <d v="2026-07-17T00:00:00Z"/>
        <d v="2026-08-06T00:00:00Z"/>
        <d v="2026-08-07T00:00:00Z"/>
        <m/>
      </sharedItems>
    </cacheField>
    <cacheField name="DEAD?" numFmtId="0">
      <sharedItems containsBlank="1">
        <m/>
        <b v="1"/>
      </sharedItems>
    </cacheField>
    <cacheField name="Investor 1" numFmtId="0">
      <sharedItems containsBlank="1">
        <s v="Standard Property Company"/>
        <s v="Taylor Equities"/>
        <s v="Quest Capital Partners"/>
        <s v="Eleos Ventures, LLC"/>
        <s v="Prometheus Real Estate Group"/>
        <s v="Securities Properties"/>
        <s v="Mosser Capital, LLC"/>
        <s v="The Sobrato Organization"/>
        <s v="Housing Diversity Corporation"/>
        <s v="SoLa Impact, LLC"/>
        <s v="Riaz, Inc."/>
        <s v="The Greg Scott Company"/>
        <s v="Trestle Development LLC"/>
        <s v="Thrive Living"/>
        <s v="Ascenda Capital"/>
        <s v="AOF"/>
        <s v="GHC Housing Partners"/>
        <s v="RMG Housing"/>
        <s v="Tesseract Capital Group"/>
        <s v="Gortikov Capital"/>
        <s v="Community HousingWorks"/>
        <s v="Terra Capital Development Group LLC"/>
        <s v="Ethos Real Estate"/>
        <s v="Vistria Group"/>
        <s v="Impact Housing"/>
        <s v="Community Solutions"/>
        <s v="Trion Properties, Inc."/>
        <s v="Post Investment Group"/>
        <s v="Avanath Capital"/>
        <s v="Bridge Housing"/>
        <s v="Presidio Bay Ventures, LLC"/>
        <s v="Prometheus Real Estate Group, Inc."/>
        <s v="Visionary Development Enterprises LLC"/>
        <s v="CIM Group, LLC"/>
        <s v="TriWest Multifamily"/>
        <s v="Mariman &amp; Co."/>
        <s v="Treehouse Community"/>
        <s v="TruAmerica Multifamily LLC"/>
        <s v="CONAM Management Corporation"/>
        <s v="Kennedy Wilson"/>
        <s v="Vintage Housing Holdings"/>
        <s v="Langdon Park Capital"/>
        <s v="A Community of Friends"/>
        <s v="BMI Developments"/>
        <s v="Sack Capital Partners"/>
        <s v="Belveron Partners"/>
        <s v="BRIDGE Housing Corp."/>
        <s v="Angeleno Investments, LP"/>
        <s v="Glimcher Capital Group"/>
        <s v="K3 Holdings"/>
        <s v="Jackson Square Properties"/>
        <s v="The Transcend Group"/>
        <s v="California State Teachers’ Retirement System"/>
        <s v="Six Peak Capital"/>
        <s v="UrbanCore Development"/>
        <s v="Ethos GP I Venture, LP"/>
        <s v="Concord Companies"/>
        <s v="Golden Bee Properties"/>
        <s v="MKCR Capital LLC"/>
        <s v="Kairos Investment Management Company"/>
        <s v="Islas Development, LLC"/>
        <s v="Eagle Partners"/>
        <s v="Anton DevCo, Inc"/>
        <s v="Farallon Capital Management L.L.C."/>
        <s v="Seachange Partners"/>
        <s v="Capital Insight Holdings"/>
        <s v="Orion Capital LLC"/>
        <s v="MKCR Capital, LLC"/>
        <s v="Jenson Capital Group"/>
        <s v="Standard Properties"/>
        <s v="MG Properties"/>
        <s v="Jonathan Rose Companies"/>
        <s v="Tailwind Investment Group"/>
        <s v="KDF Communities, LLC"/>
        <s v="Equitable Connections to Housing Opportunities (ECHO)"/>
        <s v="Red Stone Equity Partners"/>
        <s v="Positive Investments, Inc."/>
        <s v="Faulkner Capital Partners"/>
        <s v="Positive Investments Inc"/>
        <s v="Angeleno Investments LP"/>
        <s v="Category Company"/>
        <s v="LA Apartments"/>
        <s v="KBX Investments"/>
        <s v="TriWest Development"/>
        <s v="The Korda Group"/>
        <s v="Affirmed Housing"/>
        <s v="CGI+"/>
        <s v="Post Real Estate Group"/>
        <s v="Keren Housing"/>
        <s v="Killefer Development"/>
        <s v="Angeleno Invesments"/>
        <m/>
      </sharedItems>
    </cacheField>
    <cacheField name="Investor 2" numFmtId="0">
      <sharedItems containsBlank="1">
        <m/>
        <s v="Arctaris Impact Investors"/>
        <s v="Black Impact Group"/>
        <s v="Stars Real Estate Investment"/>
        <s v="Magnum Real Estate Group"/>
        <s v="Pacific Affordable Housing Corp"/>
        <s v="Post Investment Group"/>
        <s v="Bridge Investment Group"/>
        <s v="Ethos Real Estate"/>
        <s v="Open House Group Co., Ltd"/>
        <s v="Angeleno Investments LP"/>
        <s v="Vintage Housing Holdings"/>
        <s v="Kennedy Wilson"/>
        <s v="Vistria"/>
        <s v="Belveron Partners"/>
      </sharedItems>
    </cacheField>
    <cacheField name="Nonprofit Partner" numFmtId="0">
      <sharedItems containsBlank="1">
        <s v="Housing on Merit"/>
        <s v="Kingdom Development, Inc."/>
        <s v="Affordable Rent Project"/>
        <s v="Step Forward Communities"/>
        <s v="Hearthstone Housing Foundation"/>
        <s v="Las Palmas Housing &amp; Development"/>
        <s v="Sobrato Foundation"/>
        <s v="PEP Housing"/>
        <s v="AOF Pacific"/>
        <s v="AOF / Pacific Affordable Housing Corp"/>
        <s v="Integrity Housing"/>
        <s v="Pacific Affordable Housing Corp"/>
        <s v="Foundation for Affordable Housing"/>
        <s v="DECRO Corporation"/>
        <s v="Community HousingWorks"/>
        <s v="Pacific Housing"/>
        <s v="Affordable Housing Access Inc"/>
        <s v="Pacific Housing, Inc."/>
        <s v="Las Palmas Housing &amp; Development Corporation"/>
        <s v="Step Forward Comminities"/>
        <s v="Community Solutions"/>
        <s v="Riverside Charitable Corporation"/>
        <s v="Bridge Housing"/>
        <s v="Pacific Housing, Inc"/>
        <s v="Casa Major, Inc."/>
        <s v="AOF/Pacific Affordable Housing Corporation"/>
        <s v="Butterfly’s Haven"/>
        <s v="Affordable Housing Access"/>
        <s v="A Community of Friends"/>
        <s v="Las Palmas Housing &amp; Development Corp."/>
        <s v="BRIDGE Housing Corp."/>
        <s v="Retail Store Employees Building Corporation"/>
        <m/>
        <s v="Kingdom Development, Inc. "/>
        <s v="Foundation Permanent Housing Fund, Inc."/>
        <s v="Foothill Affordable Housing Foundation"/>
        <s v="Pacific Housing Inc."/>
        <s v="Pacific Housing Inc"/>
        <s v="Affordable Housing Access, Inc."/>
        <s v="San Diego Interfaith Housing Foundation"/>
        <s v="Central Valley Coalition for Affordable Housing"/>
        <s v="AOF/Pacific Affordable Housing Corp."/>
        <s v="Compass for Affordable Housing"/>
        <s v="Bedford Affordable Housing Foundation"/>
      </sharedItems>
    </cacheField>
    <cacheField name="Stale" numFmtId="0">
      <sharedItems containsBlank="1">
        <b v="0"/>
        <b v="1"/>
        <m/>
      </sharedItems>
    </cacheField>
    <cacheField name="Total Unit Count" numFmtId="0">
      <sharedItems containsString="0" containsBlank="1" containsNumber="1" containsInteger="1">
        <n v="167.0"/>
        <n v="196.0"/>
        <n v="24.0"/>
        <n v="71.0"/>
        <n v="15.0"/>
        <n v="48.0"/>
        <n v="56.0"/>
        <n v="32.0"/>
        <n v="61.0"/>
        <n v="147.0"/>
        <n v="227.0"/>
        <n v="79.0"/>
        <n v="166.0"/>
        <n v="154.0"/>
        <n v="89.0"/>
        <n v="66.0"/>
        <n v="69.0"/>
        <n v="111.0"/>
        <n v="169.0"/>
        <n v="103.0"/>
        <n v="58.0"/>
        <n v="52.0"/>
        <n v="160.0"/>
        <n v="225.0"/>
        <n v="74.0"/>
        <n v="25.0"/>
        <n v="29.0"/>
        <n v="41.0"/>
        <n v="104.0"/>
        <n v="72.0"/>
        <n v="26.0"/>
        <n v="165.0"/>
        <n v="93.0"/>
        <n v="80.0"/>
        <n v="53.0"/>
        <n v="68.0"/>
        <n v="188.0"/>
        <n v="90.0"/>
        <n v="236.0"/>
        <n v="99.0"/>
        <n v="406.0"/>
        <n v="697.0"/>
        <n v="488.0"/>
        <n v="229.0"/>
        <n v="63.0"/>
        <n v="145.0"/>
        <n v="198.0"/>
        <n v="356.0"/>
        <n v="377.0"/>
        <n v="94.0"/>
        <n v="193.0"/>
        <n v="296.0"/>
        <n v="33.0"/>
        <n v="116.0"/>
        <n v="272.0"/>
        <n v="13.0"/>
        <n v="50.0"/>
        <n v="189.0"/>
        <n v="122.0"/>
        <n v="112.0"/>
        <n v="136.0"/>
        <n v="203.0"/>
        <n v="1008.0"/>
        <n v="36.0"/>
        <n v="31.0"/>
        <n v="20.0"/>
        <n v="28.0"/>
        <n v="21.0"/>
        <n v="687.0"/>
        <n v="84.0"/>
        <n v="230.0"/>
        <n v="948.0"/>
        <n v="164.0"/>
        <n v="177.0"/>
        <n v="148.0"/>
        <n v="183.0"/>
        <n v="38.0"/>
        <n v="192.0"/>
        <n v="73.0"/>
        <n v="27.0"/>
        <n v="49.0"/>
        <n v="43.0"/>
        <n v="42.0"/>
        <n v="40.0"/>
        <n v="60.0"/>
        <n v="55.0"/>
        <n v="59.0"/>
        <n v="37.0"/>
        <n v="16.0"/>
        <n v="30.0"/>
        <n v="39.0"/>
        <n v="18.0"/>
        <n v="45.0"/>
        <n v="23.0"/>
        <n v="76.0"/>
        <n v="650.0"/>
        <n v="278.0"/>
        <n v="110.0"/>
        <n v="286.0"/>
        <n v="114.0"/>
        <n v="170.0"/>
        <n v="181.0"/>
        <n v="152.0"/>
        <n v="101.0"/>
        <n v="482.0"/>
        <n v="120.0"/>
        <n v="551.0"/>
        <n v="290.0"/>
        <n v="67.0"/>
        <n v="106.0"/>
        <n v="221.0"/>
        <n v="70.0"/>
        <n v="293.0"/>
        <n v="460.0"/>
        <n v="232.0"/>
        <n v="572.0"/>
        <n v="100.0"/>
        <n v="264.0"/>
        <n v="197.0"/>
        <n v="162.0"/>
        <n v="135.0"/>
        <n v="150.0"/>
        <n v="208.0"/>
        <n v="123.0"/>
        <n v="12.0"/>
        <n v="211.0"/>
        <n v="168.0"/>
        <n v="402.0"/>
        <n v="81.0"/>
        <n v="34.0"/>
        <n v="205.0"/>
        <n v="185.0"/>
        <n v="288.0"/>
        <n v="64.0"/>
        <n v="144.0"/>
        <n v="302.0"/>
        <n v="108.0"/>
        <n v="132.0"/>
        <m/>
      </sharedItems>
    </cacheField>
    <cacheField name="Restricted Unit Count" numFmtId="0">
      <sharedItems containsString="0" containsBlank="1" containsNumber="1" containsInteger="1">
        <n v="125.0"/>
        <n v="157.0"/>
        <n v="24.0"/>
        <n v="70.0"/>
        <n v="14.0"/>
        <n v="48.0"/>
        <n v="23.0"/>
        <n v="13.0"/>
        <n v="61.0"/>
        <n v="147.0"/>
        <n v="227.0"/>
        <n v="166.0"/>
        <n v="154.0"/>
        <n v="40.0"/>
        <n v="27.0"/>
        <n v="69.0"/>
        <n v="111.0"/>
        <n v="58.0"/>
        <n v="102.0"/>
        <n v="52.0"/>
        <n v="160.0"/>
        <n v="225.0"/>
        <n v="74.0"/>
        <n v="28.0"/>
        <n v="41.0"/>
        <n v="104.0"/>
        <n v="32.0"/>
        <n v="49.0"/>
        <n v="29.0"/>
        <n v="25.0"/>
        <n v="98.0"/>
        <n v="93.0"/>
        <n v="80.0"/>
        <n v="53.0"/>
        <n v="51.0"/>
        <n v="71.0"/>
        <n v="236.0"/>
        <n v="99.0"/>
        <n v="406.0"/>
        <n v="697.0"/>
        <n v="483.0"/>
        <n v="229.0"/>
        <n v="62.0"/>
        <n v="144.0"/>
        <n v="198.0"/>
        <n v="151.0"/>
        <n v="100.0"/>
        <n v="193.0"/>
        <n v="296.0"/>
        <n v="165.0"/>
        <n v="115.0"/>
        <n v="68.0"/>
        <n v="270.0"/>
        <n v="50.0"/>
        <n v="189.0"/>
        <m/>
        <n v="112.0"/>
        <n v="136.0"/>
        <n v="148.0"/>
        <n v="203.0"/>
        <n v="145.0"/>
        <n v="1008.0"/>
        <n v="35.0"/>
        <n v="30.0"/>
        <n v="19.0"/>
        <n v="20.0"/>
        <n v="47.0"/>
        <n v="687.0"/>
        <n v="17.0"/>
        <n v="84.0"/>
        <n v="230.0"/>
        <n v="948.0"/>
        <n v="164.0"/>
        <n v="177.0"/>
        <n v="183.0"/>
        <n v="37.0"/>
        <n v="192.0"/>
        <n v="72.0"/>
        <n v="43.0"/>
        <n v="38.0"/>
        <n v="42.0"/>
        <n v="60.0"/>
        <n v="73.0"/>
        <n v="55.0"/>
        <n v="59.0"/>
        <n v="272.0"/>
        <n v="16.0"/>
        <n v="39.0"/>
        <n v="18.0"/>
        <n v="45.0"/>
        <n v="76.0"/>
        <n v="78.0"/>
        <n v="260.0"/>
        <n v="278.0"/>
        <n v="116.0"/>
        <n v="286.0"/>
        <n v="114.0"/>
        <n v="170.0"/>
        <n v="181.0"/>
        <n v="152.0"/>
        <n v="101.0"/>
        <n v="216.0"/>
        <n v="120.0"/>
        <n v="110.0"/>
        <n v="440.0"/>
        <n v="290.0"/>
        <n v="67.0"/>
        <n v="106.0"/>
        <n v="31.0"/>
        <n v="79.0"/>
        <n v="221.0"/>
        <n v="6.0"/>
        <n v="8.0"/>
        <n v="460.0"/>
        <n v="36.0"/>
        <n v="232.0"/>
        <n v="514.0"/>
        <n v="264.0"/>
        <n v="56.0"/>
        <n v="34.0"/>
        <n v="162.0"/>
        <n v="150.0"/>
        <n v="54.0"/>
        <n v="208.0"/>
        <n v="123.0"/>
        <n v="12.0"/>
        <n v="211.0"/>
        <n v="134.0"/>
        <n v="135.0"/>
        <n v="81.0"/>
        <n v="82.0"/>
        <n v="94.0"/>
        <n v="302.0"/>
        <n v="108.0"/>
        <n v="132.0"/>
      </sharedItems>
    </cacheField>
    <cacheField name="Restricted Ratio" numFmtId="0">
      <sharedItems containsString="0" containsBlank="1" containsNumber="1">
        <m/>
        <n v="0.8010204081632653"/>
        <n v="1.0"/>
        <n v="0.9333333333333333"/>
        <n v="0.6075949367088608"/>
        <n v="0.96"/>
        <n v="0.9655172413793104"/>
        <n v="0.6153846153846154"/>
        <n v="0.6805555555555556"/>
        <n v="0.6041666666666666"/>
        <n v="0.9615384615384616"/>
        <n v="0.593939393939394"/>
        <n v="0.7727272727272727"/>
        <n v="0.20588235294117646"/>
        <n v="0.5904255319148937"/>
        <n v="0.7888888888888889"/>
        <n v="0.975609756097561"/>
        <n v="0.4044943820224719"/>
        <n v="0.4005305039787798"/>
        <n v="0.9696969696969697"/>
        <n v="0.9939759036144579"/>
        <n v="0.9913793103448276"/>
        <n v="0.783068783068783"/>
        <n v="0.98"/>
        <n v="0.9722222222222222"/>
        <n v="0.967741935483871"/>
        <n v="0.95"/>
        <n v="0.9642857142857143"/>
        <n v="0.9523809523809523"/>
        <n v="0.9791666666666666"/>
        <n v="0.20238095238095238"/>
        <n v="0.9855072463768116"/>
        <n v="0.9736842105263158"/>
        <n v="0.9861111111111112"/>
        <n v="0.9863013698630136"/>
        <n v="0.9811320754716981"/>
        <n v="0.9873417721518988"/>
        <n v="0.4"/>
        <n v="0.44813278008298757"/>
        <n v="0.7985480943738656"/>
        <n v="0.4030612244897959"/>
        <n v="0.18571428571428572"/>
        <n v="0.2"/>
        <n v="0.20512820512820512"/>
        <n v="0.34812286689419797"/>
        <n v="0.972972972972973"/>
        <n v="0.8986013986013986"/>
        <n v="0.40609137055837563"/>
        <n v="0.8"/>
        <n v="0.8095238095238095"/>
        <n v="0.503448275862069"/>
        <n v="0.5"/>
        <n v="0.25"/>
      </sharedItems>
    </cacheField>
    <cacheField name="Address" numFmtId="0">
      <sharedItems containsBlank="1">
        <s v="900 E Stanley Blvd, Livermore, CA 94550"/>
        <s v="707 W Santa Ana Street, Anaheim CA 92805"/>
        <s v="2549 E. Valley Parkway, Escondido, CA 92027"/>
        <s v="1136 S. Alvarado Street, Los Angeles, CA"/>
        <s v="363 E. Gilbert St., San Bernardino, CA"/>
        <s v="2025 New Jersey St, Los Angeles, CA"/>
        <s v="660 Mariposa Ave., Mountain View, CA"/>
        <s v="840 17th St, San Diego, CA 92101"/>
        <s v="381 Turk St., San Francisco, CA"/>
        <s v="26409 Gading Rd, Hayward, CA 94544"/>
        <s v="1317 S. Grand St, Los Angeles, CA 90015"/>
        <s v="1411 Flower St, Los Angeles, CA 90015"/>
        <s v="7518 S. Hoover, Los Angeles, CA 90044"/>
        <s v="820 W MacArthur Blvd, Oakland, CA 94608"/>
        <s v="801-809 Waterloo Street, Los Angeles, CA "/>
        <s v="2415 Valdez St, Oakland, CA 94612"/>
        <s v="275 Turk St, San Francisco, CA"/>
        <s v="6762 Hawthorn Ave, Los Angeles, CA 90028"/>
        <s v="4252 S CRENSHAW BLVD LOS ANGELES CA 90008"/>
        <s v="343 Moon River Pl, Vacaville, CA 95687"/>
        <s v="1735 S Mission Rd, Fallbrook, CA 92028"/>
        <s v="7940 Reseda Boulevard, Reseda, CA "/>
        <s v="18325 Saticoy St, Reseda, CA 91335"/>
        <s v="1100-1200 E. Fairhaven Avenue, Santa Ana, CA"/>
        <s v="2701 Randolph St., Huntington Park, CA"/>
        <s v="445 N. Avalon Boulevard, Los Angeles, CA"/>
        <s v="4209 S Western Ave, Los Angeles, CA 90062"/>
        <s v="1130 W Martin Luther King Jr Blvd, Los Angeles, CA 90037"/>
        <s v="4481 Appian Way, El Sobrante, CA 94803"/>
        <s v="4930 Polk St, North Highlands, CA 95660"/>
        <s v="7518 S. Hoover, Los Angeles, CA"/>
        <s v="1422-1428 6th St., Santa Monica, CA"/>
        <s v="1422-1432 7th, Santa Monica, CA"/>
        <s v="1423-1425 6th, Santa Monica, CA"/>
        <s v="1522 6th St, Santa Monica, CA"/>
        <s v="1537 7th, Santa Monica, CA"/>
        <s v="2001-2029 Olympic Blvd, Santa Monica"/>
        <s v="441 W 3rd St, San Pedro, CA 90731"/>
        <s v="9301 – 9609 Crenshaw&#10;Blvd, Inglewood, CA"/>
        <s v="2330 E. 3rd Street, Los Angeles, CA"/>
        <s v="6200 S Broadway, Los Angeles, CA"/>
        <s v="4228 Western Avenue, Los Angeles, CA"/>
        <s v="4327 S Vermont, Los Angeles, CA"/>
        <s v="110 Imperial Highway, Los Angeles, CA"/>
        <s v="12300 Sherman Way, North Hollywood, CA 91605"/>
        <s v="400 Canal St, San Rafael, CA 94901"/>
        <s v="4752 Main St, Los Angeles, CA 90037"/>
        <s v="2414 N Tustin Ave, Santa Ana, CA 92705"/>
        <s v="3500 Edison St, San Mateo, CA 94403"/>
        <s v="6171 Mission Gorge Rd, San Diego, CA 92120"/>
        <s v="228 N Soto Street, Los Angeles, CA"/>
        <s v="699 14th Street, San Diego, CA"/>
        <s v="1201 Fulton Ave, Sacramento, CA 95825"/>
        <s v="220 47th St, San Diego, CA 92102"/>
        <s v="6930 Fair Oaks Blvd, Carmichael, CA 95608"/>
        <s v="5601 North Paramount Boulevard, Long Beach, Los Angeles"/>
        <s v="1457 N Main St, Los Angeles, CA 90012"/>
        <s v="651 Addison St, Berkeley, CA 94710"/>
        <s v="99 OCEAN AVE SAN FRANCISCO, CA 94112-2548"/>
        <s v="2130 Southwest Expy, San Jose, CA 95126"/>
        <s v="38441 5th St W, Palmdale, CA 93551"/>
        <s v="5150 El Camino Real, Los Altos, CA"/>
        <s v="333 Douglas St, Los Angeles, CA"/>
        <s v="11422 S Broadway, Los Angeles, CA 90061"/>
        <s v="3081 N Main St, Walnut Creek, CA 94597"/>
        <s v="2533 S Mansfield Ave, Los Angeles, CA 90016"/>
        <s v="1250 S. Euclid St., Anaheim, CA"/>
        <s v="7777 Valley View Street, La Palma, CA"/>
        <s v="920 S. Gramercy Place, Los Angeles, CA"/>
        <s v="10535 Lindley Ave, Granada Hills, CA 91326"/>
        <s v="9830 Reseda Blvd, Northridge, CA 91324"/>
        <s v="26 Terrace View Ct, Daly City, CA 94015"/>
        <s v="1212 Whipple Ave, Redwood City, CA 94062"/>
        <s v="5880 3rd St, San Francisco, CA 94124"/>
        <s v="1540 W Court St, Los Angeles, CA 90026"/>
        <s v="5474 Reservoir Dr, San Diego, CA 92120"/>
        <s v="5040 Logan Avenue, San Diego, CA 92113"/>
        <s v="1451 W. MLK Blvd, Los Angeles, CA"/>
        <s v="3400 Richmond Pkwy, Richmond, CA 94806"/>
        <s v="4101 Somerset Drive, Los Angeles, CA"/>
        <s v="321 E. Florence Ave, Los Angeles, CA "/>
        <s v="9300 Compton Ave., Los Angeles, CA"/>
        <s v="6401 S. Avalon Blvd., Los Angeles, CA"/>
        <s v="9515 Compton Avenue, Los Angeles, CA"/>
        <s v="10811 S. Compton Avenue, Los Angeles, CA"/>
        <s v="569 W. 6th Street, San Pedro, CA"/>
        <s v="685 W. 4th St., Los Angeles, CA "/>
        <s v="209 Westmoreland Ave, Los Angeles, CA 90004"/>
        <s v="11630 Main St, Los Angeles, CA 90061"/>
        <s v="18615 E Arrow Hwy, Covina, CA 91722"/>
        <s v="1700 Newbury Park Dr, San Jose, CA 95133"/>
        <m/>
        <s v="17188 Chatsworth St., Los Angeles, CA"/>
        <s v="601 E 8th St, Azusa, CA 91702"/>
        <s v="355 Kiely Blvd, San Jose, CA 95129"/>
        <s v="1026 S De Anza Blvd, San Jose, CA 95129"/>
        <s v="4640 Arden Way, El Monte, CA 91731"/>
        <s v="800 Reliant Wy, American Canyon, CA 94503"/>
        <s v="601 Telegraph Canyon Road, Chula Vista, CA 91910"/>
        <s v="10910 Huston St, North Hollywood, CA 91601"/>
        <s v="38000 Camden St, Fremont, CA 94536"/>
        <s v="1734 S. Barrington Ave., Los Angeles, CA, 90025"/>
        <s v="4129 Centinela Avenue, Los Angeles, CA 90066"/>
        <s v="4706 Centinela Avenue, Los Angeles, CA 90066"/>
        <s v="1747 Stoner Avenue, Los Angeles, CA 90025"/>
        <s v="2025 E. 4th Street, Los Angeles, CA"/>
        <s v="247 S. Alexandria Avenue, Los Angeles, CA"/>
        <s v="808 S. Hobart Boulevard, Los Angeles, CA"/>
        <s v="454 S. Catalina Street, Los Angeles, CA"/>
        <s v="103 S. Edgemont Street, Los Angeles, CA 90004"/>
        <s v="974 S. Gramercy Place, Los Angeles, CA"/>
        <s v="832 Irolo Street, Los Angeles, CA"/>
        <s v="941 S. Kenmore Avenue, Los Angeles, CA"/>
        <s v="426 S. Manhattan Place, Los Angeles, CA"/>
        <s v="260 S. Mariposa Avenue, Los Angeles, CA"/>
        <s v="739 S. Normandie Avenue, Los Angeles, CA"/>
        <s v="1111 S. Norton Avenue, Los Angeles, CA 90019"/>
        <s v="975-985 S. Oxford Avenue, Los Angeles, CA"/>
        <s v="960 S. Oxford Avenue, Los Angeles, CA"/>
        <s v="3715 W. 1st Street, Los Angeles, CA"/>
        <s v="515 S. St. Andrews Place, Los Angeles, CA 90020"/>
        <s v="516 S. St. Andrews Place, Los Angeles, CA 90020"/>
        <s v="2345 Northrop Ave, Sacramento, CA 95825"/>
        <s v="1260 Grove St, Healdsburg, CA 95448"/>
        <s v="3048 W. 12th Street, CA 90006"/>
        <s v="130 S. Alexandria Avenue, Los Angeles, CA"/>
        <s v="861 Fedora Street, Los Angeles, CA"/>
        <s v="200 S. Kenmore Avenue, Los Angeles, CA"/>
        <s v="915 S. Kenmore Avenue, Los Angeles, CA"/>
        <s v="530 Kingsley Drive, Los Angeles, CA"/>
        <s v="727 S. Mariposa Avenue, Los Angeles, CA"/>
        <s v="750-752 S. Mariposa Avenue, Los Angeles, CA"/>
        <s v="520 S. Mariposa Avenue, Los Angeles, CA"/>
        <s v="207 N. Oxford Avenue, Los Angeles, CA"/>
        <s v="1057 S. Western Avenue, Los Angeles, CA"/>
        <s v="236 N. Berendo Street., Los Angeles, CA"/>
        <s v="10705 Avalon Blvd, Los Angeles, CA"/>
        <s v="7524 S. Hoover St, Los Angeles, CA"/>
        <s v="5805 Charlotte Drive, San Jose, CA 95123"/>
        <s v="5669 N Fresno St, Fresno, CA 93710"/>
        <s v="18337 Kittridge St, Reseda, CA 91335"/>
        <s v="9033 Ramsgate Avenue, Westchester, CA"/>
        <s v="805 71st Avenue, Oakland, CA"/>
        <s v="1180 Lochinvar Ave, Sunnyvale, CA 94087"/>
        <s v="5210 Monterey Rd, San Jose, CA 95111"/>
        <s v="3765 Tamarack Ln, Santa Clara, CA 95051"/>
        <s v="7655 S San Pedro St, Los Angeles, CA 90003"/>
        <s v="2424 Wilshire Blvd, Los Angeles, CA 90057"/>
        <s v="841 S Serrano Ave, Los Angeles, CA 90005"/>
        <s v="715 Normandie Ave, Los Angeles, CA 90005"/>
        <s v="682 Irolo Street, Los Angeles, CA"/>
        <s v="5565 Ackerfield Avenue / 5700 Ackerfield Avenue, Long Beach, CA"/>
        <s v="12100 226th St, Hawaiian Gardens, CA 90716"/>
        <s v="2000 Crystal Springs Rd, San Bruno, CA 94066"/>
        <s v="1070 San Miguel Road, Concord, CA"/>
        <s v="36000 Fremont Boulevard, Fremont, CA"/>
        <s v="2130 N Marks Ave, Fresno, CA 93722"/>
        <s v="439 West El Norte Parkway / 1045 Morning View Drive, Escondido, CA"/>
        <s v="1141 N. Vermont Avenue, Los Angeles, CA 90029"/>
        <s v="2933 W. 8th Street, Los Angeles, CA"/>
        <s v="437 N. Ardmore Avenue, Los Angeles, CA"/>
        <s v="249 S. Ave 55, Los Angeles, CA"/>
        <s v="516 N. Harvard Boulevard, Los Angeles, CA"/>
        <s v="5200 Hollywood Boulevard, Los Angeles, CA"/>
        <s v="915 S. Kenmore Avenue, Los Angeles, CA "/>
        <s v="5406 Lexington Avenue, Los Angeles, CA"/>
        <s v="410 S. Manhattan Place / 509 S. Manhattan Place, Los Angeles, CA"/>
        <s v="5635 Monte Vista Street, Los Angeles, CA"/>
        <s v="207 S. Oxford St, Los Angeles, CA"/>
        <s v="300 W. Avenue 37, Los Angeles, CA"/>
        <s v="132 S. Westmoreland Avenue, Los Angeles, CA"/>
        <s v="234 Escuela Avenue, Mountain View, CA"/>
        <s v="201 S 4th St, San Jose, CA 95112"/>
        <s v="5565 &amp; 5575 Ackerfield Avenue, Long Beach, CA"/>
        <s v="1451 W. Martin Luther King Boulevard, Los Angeles, CA"/>
        <s v="4256 Whittier Blvd Apartments, Los Angeles, CA"/>
        <s v="225 W. 25th St, Los Angeles, CA"/>
        <s v="9422 Firth Avenue, Los Angeles, CA"/>
        <s v="4008 Martin Luther King Boulevard, Los Angeles, CA"/>
        <s v="2311 Ivy Hill Way, San Ramon, CA 94582"/>
        <s v="740 S. Western Avenue, Santa Maria, CA 93458"/>
        <s v="1723 Corinth Ave, Los Angeles, CA 90025"/>
        <s v="3751 Delmas Terrace, Los Angeles, CA 90034"/>
        <s v="3200 W 5th St, Santa Ana, CA 92703"/>
        <s v="9750 Airport Blvd, Westchester, CA 90045"/>
        <s v="1408 W Jefferson Blvd, Los Angeles, CA 90007"/>
        <s v="12342 Osborne Pl, Pacoima, CA 91331"/>
        <s v="220 Humboldt Ct. Sunnyvale, CA"/>
        <s v="1311 W Battles Rd, Santa Maria, CA 93458"/>
        <s v="2625 Cullen St, Los Angeles, CA 90034"/>
        <s v="2481 Sawtelle Blvd, Los Angeles, CA 90064"/>
        <s v="21701 Foothill Blvd, Hayward, CA 94541"/>
        <s v="11720 San Pablo Ave, El Cerrito, CA 94530"/>
        <s v="609 Frederick St, Santa Cruz, CA 95062"/>
        <s v="11720 San Pablo Avenue, El Cerrito, CA"/>
        <s v="4350 Galbrath Dr, Sacramento, CA 95842"/>
        <s v="1845 N Broadway, Escondido, CA 92026"/>
        <s v="1454 W Florence Ave, Los Angeles, CA 90047"/>
        <s v="6790 Embarcadero Ln, Carlsbad, CA 92011"/>
        <s v="6633 Valley Hi Drive, Sacramento, CA "/>
        <s v="142 Fig Tree Lane, Martinez, CA 94553"/>
        <s v="225 West Colden Avenue, Los Angeles, CA"/>
        <s v="11821 Foothill Blvd, Lake View Terrace, CA 91342"/>
        <s v="12091 Bayport St, Garden Grove, CA 92840"/>
        <s v="16077 Ashland Ave, San Lorenzo, CA 94580"/>
        <s v="5035 Guava Ave, La Mesa, CA 91942"/>
        <s v="511 N. Hoover Street, Los Angeles, California"/>
        <s v="6530 Independence Ave, Canoga Park, CA 91303"/>
        <s v="2075 W Jefferson BlvdLos Angeles, CA 90018"/>
        <s v="5416 Jackson St, North Highlands, CA 95660"/>
        <s v="444 N Amelia Ave, San Dimas, CA 91773"/>
        <s v="1408 W Jefferson Blvd Los Angeles, California 90007"/>
        <s v="603 S Mariposa AveLos Angeles, CA 90005"/>
        <s v="236 N Berendo St, Los Angeles, CA 90004"/>
        <s v="6219 Banner Avenue, Los Angeles, CA 90038"/>
        <s v="160 S Virgil Ave, Los Angeles, CA 90004"/>
        <s v="926 S Kingsley Dr, Los Angeles, CA 90006"/>
        <s v="939 S Kingsley Dr, Los Angeles, CA 90006"/>
        <s v="3950 Ingraham St, San Diego, CA 92109"/>
        <s v="6985 S. Centinela Avenue, Los Angeles, CA 90045"/>
        <s v="1178 N Edgemont St, Los Angeles, CA 90029"/>
        <s v="2780 N Texas St, Fairfield, CA 94533"/>
        <s v="1 Shoal Ct, Sacramento, CA 95831"/>
        <s v="2121 WOOD ST OAKLAND 94607"/>
      </sharedItems>
    </cacheField>
    <cacheField name="City's Cut" numFmtId="0">
      <sharedItems containsString="0" containsBlank="1" containsNumber="1" containsInteger="1">
        <m/>
        <n v="16850.0"/>
        <n v="15766.0"/>
        <n v="3600.0"/>
        <n v="10650.0"/>
        <n v="2250.0"/>
        <n v="7500.0"/>
        <n v="8400.0"/>
        <n v="4800.0"/>
        <n v="9150.0"/>
        <n v="22050.0"/>
        <n v="34050.0"/>
        <n v="11850.0"/>
        <n v="24900.0"/>
        <n v="23250.0"/>
        <n v="13350.0"/>
        <n v="9900.0"/>
        <n v="10350.0"/>
        <n v="16650.0"/>
        <n v="8700.0"/>
        <n v="15300.0"/>
        <n v="7800.0"/>
        <n v="24000.0"/>
        <n v="33750.0"/>
        <n v="11100.0"/>
        <n v="4200.0"/>
        <n v="6150.0"/>
        <n v="15600.0"/>
        <n v="7350.0"/>
        <n v="4350.0"/>
        <n v="3750.0"/>
        <n v="14700.0"/>
        <n v="13950.0"/>
        <n v="12000.0"/>
        <n v="7950.0"/>
        <n v="2500.0"/>
        <n v="35400.0"/>
        <n v="14850.0"/>
        <n v="60900.0"/>
        <n v="74775.0"/>
        <n v="72450.0"/>
        <n v="6000.0"/>
        <n v="34350.0"/>
        <n v="9300.0"/>
        <n v="21600.0"/>
        <n v="29700.0"/>
        <n v="22650.0"/>
        <n v="15000.0"/>
        <n v="28950.0"/>
        <n v="44400.0"/>
        <n v="24750.0"/>
        <n v="17250.0"/>
        <n v="10200.0"/>
        <n v="40500.0"/>
        <n v="28350.0"/>
        <n v="18300.0"/>
        <n v="16800.0"/>
        <n v="20400.0"/>
        <n v="22200.0"/>
        <n v="30450.0"/>
        <n v="98100.0"/>
        <n v="5250.0"/>
        <n v="4500.0"/>
        <n v="2850.0"/>
        <n v="4050.0"/>
        <n v="3000.0"/>
        <n v="7050.0"/>
        <n v="74025.0"/>
        <n v="2550.0"/>
        <n v="12600.0"/>
        <n v="34500.0"/>
        <n v="93600.0"/>
        <n v="24600.0"/>
        <n v="26550.0"/>
        <n v="27450.0"/>
        <n v="5550.0"/>
        <n v="28800.0"/>
        <n v="10800.0"/>
        <n v="7200.0"/>
        <n v="6450.0"/>
        <n v="5700.0"/>
        <n v="9000.0"/>
        <n v="10950.0"/>
        <n v="8250.0"/>
        <n v="8850.0"/>
        <n v="40800.0"/>
        <n v="5850.0"/>
        <n v="2700.0"/>
        <n v="6750.0"/>
        <n v="3450.0"/>
        <n v="11400.0"/>
        <n v="41700.0"/>
        <n v="17400.0"/>
        <n v="42900.0"/>
        <n v="17100.0"/>
        <n v="25500.0"/>
        <n v="27150.0"/>
        <n v="22800.0"/>
        <n v="15150.0"/>
        <n v="32400.0"/>
        <n v="18000.0"/>
        <n v="16500.0"/>
        <n v="43500.0"/>
        <n v="10050.0"/>
        <n v="6300.0"/>
        <n v="15900.0"/>
        <n v="4650.0"/>
        <n v="33150.0"/>
        <n v="57000.0"/>
        <n v="34800.0"/>
        <n v="10500.0"/>
        <n v="39600.0"/>
        <n v="5500.0"/>
        <n v="29550.0"/>
        <n v="18450.0"/>
        <n v="22500.0"/>
        <n v="31200.0"/>
        <n v="5100.0"/>
        <n v="14100.0"/>
        <n v="7650.0"/>
        <n v="9450.0"/>
        <n v="19800.0"/>
      </sharedItems>
    </cacheField>
    <cacheField name="Parcel Identified" numFmtId="0">
      <sharedItems containsBlank="1">
        <m/>
        <b v="1"/>
      </sharedItems>
    </cacheField>
    <cacheField name="Welfare Exemption On 2025 Roll" numFmtId="0">
      <sharedItems containsBlank="1">
        <m/>
        <b v="1"/>
        <b v="0"/>
      </sharedItems>
    </cacheField>
    <cacheField name="Total Roll Value" numFmtId="0">
      <sharedItems containsString="0" containsBlank="1" containsNumber="1" containsInteger="1">
        <m/>
        <n v="6.7860998E7"/>
        <n v="4.9668778E7"/>
        <n v="4447710.0"/>
        <n v="4156500.0"/>
        <n v="527950.0"/>
        <n v="1.7059601E7"/>
        <n v="9316117.0"/>
        <n v="7398189.0"/>
        <n v="1.731348E7"/>
        <n v="1.1783947E7"/>
        <n v="9142457.0"/>
        <n v="2856000.0"/>
        <n v="2013882.0"/>
        <n v="1360000.0"/>
        <n v="2.4257157E7"/>
        <n v="1.7116303E7"/>
        <n v="8706757.0"/>
        <n v="2.691486E7"/>
        <n v="1333447.0"/>
        <n v="3.246048E7"/>
        <n v="1.7952E7"/>
        <n v="1.6626E7"/>
        <n v="4.075E7"/>
        <n v="3.4425E7"/>
        <n v="8899678.0"/>
        <n v="1.09242E7"/>
        <n v="1.279692E7"/>
        <n v="9977564.0"/>
        <n v="2.56469E7"/>
        <n v="0.0"/>
        <n v="1.717E7"/>
        <n v="2.307E7"/>
        <n v="2.09E7"/>
        <n v="7050000.0"/>
        <n v="6580000.0"/>
        <n v="2.935E7"/>
        <n v="2.425E7"/>
        <n v="2.69E7"/>
        <n v="1275000.0"/>
        <n v="1326510.0"/>
        <n v="1.779084E7"/>
        <n v="3719558.0"/>
        <n v="429364.0"/>
        <n v="4.38E7"/>
        <n v="3.3879341E7"/>
        <n v="1298913.0"/>
        <n v="1.292E8"/>
        <n v="2.523625E8"/>
        <n v="1.3362E7"/>
        <n v="2509100.0"/>
        <n v="5.3339453E7"/>
        <n v="1.511181E7"/>
        <n v="5832864.0"/>
        <n v="1.2145525E7"/>
        <n v="9.4978083E7"/>
        <n v="1.7293255E7"/>
        <n v="3.183815E7"/>
        <n v="8.2453101E7"/>
        <n v="3.6559633E7"/>
        <n v="1.4702565E7"/>
        <n v="5.0937984E7"/>
        <n v="1144440.0"/>
        <n v="2850591.0"/>
        <n v="1.0616112E7"/>
        <n v="2065837.0"/>
        <n v="6.069E7"/>
        <n v="5.3482929E7"/>
        <n v="7802661.0"/>
        <n v="1.487772E7"/>
        <n v="1.7292725E7"/>
        <n v="3.4811784E7"/>
        <n v="2.524E7"/>
        <n v="7.3513835E7"/>
        <n v="3138751.0"/>
        <n v="3.0350548E7"/>
        <n v="2804259.0"/>
        <n v="1569525.0"/>
        <n v="2.22047798E8"/>
        <n v="3451872.0"/>
        <n v="5960901.0"/>
        <n v="595337.0"/>
        <n v="426520.0"/>
        <n v="1352393.0"/>
        <n v="689784.0"/>
        <n v="1363864.0"/>
        <n v="3002337.0"/>
        <n v="1.29082596E8"/>
        <n v="2.1864168E7"/>
        <n v="1.13197044E8"/>
        <n v="850000.0"/>
        <n v="1.3224803E7"/>
        <n v="2.9731674E8"/>
        <n v="4853048.0"/>
        <n v="4.5003808E7"/>
        <n v="4.6693244E7"/>
        <n v="5.1548563E7"/>
        <n v="1417800.0"/>
        <n v="7.3418537E7"/>
        <n v="2225000.0"/>
        <n v="1630000.0"/>
        <n v="2190000.0"/>
        <n v="1845000.0"/>
        <n v="4166030.0"/>
        <n v="4457073.0"/>
        <n v="7984000.0"/>
        <n v="7490880.0"/>
        <n v="1.0674504E7"/>
        <n v="7216214.0"/>
        <n v="7195628.0"/>
        <n v="4338468.0"/>
        <n v="6897851.0"/>
        <n v="8388848.0"/>
        <n v="4993920.0"/>
        <n v="3121200.0"/>
        <n v="1.0493522E7"/>
        <n v="1.420692E7"/>
        <n v="1.1906753E7"/>
        <n v="1.0012496E7"/>
        <n v="1.4209574E7"/>
        <n v="5.1313873E7"/>
        <n v="1.0140095E7"/>
        <n v="2688395.0"/>
        <n v="1.3742642E7"/>
        <n v="9710053.0"/>
        <n v="9200673.0"/>
        <n v="2895505.0"/>
        <n v="1.0516571E7"/>
        <n v="7089929.0"/>
        <n v="6547652.0"/>
        <n v="1.1471658E7"/>
        <n v="6452506.0"/>
        <n v="1.4010916E7"/>
        <n v="1387200.0"/>
        <n v="936360.0"/>
        <n v="2.69608107E8"/>
        <n v="3.0330305E7"/>
        <n v="943500.0"/>
        <n v="1206999.0"/>
        <n v="7.0919811E7"/>
        <n v="6.0096598E7"/>
        <n v="2.797906E7"/>
        <n v="800000.0"/>
        <n v="3454142.0"/>
        <n v="4558215.0"/>
        <n v="5831313.0"/>
        <n v="3524298.0"/>
        <n v="3.9317756E7"/>
        <n v="2.3346575E7"/>
        <n v="1.80060039E8"/>
        <n v="3.4848175E7"/>
        <n v="6.5613972E7"/>
        <n v="1.0673404E7"/>
        <n v="8.5170741E7"/>
        <n v="9082692.0"/>
        <n v="1.04843965E8"/>
        <n v="3.1718046E7"/>
        <n v="6.9647731E7"/>
        <n v="2.2728E7"/>
        <n v="2.6605309E7"/>
        <n v="3.8656726E7"/>
        <n v="4.275E7"/>
        <n v="1.1438021E7"/>
        <n v="1.20178213E8"/>
        <n v="4.1186542E7"/>
      </sharedItems>
    </cacheField>
    <cacheField name="Confirmed Exemption" numFmtId="0">
      <sharedItems containsString="0" containsBlank="1" containsNumber="1" containsInteger="1">
        <m/>
        <n v="6.7860998E7"/>
        <n v="4.9157189E7"/>
        <n v="4262686.0"/>
        <n v="4156500.0"/>
        <n v="527950.0"/>
        <n v="1.6718409E7"/>
        <n v="0.0"/>
        <n v="7089890.0"/>
        <n v="2.691486E7"/>
        <n v="1.5786989E7"/>
        <n v="1.6306781E7"/>
        <n v="3.1825913E7"/>
        <n v="1.0903361E7"/>
        <n v="1.2776081E7"/>
        <n v="2.3179668E7"/>
        <n v="4062807.0"/>
        <n v="1.0578326E7"/>
        <n v="1.088681E7"/>
        <n v="3659058.0"/>
        <n v="4088045.0"/>
        <n v="2.2352409E7"/>
        <n v="1.6429375E7"/>
        <n v="28000.0"/>
        <n v="4.1642082E7"/>
        <n v="1.6976485E7"/>
        <n v="1.8850147E7"/>
        <n v="4371074.0"/>
        <n v="5.3482929E7"/>
        <n v="936360.0"/>
        <n v="6.0096598E7"/>
        <n v="4.6831134E7"/>
        <n v="9419226.0"/>
        <n v="8.2808796E7"/>
      </sharedItems>
    </cacheField>
    <cacheField name="Best Estimate Exemption">
      <sharedItems containsBlank="1" containsMixedTypes="1" containsNumber="1">
        <m/>
        <n v="4.8922239884693876E7"/>
        <n v="3.5807134343877554E7"/>
        <n v="4002939.0"/>
        <n v="3688161.971830986"/>
        <n v="443478.0"/>
        <n v="1.53536409E7"/>
        <n v="3443636.1053571426"/>
        <n v="2704962.853125"/>
        <n v="1.5582132E7"/>
        <n v="1.06055523E7"/>
        <n v="8228211.3"/>
        <n v="1561762.0253164556"/>
        <n v="1812493.8"/>
        <n v="1224000.0"/>
        <n v="9811883.730337078"/>
        <n v="6301911.559090909"/>
        <n v="7836081.3"/>
        <n v="2.4223374E7"/>
        <n v="411869.4284023669"/>
        <n v="2.893079673786408E7"/>
        <n v="1.61568E7"/>
        <n v="1.49634E7"/>
        <n v="3.6675E7"/>
        <n v="3.09825E7"/>
        <n v="8009710.2"/>
        <n v="9438508.8"/>
        <n v="1.1120082206896553E7"/>
        <n v="8979807.6"/>
        <n v="2.308221E7"/>
        <n v="0.0"/>
        <n v="9509538.461538462"/>
        <n v="1.4130375E7"/>
        <n v="1.1364375E7"/>
        <n v="6100961.538461539"/>
        <n v="5694230.769230769"/>
        <n v="1.568890909090909E7"/>
        <n v="2.1825E7"/>
        <n v="2.421E7"/>
        <n v="1147500.0"/>
        <n v="922527.4090909092"/>
        <n v="3296538.0"/>
        <n v="1976509.8095744683"/>
        <n v="304848.44"/>
        <n v="3.942E7"/>
        <n v="3.0491406900000002E7"/>
        <n v="1169021.7"/>
        <n v="1.1628E8"/>
        <n v="2.2712625E8"/>
        <n v="1.1902584836065574E7"/>
        <n v="2203112.1951219514"/>
        <n v="4.80055077E7"/>
        <n v="1.3384746E7"/>
        <n v="5213373.616551724"/>
        <n v="1.09309725E7"/>
        <n v="3.4576290889887646E7"/>
        <n v="6233828.526525199"/>
        <n v="2.1643167925531916E7"/>
        <n v="3.844963259067358E7"/>
        <n v="3.29036697E7"/>
        <n v="1.32323085E7"/>
        <n v="6783068.2775510205"/>
        <n v="998784.0"/>
        <n v="2550076.888554217"/>
        <n v="9554500.8"/>
        <n v="1843225.2543103448"/>
        <n v="2.1977680473372784E7"/>
        <n v="4.778070495220588E7"/>
        <n v="7022394.9"/>
        <n v="1.3389948E7"/>
        <n v="1.55634525E7"/>
        <n v="2.2716E7"/>
        <n v="6.61624515E7"/>
        <n v="2212072.1333333333"/>
        <n v="2.73154932E7"/>
        <n v="2489495.234693878"/>
        <n v="1384321.05"/>
        <n v="1.9984301820000002E8"/>
        <n v="3020388.0"/>
        <n v="5191752.483870968"/>
        <n v="509013.135"/>
        <n v="370158.4285714286"/>
        <n v="1159194.0"/>
        <n v="599398.5103448275"/>
        <n v="1201905.1500000001"/>
        <n v="2605599.6107142856"/>
        <n v="1.161743364E8"/>
        <n v="1.96777512E7"/>
        <n v="1.0187733960000001E8"/>
        <n v="753913.0434782609"/>
        <n v="1.1902322700000001E7"/>
        <n v="2.67585066E8"/>
        <n v="4367743.2"/>
        <n v="4.05034272E7"/>
        <n v="4.20239196E7"/>
        <n v="4.63937067E7"/>
        <n v="1242440.5263157894"/>
        <n v="6.6076683300000004E7"/>
        <n v="2002500.0"/>
        <n v="1446625.0"/>
        <n v="1944000.0"/>
        <n v="1629169.811320755"/>
        <n v="3749427.0"/>
        <n v="4011365.7"/>
        <n v="7185600.0"/>
        <n v="6741792.0"/>
        <n v="9607053.6"/>
        <n v="6494592.600000001"/>
        <n v="6476065.2"/>
        <n v="3904621.2"/>
        <n v="6208065.9"/>
        <n v="7549963.2"/>
        <n v="4494528.0"/>
        <n v="2809080.0"/>
        <n v="9444169.8"/>
        <n v="1.2786228E7"/>
        <n v="1.0716077700000001E7"/>
        <n v="9011246.4"/>
        <n v="1.27886166E7"/>
        <n v="4.61824857E7"/>
        <n v="9126085.5"/>
        <n v="2419555.5"/>
        <n v="1.23683778E7"/>
        <n v="8739047.700000001"/>
        <n v="8280605.7"/>
        <n v="2605954.5"/>
        <n v="9464913.9"/>
        <n v="6380936.100000001"/>
        <n v="5892886.8"/>
        <n v="1.0324492200000001E7"/>
        <n v="5807255.4"/>
        <n v="1.26098244E7"/>
        <n v="1248480.0"/>
        <n v="842724.0"/>
        <n v="2537863.291139241"/>
        <n v="9.705891852E7"/>
        <n v="2.72972745E7"/>
        <n v="849150.0"/>
        <n v="1086299.1"/>
        <n v="6.38278299E7"/>
        <n v="5.40869382E7"/>
        <n v="2.5181154E7"/>
        <n v="720000.0"/>
        <n v="3108727.8000000003"/>
        <n v="4102393.5"/>
        <n v="5248181.7"/>
        <n v="3171868.2"/>
        <n v="3.53859804E7"/>
        <n v="2.10119175E7"/>
        <n v="7.262172527302904E7"/>
        <n v="3.13633575E7"/>
        <n v="5.9052574800000004E7"/>
        <n v="9606063.6"/>
        <n v="6.1211639629764065E7"/>
        <n v="8174422.8"/>
        <n v="3.8032683221938774E7"/>
        <n v="2.8546241400000002E7"/>
        <n v="2.1821371009556316E7"/>
        <n v="2.04552E7"/>
        <n v="2.39447781E7"/>
        <n v="3.47910534E7"/>
        <n v="7695000.0"/>
        <n v="1.02942189E7"/>
        <n v="3.2286684089552235E7"/>
        <n v="3.7067887800000004E7"/>
        <e v="#DIV/0!"/>
      </sharedItems>
    </cacheField>
    <cacheField name="Confirmed or Best Estimate Exemption" numFmtId="0">
      <sharedItems containsString="0" containsBlank="1" containsNumber="1">
        <m/>
        <n v="6.7860998E7"/>
        <n v="4.9157189E7"/>
        <n v="4262686.0"/>
        <n v="4156500.0"/>
        <n v="527950.0"/>
        <n v="1.6718409E7"/>
        <n v="3443636.1053571426"/>
        <n v="2704962.853125"/>
        <n v="1.5582132E7"/>
        <n v="1.06055523E7"/>
        <n v="8228211.3"/>
        <n v="1561762.0253164556"/>
        <n v="7089890.0"/>
        <n v="1224000.0"/>
        <n v="9811883.730337078"/>
        <n v="6301911.559090909"/>
        <n v="7836081.3"/>
        <n v="2.691486E7"/>
        <n v="411869.4284023669"/>
        <n v="2.893079673786408E7"/>
        <n v="1.5786989E7"/>
        <n v="1.6306781E7"/>
        <n v="3.6675E7"/>
        <n v="3.1825913E7"/>
        <n v="8009710.2"/>
        <n v="1.0903361E7"/>
        <n v="1.2776081E7"/>
        <n v="8979807.6"/>
        <n v="2.3179668E7"/>
        <n v="0.0"/>
        <n v="4062807.0"/>
        <n v="1.0578326E7"/>
        <n v="1.088681E7"/>
        <n v="3659058.0"/>
        <n v="4088045.0"/>
        <n v="2.2352409E7"/>
        <n v="1.6429375E7"/>
        <n v="2.421E7"/>
        <n v="1147500.0"/>
        <n v="922527.4090909092"/>
        <n v="3296538.0"/>
        <n v="1976509.8095744683"/>
        <n v="304848.44"/>
        <n v="3.942E7"/>
        <n v="3.0491406900000002E7"/>
        <n v="1169021.7"/>
        <n v="1.1628E8"/>
        <n v="28000.0"/>
        <n v="1.1902584836065574E7"/>
        <n v="2203112.1951219514"/>
        <n v="4.80055077E7"/>
        <n v="1.3384746E7"/>
        <n v="5213373.616551724"/>
        <n v="1.09309725E7"/>
        <n v="4.1642082E7"/>
        <n v="1.6976485E7"/>
        <n v="2.1643167925531916E7"/>
        <n v="3.844963259067358E7"/>
        <n v="1.8850147E7"/>
        <n v="4371074.0"/>
        <n v="6783068.2775510205"/>
        <n v="998784.0"/>
        <n v="2550076.888554217"/>
        <n v="9554500.8"/>
        <n v="1843225.2543103448"/>
        <n v="2.1977680473372784E7"/>
        <n v="5.3482929E7"/>
        <n v="7022394.9"/>
        <n v="1.3389948E7"/>
        <n v="1.55634525E7"/>
        <n v="2.2716E7"/>
        <n v="6.61624515E7"/>
        <n v="2212072.1333333333"/>
        <n v="2.73154932E7"/>
        <n v="2489495.234693878"/>
        <n v="1384321.05"/>
        <n v="1.9984301820000002E8"/>
        <n v="3020388.0"/>
        <n v="5191752.483870968"/>
        <n v="509013.135"/>
        <n v="370158.4285714286"/>
        <n v="1159194.0"/>
        <n v="599398.5103448275"/>
        <n v="1201905.1500000001"/>
        <n v="2605599.6107142856"/>
        <n v="1.161743364E8"/>
        <n v="1.96777512E7"/>
        <n v="1.0187733960000001E8"/>
        <n v="753913.0434782609"/>
        <n v="1.1902322700000001E7"/>
        <n v="2.67585066E8"/>
        <n v="4367743.2"/>
        <n v="4.05034272E7"/>
        <n v="4.20239196E7"/>
        <n v="4.63937067E7"/>
        <n v="1242440.5263157894"/>
        <n v="6.6076683300000004E7"/>
        <n v="2002500.0"/>
        <n v="1446625.0"/>
        <n v="1944000.0"/>
        <n v="1629169.811320755"/>
        <n v="3749427.0"/>
        <n v="4011365.7"/>
        <n v="7185600.0"/>
        <n v="6741792.0"/>
        <n v="9607053.6"/>
        <n v="6494592.600000001"/>
        <n v="6476065.2"/>
        <n v="3904621.2"/>
        <n v="6208065.9"/>
        <n v="7549963.2"/>
        <n v="4494528.0"/>
        <n v="2809080.0"/>
        <n v="9444169.8"/>
        <n v="1.2786228E7"/>
        <n v="1.0716077700000001E7"/>
        <n v="9011246.4"/>
        <n v="1.27886166E7"/>
        <n v="4.61824857E7"/>
        <n v="9126085.5"/>
        <n v="2419555.5"/>
        <n v="1.23683778E7"/>
        <n v="8739047.700000001"/>
        <n v="8280605.7"/>
        <n v="2605954.5"/>
        <n v="9464913.9"/>
        <n v="6380936.100000001"/>
        <n v="5892886.8"/>
        <n v="1.0324492200000001E7"/>
        <n v="5807255.4"/>
        <n v="1.26098244E7"/>
        <n v="1248480.0"/>
        <n v="936360.0"/>
        <n v="2537863.291139241"/>
        <n v="9.705891852E7"/>
        <n v="2.72972745E7"/>
        <n v="849150.0"/>
        <n v="1086299.1"/>
        <n v="6.38278299E7"/>
        <n v="6.0096598E7"/>
        <n v="2.5181154E7"/>
        <n v="720000.0"/>
        <n v="3108727.8000000003"/>
        <n v="4102393.5"/>
        <n v="5248181.7"/>
        <n v="3171868.2"/>
        <n v="3.53859804E7"/>
        <n v="2.10119175E7"/>
        <n v="7.262172527302904E7"/>
        <n v="3.13633575E7"/>
        <n v="5.9052574800000004E7"/>
        <n v="9606063.6"/>
        <n v="6.1211639629764065E7"/>
        <n v="8174422.8"/>
        <n v="3.8032683221938774E7"/>
        <n v="2.8546241400000002E7"/>
        <n v="4.6831134E7"/>
        <n v="2.04552E7"/>
        <n v="2.39447781E7"/>
        <n v="3.47910534E7"/>
        <n v="9419226.0"/>
        <n v="1.02942189E7"/>
        <n v="8.2808796E7"/>
        <n v="3.7067887800000004E7"/>
        <n v="6.0681517E7"/>
      </sharedItems>
    </cacheField>
    <cacheField name="Tax Rate" numFmtId="0">
      <sharedItems containsString="0" containsBlank="1" containsNumber="1">
        <m/>
        <n v="0.011873799999999999"/>
        <n v="0.0113"/>
        <n v="0.011211"/>
        <n v="0.0125114"/>
        <n v="0.012"/>
        <n v="0.011724"/>
        <n v="0.012779"/>
        <n v="0.011703300000000002"/>
        <n v="0.010783000000000001"/>
        <n v="0.011195"/>
        <n v="0.013851479999999998"/>
        <n v="0.012792"/>
        <n v="0.011785"/>
        <n v="0.01203757"/>
        <n v="0.012807649999999999"/>
        <n v="0.010839999999999999"/>
        <n v="0.011201000000000001"/>
        <n v="0.011454"/>
        <n v="0.011873000000000002"/>
        <n v="0.01206499"/>
        <n v="0.012323"/>
        <n v="0.012400999999999999"/>
        <n v="0.012330859999999999"/>
        <n v="0.011268"/>
        <n v="0.011015"/>
        <n v="0.011372"/>
        <n v="0.011162000000000002"/>
        <n v="0.011602000000000001"/>
        <n v="0.010941000000000001"/>
        <n v="0.014192"/>
        <n v="0.01175703"/>
        <n v="0.0116448"/>
        <n v="0.013231919999999998"/>
        <n v="0.010943999999999999"/>
        <n v="0.011874800000000001"/>
        <n v="0.011741"/>
        <n v="0.0115"/>
        <n v="0.0125"/>
        <n v="0.011322"/>
        <n v="0.011437000000000001"/>
        <n v="0.011355719999999998"/>
        <n v="0.010992"/>
        <n v="0.0114011"/>
        <n v="0.010471999999999999"/>
      </sharedItems>
    </cacheField>
    <cacheField name="Confirmed Annual Revenue Loss" numFmtId="0">
      <sharedItems containsString="0" containsBlank="1" containsNumber="1">
        <m/>
        <n v="0.0"/>
        <n v="50614.281026799996"/>
        <n v="46968.45"/>
        <n v="6268.772709999999"/>
        <n v="187430.08329900002"/>
        <n v="90601.70431"/>
        <n v="319581.66466799995"/>
        <n v="187451.5499882"/>
        <n v="193623.45623779998"/>
        <n v="440835.99740123993"/>
        <n v="129464.32784179998"/>
        <n v="151700.63057779998"/>
        <n v="273172.38738000003"/>
        <n v="48906.32365899"/>
        <n v="127337.33970781999"/>
        <n v="131050.73745169998"/>
        <n v="44046.16680906"/>
        <n v="49210.127850649995"/>
        <n v="269068.68800613"/>
        <n v="195079.11287499996"/>
        <n v="502411.30290918"/>
        <n v="201575.38759299996"/>
        <n v="233760.67294699998"/>
        <n v="53899.10154364"/>
        <n v="596976.453498"/>
        <n v="11118.151367999999"/>
        <n v="745257.911798"/>
      </sharedItems>
    </cacheField>
    <cacheField name="Best Estimate Annual Revenue Loss" numFmtId="0">
      <sharedItems containsString="0" containsBlank="1" containsNumber="1">
        <m/>
        <n v="0.0"/>
        <n v="50614.281026799996"/>
        <n v="46968.45"/>
        <n v="6268.772709999999"/>
        <n v="187430.08329900002"/>
        <n v="43084.70876856535"/>
        <n v="32459.5542375"/>
        <n v="182684.915568"/>
        <n v="125928.20689973999"/>
        <n v="97700.13533393998"/>
        <n v="18544.04993620253"/>
        <n v="90601.70431"/>
        <n v="14533.531199999998"/>
        <n v="125386.06218997751"/>
        <n v="75622.9387090909"/>
        <n v="93044.06213993998"/>
        <n v="319581.66466799995"/>
        <n v="4820.2314814214205"/>
        <n v="311960.7812243884"/>
        <n v="187451.5499882"/>
        <n v="193623.45623779998"/>
        <n v="410576.625"/>
        <n v="440835.99740123993"/>
        <n v="95105.69697276"/>
        <n v="129464.32784179998"/>
        <n v="151700.63057779998"/>
        <n v="114869.69881919998"/>
        <n v="273172.38738000003"/>
        <n v="48906.32365899"/>
        <n v="127337.33970781999"/>
        <n v="131050.73745169998"/>
        <n v="44046.16680906"/>
        <n v="49210.127850649995"/>
        <n v="269068.68800613"/>
        <n v="195079.11287499996"/>
        <n v="310073.2065"/>
        <n v="13625.185499999998"/>
        <n v="10953.905950063636"/>
        <n v="39142.4329044"/>
        <n v="23468.68217692532"/>
        <n v="3619.709406872"/>
        <n v="468065.19599999994"/>
        <n v="330526.850796"/>
        <n v="13880.729861459999"/>
        <n v="1301754.6"/>
        <n v="313.62800000000004"/>
        <n v="148917.99991795083"/>
        <n v="26159.313582439023"/>
        <n v="600616.1090377801"/>
        <n v="153308.880684"/>
        <n v="65226.60266612525"/>
        <n v="129783.43649250001"/>
        <n v="502411.30290918"/>
        <n v="201575.38759299996"/>
        <n v="266708.7583463298"/>
        <n v="461395.591088083"/>
        <n v="233760.67294699998"/>
        <n v="53899.10154364"/>
        <n v="76431.6133514449"/>
        <n v="11859.3614592"/>
        <n v="30279.102959315056"/>
        <n v="105242.82631200002"/>
        <n v="21886.08802463017"/>
        <n v="249930.1823431953"/>
        <n v="596976.453498"/>
        <n v="83382.51256362"/>
        <n v="158989.5645624"/>
        <n v="184797.3222945"/>
        <n v="248535.75600000002"/>
        <n v="793949.4180000001"/>
        <n v="26265.70209677333"/>
        <n v="341755.06162248"/>
        <n v="31147.070679348984"/>
        <n v="16437.15128349"/>
        <n v="2836172.1142944"/>
        <n v="35863.48303439999"/>
        <n v="61645.83064298709"/>
        <n v="6043.920162363"/>
        <n v="4395.187149171428"/>
        <n v="13764.037717199999"/>
        <n v="7117.138032132412"/>
        <n v="14271.18137007"/>
        <n v="30938.36865769928"/>
        <n v="1379430.8355463198"/>
        <n v="231351.911190936"/>
        <n v="1263380.8883796"/>
        <n v="8951.812695652172"/>
        <n v="138600.16737696002"/>
        <n v="3318322.4034659998"/>
        <n v="54164.3834232"/>
        <n v="535938.1084362239"/>
        <n v="459909.7761024"/>
        <n v="550915.9883211601"/>
        <n v="14752.49032136842"/>
        <n v="775806.3386253"/>
        <n v="23777.284499999998"/>
        <n v="17176.935924999998"/>
        <n v="23082.667199999996"/>
        <n v="19344.43650566038"/>
        <n v="44519.9463126"/>
        <n v="47630.15404866"/>
        <n v="85320.37727999999"/>
        <n v="80050.68984959999"/>
        <n v="114072.23303567998"/>
        <n v="77115.49361388"/>
        <n v="76895.50297176"/>
        <n v="46362.69120456"/>
        <n v="73713.33288342"/>
        <n v="89646.75304416"/>
        <n v="53367.126566399995"/>
        <n v="33354.454104"/>
        <n v="112138.18337124"/>
        <n v="151821.11402639997"/>
        <n v="127240.56339426"/>
        <n v="106997.73750431999"/>
        <n v="151849.47578507997"/>
        <n v="528974.1912078001"/>
        <n v="104949.98325"/>
        <n v="28729.3180959"/>
        <n v="146859.64432164"/>
        <n v="103765.70458026"/>
        <n v="98322.25596066"/>
        <n v="30942.582542099997"/>
        <n v="112384.49466581999"/>
        <n v="75765.95906418"/>
        <n v="69970.95928583998"/>
        <n v="122590.95548436"/>
        <n v="68954.18916852"/>
        <n v="149726.53296071998"/>
        <n v="14824.201823999998"/>
        <n v="11118.151367999999"/>
        <n v="30134.081146329114"/>
        <n v="1203627.6485665198"/>
        <n v="341215.93125"/>
        <n v="10082.63727"/>
        <n v="12898.498253579999"/>
        <n v="722658.6901278"/>
        <n v="745257.911798"/>
        <n v="287996.858298"/>
        <n v="8549.135999999999"/>
        <n v="37421.528503446"/>
        <n v="48710.9999403"/>
        <n v="62315.85986945999"/>
        <n v="37662.12863316"/>
        <n v="426931.49966619594"/>
        <n v="238605.45179309996"/>
        <n v="794554.2962122109"/>
        <n v="344746.02564"/>
        <n v="693336.2807268001"/>
        <n v="120075.795"/>
        <n v="697880.0245829031"/>
        <n v="214206.85439999998"/>
        <n v="407890.3100616"/>
      </sharedItems>
    </cacheField>
    <cacheField name="Link" numFmtId="0">
      <sharedItems containsBlank="1">
        <m/>
        <s v="https://www.1422on6th.com/"/>
        <s v="https://www.ethos-re.com/news/sofi-at-los-gatos-creek-adam-siegman-comments-on-affordable-housing"/>
        <s v="https://www.cmfa-ca.com/wp-content/uploads/2025/01/CMFA-Staff-Reports-01-10-25.pdf"/>
        <s v="https://rebusinessonline.com/sack-properties-belveron-partners-buy-164-unit-multifamily-property-in-san-jose-california/"/>
        <s v="https://vistria.com/vistria-real-estate-acquires-orange-county-apartment-community/"/>
        <s v="https://cscda.org/wp-content/uploads/2026/06/CSCDA-Agenda-Packet-7.2.26.pdf"/>
      </sharedItems>
    </cacheField>
    <cacheField name="Leasing Link" numFmtId="0">
      <sharedItems containsBlank="1">
        <m/>
        <s v="https://www.townhomesongadingapts.com/"/>
        <s v="https://www.electriclofts.com/"/>
        <s v="https://bridgehousing.com/properties/viewpoint/"/>
        <s v="https://www.losgatoslandingapts.com/"/>
        <s v="https://www.theheltsley.com/"/>
        <s v="https://www.camdenvillageapts.com/"/>
      </sharedItems>
    </cacheField>
    <cacheField name="New build?" numFmtId="0">
      <sharedItems containsBlank="1">
        <s v="NO"/>
        <m/>
        <s v="YES"/>
        <s v="NO/YES"/>
      </sharedItems>
    </cacheField>
    <cacheField name="Built">
      <sharedItems containsBlank="1" containsMixedTypes="1" containsNumber="1" containsInteger="1">
        <n v="1988.0"/>
        <m/>
        <n v="2023.0"/>
        <n v="2020.0"/>
        <n v="2021.0"/>
        <n v="1969.0"/>
        <n v="1989.0"/>
        <n v="1997.0"/>
        <n v="2004.0"/>
        <n v="2008.0"/>
        <n v="1987.0"/>
        <n v="1965.0"/>
        <n v="1984.0"/>
        <s v="1973/1991"/>
        <n v="1978.0"/>
        <n v="1964.0"/>
        <n v="2016.0"/>
        <n v="1972.0"/>
        <n v="1981.0"/>
        <n v="1929.0"/>
        <n v="1990.0"/>
        <n v="1974.0"/>
        <n v="1980.0"/>
      </sharedItems>
    </cacheField>
    <cacheField name="Acquisition Price (M)" numFmtId="0">
      <sharedItems containsString="0" containsBlank="1" containsNumber="1">
        <m/>
        <n v="1.76E7"/>
        <n v="1.63E7"/>
        <n v="1.717E7"/>
        <n v="5390000.0"/>
        <n v="61.1"/>
        <n v="410.0"/>
      </sharedItems>
    </cacheField>
    <cacheField name="Acquisition Date" numFmtId="0">
      <sharedItems containsDate="1" containsString="0" containsBlank="1">
        <m/>
        <d v="2024-06-28T00:00:00Z"/>
        <d v="2024-06-13T00:00:00Z"/>
        <d v="2024-09-12T00:00:00Z"/>
        <d v="2024-12-31T00:00:00Z"/>
        <d v="2024-12-05T00:00:00Z"/>
        <d v="2025-09-03T00:00:00Z"/>
        <d v="2025-08-27T00:00:00Z"/>
        <d v="2025-08-29T00:00:00Z"/>
      </sharedItems>
    </cacheField>
    <cacheField name="Regulatory Term" numFmtId="0">
      <sharedItems containsString="0" containsBlank="1" containsNumber="1" containsInteger="1">
        <m/>
        <n v="15.0"/>
        <n v="10.0"/>
        <n v="20.0"/>
        <n v="55.0"/>
      </sharedItems>
    </cacheField>
    <cacheField name="Closing Fee" numFmtId="165">
      <sharedItems containsString="0" containsBlank="1" containsNumber="1" containsInteger="1">
        <n v="100200.0"/>
        <n v="117600.0"/>
        <n v="14400.0"/>
        <n v="42600.0"/>
        <n v="10000.0"/>
        <n v="28800.0"/>
        <n v="33600.0"/>
        <n v="19200.0"/>
        <n v="36600.0"/>
        <n v="88200.0"/>
        <n v="136200.0"/>
        <n v="47400.0"/>
        <n v="99600.0"/>
        <n v="92400.0"/>
        <n v="53400.0"/>
        <n v="39600.0"/>
        <n v="41400.0"/>
        <n v="66600.0"/>
        <n v="101400.0"/>
        <n v="61800.0"/>
        <n v="34800.0"/>
        <n v="31200.0"/>
        <n v="96000.0"/>
        <n v="135000.0"/>
        <n v="44400.0"/>
        <n v="15000.0"/>
        <n v="17400.0"/>
        <n v="24600.0"/>
        <n v="62400.0"/>
        <n v="43200.0"/>
        <n v="15600.0"/>
        <n v="99000.0"/>
        <n v="55800.0"/>
        <n v="48000.0"/>
        <n v="31800.0"/>
        <n v="40800.0"/>
        <n v="112800.0"/>
        <n v="54000.0"/>
        <n v="141600.0"/>
        <n v="59400.0"/>
        <n v="243600.0"/>
        <n v="418200.0"/>
        <n v="292800.0"/>
        <n v="137400.0"/>
        <n v="37800.0"/>
        <n v="87000.0"/>
        <n v="118800.0"/>
        <n v="213600.0"/>
        <n v="226200.0"/>
        <n v="56400.0"/>
        <n v="115800.0"/>
        <n v="177600.0"/>
        <n v="19800.0"/>
        <n v="69600.0"/>
        <n v="163200.0"/>
        <n v="30000.0"/>
        <n v="113400.0"/>
        <n v="73200.0"/>
        <n v="67200.0"/>
        <n v="81600.0"/>
        <n v="121800.0"/>
        <n v="604800.0"/>
        <n v="21600.0"/>
        <n v="18600.0"/>
        <n v="12000.0"/>
        <n v="16800.0"/>
        <n v="12600.0"/>
        <n v="412200.0"/>
        <n v="50400.0"/>
        <n v="138000.0"/>
        <n v="568800.0"/>
        <n v="98400.0"/>
        <n v="106200.0"/>
        <n v="88800.0"/>
        <n v="109800.0"/>
        <n v="22800.0"/>
        <n v="115200.0"/>
        <n v="43800.0"/>
        <n v="16200.0"/>
        <n v="29400.0"/>
        <n v="25800.0"/>
        <n v="25200.0"/>
        <n v="24000.0"/>
        <n v="36000.0"/>
        <n v="33000.0"/>
        <n v="35400.0"/>
        <n v="22200.0"/>
        <n v="9600.0"/>
        <n v="18000.0"/>
        <n v="23400.0"/>
        <n v="10800.0"/>
        <n v="27000.0"/>
        <n v="13800.0"/>
        <n v="45600.0"/>
        <n v="285000.0"/>
        <n v="166800.0"/>
        <n v="66000.0"/>
        <n v="171600.0"/>
        <n v="68400.0"/>
        <n v="102000.0"/>
        <n v="108600.0"/>
        <n v="91200.0"/>
        <n v="60600.0"/>
        <n v="289200.0"/>
        <n v="72000.0"/>
        <n v="255300.0"/>
        <n v="174000.0"/>
        <n v="40200.0"/>
        <n v="63600.0"/>
        <n v="20000.0"/>
        <n v="132600.0"/>
        <n v="42000.0"/>
        <n v="175800.0"/>
        <n v="276000.0"/>
        <n v="139200.0"/>
        <n v="261600.0"/>
        <n v="60000.0"/>
        <n v="158400.0"/>
        <n v="118200.0"/>
        <n v="97200.0"/>
        <n v="81000.0"/>
        <n v="90000.0"/>
        <n v="124800.0"/>
        <n v="73800.0"/>
        <n v="126600.0"/>
        <n v="210600.0"/>
        <n v="48600.0"/>
        <n v="20400.0"/>
        <n v="38400.0"/>
        <n v="180600.0"/>
        <n v="79200.0"/>
        <m/>
      </sharedItems>
    </cacheField>
    <cacheField name="CMFA Annual Fee" numFmtId="165">
      <sharedItems containsString="0" containsBlank="1" containsNumber="1" containsInteger="1">
        <n v="25050.0"/>
        <n v="29400.0"/>
        <n v="4000.0"/>
        <n v="10650.0"/>
        <n v="7200.0"/>
        <n v="8400.0"/>
        <n v="4800.0"/>
        <n v="9150.0"/>
        <n v="22050.0"/>
        <n v="34050.0"/>
        <n v="11850.0"/>
        <n v="24900.0"/>
        <n v="23100.0"/>
        <n v="13350.0"/>
        <n v="9900.0"/>
        <n v="10350.0"/>
        <n v="16650.0"/>
        <n v="25350.0"/>
        <n v="15450.0"/>
        <n v="8700.0"/>
        <n v="7800.0"/>
        <n v="24000.0"/>
        <n v="33750.0"/>
        <n v="11100.0"/>
        <n v="4350.0"/>
        <n v="6150.0"/>
        <n v="15600.0"/>
        <n v="10800.0"/>
        <n v="3900.0"/>
        <n v="24750.0"/>
        <n v="13950.0"/>
        <n v="12000.0"/>
        <n v="7950.0"/>
        <n v="10200.0"/>
        <n v="28200.0"/>
        <n v="13500.0"/>
        <n v="35400.0"/>
        <n v="14850.0"/>
        <n v="60900.0"/>
        <n v="104550.0"/>
        <n v="73200.0"/>
        <n v="34350.0"/>
        <n v="9450.0"/>
        <n v="21750.0"/>
        <n v="29700.0"/>
        <n v="53400.0"/>
        <n v="56550.0"/>
        <n v="14100.0"/>
        <n v="28950.0"/>
        <n v="44400.0"/>
        <n v="4950.0"/>
        <n v="17400.0"/>
        <n v="40800.0"/>
        <n v="7500.0"/>
        <n v="28350.0"/>
        <n v="18300.0"/>
        <n v="16800.0"/>
        <n v="20400.0"/>
        <n v="30450.0"/>
        <n v="151200.0"/>
        <n v="5400.0"/>
        <n v="4650.0"/>
        <n v="4200.0"/>
        <n v="103050.0"/>
        <n v="12600.0"/>
        <n v="34500.0"/>
        <n v="142200.0"/>
        <n v="24600.0"/>
        <n v="26550.0"/>
        <n v="22200.0"/>
        <n v="27450.0"/>
        <n v="5700.0"/>
        <n v="28800.0"/>
        <n v="10950.0"/>
        <n v="4050.0"/>
        <n v="7350.0"/>
        <n v="6450.0"/>
        <n v="6300.0"/>
        <n v="6000.0"/>
        <n v="9000.0"/>
        <n v="8250.0"/>
        <n v="8850.0"/>
        <n v="5550.0"/>
        <n v="4500.0"/>
        <n v="5850.0"/>
        <n v="6750.0"/>
        <n v="11400.0"/>
        <n v="71250.0"/>
        <n v="41700.0"/>
        <n v="16500.0"/>
        <n v="42900.0"/>
        <n v="17100.0"/>
        <n v="25500.0"/>
        <n v="27150.0"/>
        <n v="22800.0"/>
        <n v="15150.0"/>
        <n v="72300.0"/>
        <n v="18000.0"/>
        <n v="63825.0"/>
        <n v="43500.0"/>
        <n v="10050.0"/>
        <n v="15900.0"/>
        <n v="5000.0"/>
        <n v="33150.0"/>
        <n v="10500.0"/>
        <n v="43950.0"/>
        <n v="69000.0"/>
        <n v="34800.0"/>
        <n v="65400.0"/>
        <n v="15000.0"/>
        <n v="39600.0"/>
        <n v="29550.0"/>
        <n v="24300.0"/>
        <n v="20250.0"/>
        <n v="22500.0"/>
        <n v="31200.0"/>
        <n v="18450.0"/>
        <n v="31650.0"/>
        <n v="52650.0"/>
        <n v="12150.0"/>
        <n v="5100.0"/>
        <n v="9600.0"/>
        <n v="45150.0"/>
        <n v="19800.0"/>
        <m/>
      </sharedItems>
    </cacheField>
    <cacheField name="YEARS IN SERVICE">
      <sharedItems containsBlank="1" containsMixedTypes="1" containsNumber="1" containsInteger="1">
        <s v="-"/>
        <n v="2.0"/>
        <n v="0.0"/>
        <n v="1.0"/>
        <m/>
        <s v="0"/>
      </sharedItems>
    </cacheField>
    <cacheField name="ANNUAL FEES PAID">
      <sharedItems containsBlank="1" containsMixedTypes="1" containsNumber="1" containsInteger="1">
        <e v="#VALUE!"/>
        <n v="8000.0"/>
        <n v="21300.0"/>
        <n v="14400.0"/>
        <n v="16800.0"/>
        <n v="9600.0"/>
        <n v="18300.0"/>
        <n v="44100.0"/>
        <n v="68100.0"/>
        <n v="23700.0"/>
        <n v="0.0"/>
        <n v="46200.0"/>
        <n v="26700.0"/>
        <n v="19800.0"/>
        <n v="20700.0"/>
        <n v="33300.0"/>
        <n v="30900.0"/>
        <n v="17400.0"/>
        <n v="15600.0"/>
        <n v="48000.0"/>
        <n v="67500.0"/>
        <n v="4000.0"/>
        <n v="4350.0"/>
        <n v="6150.0"/>
        <n v="7800.0"/>
        <n v="10800.0"/>
        <n v="7200.0"/>
        <n v="3900.0"/>
        <n v="24750.0"/>
        <n v="13950.0"/>
        <n v="12000.0"/>
        <n v="35400.0"/>
        <n v="14850.0"/>
        <n v="60900.0"/>
        <n v="104550.0"/>
        <n v="34350.0"/>
        <n v="9450.0"/>
        <n v="21750.0"/>
        <n v="29700.0"/>
        <n v="53400.0"/>
        <n v="14100.0"/>
        <n v="28950.0"/>
        <n v="44400.0"/>
        <n v="4950.0"/>
        <n v="4800.0"/>
        <n v="25350.0"/>
        <n v="40800.0"/>
        <n v="7500.0"/>
        <n v="28350.0"/>
        <n v="20400.0"/>
        <n v="30450.0"/>
        <n v="151200.0"/>
        <n v="103050.0"/>
        <m/>
      </sharedItems>
    </cacheField>
    <cacheField name="SCC FILED?" numFmtId="0">
      <sharedItems containsBlank="1">
        <b v="1"/>
        <e v="#N/A"/>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N899" sheet="CMFA-CSCDA Grants"/>
  </cacheSource>
  <cacheFields>
    <cacheField name="Project ID" numFmtId="0">
      <sharedItems containsString="0" containsBlank="1" containsNumber="1" containsInteger="1">
        <n v="238.0"/>
        <n v="192.0"/>
        <n v="193.0"/>
        <n v="1.0"/>
        <n v="4.0"/>
        <n v="2.0"/>
        <n v="3.0"/>
        <n v="5.0"/>
        <n v="6.0"/>
        <n v="7.0"/>
        <n v="8.0"/>
        <n v="9.0"/>
        <n v="10.0"/>
        <n v="11.0"/>
        <n v="12.0"/>
        <n v="14.0"/>
        <n v="13.0"/>
        <n v="15.0"/>
        <n v="17.0"/>
        <n v="16.0"/>
        <n v="18.0"/>
        <n v="20.0"/>
        <n v="21.0"/>
        <n v="19.0"/>
        <n v="22.0"/>
        <n v="23.0"/>
        <n v="24.0"/>
        <n v="25.0"/>
        <n v="34.0"/>
        <n v="35.0"/>
        <n v="33.0"/>
        <n v="27.0"/>
        <n v="28.0"/>
        <n v="29.0"/>
        <n v="30.0"/>
        <n v="31.0"/>
        <n v="32.0"/>
        <n v="26.0"/>
        <n v="36.0"/>
        <n v="37.0"/>
        <n v="39.0"/>
        <n v="40.0"/>
        <n v="41.0"/>
        <n v="42.0"/>
        <n v="38.0"/>
        <n v="43.0"/>
        <n v="46.0"/>
        <n v="45.0"/>
        <n v="48.0"/>
        <n v="47.0"/>
        <n v="44.0"/>
        <n v="50.0"/>
        <n v="52.0"/>
        <n v="51.0"/>
        <n v="53.0"/>
        <n v="54.0"/>
        <n v="55.0"/>
        <n v="56.0"/>
        <n v="59.0"/>
        <n v="57.0"/>
        <n v="58.0"/>
        <n v="60.0"/>
        <n v="64.0"/>
        <n v="61.0"/>
        <n v="63.0"/>
        <n v="62.0"/>
        <n v="67.0"/>
        <n v="65.0"/>
        <n v="66.0"/>
        <n v="69.0"/>
        <n v="68.0"/>
        <n v="70.0"/>
        <n v="71.0"/>
        <n v="72.0"/>
        <n v="73.0"/>
        <n v="75.0"/>
        <n v="74.0"/>
        <n v="76.0"/>
        <n v="78.0"/>
        <n v="80.0"/>
        <n v="81.0"/>
        <n v="82.0"/>
        <n v="83.0"/>
        <n v="84.0"/>
        <n v="79.0"/>
        <n v="85.0"/>
        <n v="86.0"/>
        <n v="87.0"/>
        <n v="77.0"/>
        <n v="90.0"/>
        <n v="89.0"/>
        <n v="158.0"/>
        <n v="88.0"/>
        <n v="97.0"/>
        <n v="96.0"/>
        <n v="95.0"/>
        <n v="92.0"/>
        <n v="93.0"/>
        <n v="94.0"/>
        <n v="91.0"/>
        <n v="98.0"/>
        <n v="99.0"/>
        <n v="100.0"/>
        <n v="101.0"/>
        <n v="102.0"/>
        <n v="103.0"/>
        <n v="104.0"/>
        <n v="105.0"/>
        <n v="106.0"/>
        <n v="107.0"/>
        <n v="108.0"/>
        <n v="109.0"/>
        <n v="110.0"/>
        <n v="111.0"/>
        <n v="112.0"/>
        <n v="113.0"/>
        <n v="114.0"/>
        <n v="115.0"/>
        <n v="116.0"/>
        <n v="117.0"/>
        <n v="118.0"/>
        <n v="119.0"/>
        <n v="120.0"/>
        <n v="131.0"/>
        <n v="160.0"/>
        <n v="121.0"/>
        <n v="122.0"/>
        <n v="123.0"/>
        <n v="124.0"/>
        <n v="125.0"/>
        <n v="126.0"/>
        <n v="127.0"/>
        <n v="128.0"/>
        <n v="129.0"/>
        <n v="130.0"/>
        <n v="135.0"/>
        <n v="134.0"/>
        <n v="132.0"/>
        <n v="136.0"/>
        <n v="141.0"/>
        <n v="137.0"/>
        <n v="142.0"/>
        <n v="143.0"/>
        <n v="140.0"/>
        <n v="139.0"/>
        <n v="138.0"/>
        <n v="146.0"/>
        <n v="147.0"/>
        <n v="148.0"/>
        <n v="149.0"/>
        <n v="150.0"/>
        <n v="151.0"/>
        <n v="152.0"/>
        <n v="153.0"/>
        <n v="154.0"/>
        <n v="155.0"/>
        <n v="156.0"/>
        <n v="145.0"/>
        <n v="157.0"/>
        <n v="159.0"/>
        <n v="161.0"/>
        <n v="162.0"/>
        <n v="163.0"/>
        <n v="164.0"/>
        <n v="165.0"/>
        <n v="166.0"/>
        <n v="167.0"/>
        <n v="168.0"/>
        <n v="169.0"/>
        <n v="170.0"/>
        <n v="171.0"/>
        <n v="172.0"/>
        <n v="173.0"/>
        <n v="174.0"/>
        <n v="175.0"/>
        <n v="176.0"/>
        <n v="177.0"/>
        <n v="178.0"/>
        <n v="179.0"/>
        <n v="180.0"/>
        <n v="191.0"/>
        <n v="189.0"/>
        <n v="181.0"/>
        <n v="182.0"/>
        <n v="183.0"/>
        <n v="184.0"/>
        <n v="185.0"/>
        <n v="186.0"/>
        <n v="190.0"/>
        <n v="144.0"/>
        <n v="195.0"/>
        <n v="194.0"/>
        <n v="187.0"/>
        <n v="196.0"/>
        <n v="200.0"/>
        <n v="197.0"/>
        <n v="198.0"/>
        <n v="199.0"/>
        <n v="201.0"/>
        <n v="207.0"/>
        <n v="208.0"/>
        <n v="49.0"/>
        <n v="188.0"/>
        <n v="202.0"/>
        <n v="205.0"/>
        <n v="203.0"/>
        <n v="204.0"/>
        <n v="206.0"/>
        <n v="224.0"/>
        <n v="209.0"/>
        <n v="210.0"/>
        <n v="226.0"/>
        <n v="228.0"/>
        <n v="230.0"/>
        <n v="232.0"/>
        <n v="222.0"/>
        <n v="216.0"/>
        <n v="217.0"/>
        <n v="215.0"/>
        <n v="211.0"/>
        <n v="212.0"/>
        <n v="213.0"/>
        <n v="214.0"/>
        <n v="218.0"/>
        <n v="219.0"/>
        <n v="220.0"/>
        <n v="221.0"/>
        <n v="229.0"/>
        <n v="231.0"/>
        <n v="233.0"/>
        <n v="234.0"/>
        <n v="235.0"/>
        <n v="236.0"/>
        <n v="237.0"/>
        <n v="225.0"/>
        <n v="227.0"/>
        <n v="223.0"/>
        <m/>
      </sharedItems>
    </cacheField>
    <cacheField name="Property Name" numFmtId="0">
      <sharedItems containsBlank="1">
        <s v="Heritage Park Apartments Livermore"/>
        <s v="Heritage Village Anaheim Apartments"/>
        <s v="Heritage Park Escondido Apartments"/>
        <s v="Alvarado Streets Apartments"/>
        <s v="Bernardine Apartments"/>
        <s v="2025 New Jersey Apartments"/>
        <s v="Mariposa Club Apartments"/>
        <s v="City View aka Outlook at Mission Valley&#10;Apartments"/>
        <s v="381 Turk Street Apartment"/>
        <s v="Townhomes at Gading Apartments"/>
        <s v="1317 S. Grand Apartments"/>
        <s v="1411 S. Flower Apartments"/>
        <s v="7518 Hoover St. Apartments"/>
        <s v="820 MacArthur Apartments"/>
        <s v="The Waterloo Apartments"/>
        <s v="Electric Lofts Apartments"/>
        <s v="275 Turk Street Apartments"/>
        <s v="Premiere Hollywood Apartments"/>
        <s v="4252 Crenshaw Apartments"/>
        <s v="Montessa Apartments"/>
        <s v="Fallbrook Trail Apartments"/>
        <s v="Pinetree Terrace Apartments"/>
        <s v="Windmere Court Apartments"/>
        <s v="The Arbors Apartments"/>
        <s v="Seville Gardens Apartments"/>
        <s v="Harbour Residences Apartments"/>
        <s v="4209 Western Avenue Apartments"/>
        <s v="1130 Martin Luther King Jr. Blvd Apartments"/>
        <s v="Appian Terrace Apartments"/>
        <s v="Sierra Park Apartments"/>
        <s v="7524 S. Hoover St. Apartments"/>
        <s v="Santa Monica Portfolio A Apartments"/>
        <s v="Santa Monica Portfolio B Apartments"/>
        <s v="Santa Monica Portfolio C Apartments"/>
        <s v="Santa Monica Portfolio D Apartments"/>
        <s v="Santa Monica Portfolio E Apartments"/>
        <s v="Santa Monica Portfolio F Apartments"/>
        <s v="Harbor Terrace Apartments"/>
        <s v="Stadium Village Apartments"/>
        <s v="2330 E. 3rd Street Apartments"/>
        <s v="6200 S. Broadway Apartments"/>
        <s v="4228 Western Ave. Apartments"/>
        <s v="4327 S. Vermont Apartments"/>
        <s v="2023 Imperial Apartments"/>
        <s v="Marquee Apartments"/>
        <s v="Meridian Apartments"/>
        <s v="4752 Main Street Apartments"/>
        <s v="Horizon Apartments"/>
        <s v="Hillsdale Gardens Apartments"/>
        <s v="6171 Mission Gorge Apartments"/>
        <s v="Soto Apartments"/>
        <s v="Market Street Village Apartments"/>
        <s v="The Carla Apartments"/>
        <s v="Creekside Villas Apartments"/>
        <s v="Skylark Place by Trion Living Apartments"/>
        <s v="Seaport Village Apartments"/>
        <s v="1457 Main Street Apartments"/>
        <s v="Viewpoint Apartments"/>
        <s v="Ventana Residences Apartments"/>
        <s v="SoFi Los Gatos Creek Apartments"/>
        <s v="Chaparral Apartments"/>
        <s v="HARKEN APARTMENTS"/>
        <s v="333 Douglas Apartments"/>
        <s v="11422 Broadway Apartments"/>
        <s v="The Enclave Apartments"/>
        <s v="Mansfield Micro Apartments"/>
        <s v="Coronado Palms Apartments"/>
        <s v="Casa La Palma Apartments"/>
        <s v="The Eaves Apartments"/>
        <s v="Lindley Parc Apartments"/>
        <s v="Candlewood North Apartments"/>
        <s v="Terrace View Apartments"/>
        <s v="SoFi Redwood Park Apartments"/>
        <s v="Waterbend Apartments"/>
        <s v="1540 W Court Apartments"/>
        <s v="Palmilla Apartments"/>
        <s v="Sol Haus Apartments"/>
        <s v="1451 W. MLK Boulevard Apartments"/>
        <s v="Bella Vista at Hilltop Apartments"/>
        <s v="4101 Somerset Dr. Apartments"/>
        <s v="321 E. Florence Apartments"/>
        <s v="9300 Compton Ave. Apartments"/>
        <s v="6401 S. Avalon Blvd. Apartments"/>
        <s v="9515 Compton Ave. Apartments"/>
        <s v="10811 S. Compton Ave Apartments"/>
        <s v="569 W. 6th Street Apartments"/>
        <s v="685 W. 4th St Apartments"/>
        <s v="Chadwick Apartments"/>
        <s v="11630 S. Main Street Apartments"/>
        <s v="Pacific Trails Apartments"/>
        <s v="LINQ Apartments"/>
        <s v="Kalmia Apartments"/>
        <s v="Chatsworth Apartments"/>
        <s v="Azusa Gardens Apartments"/>
        <s v="Park Kiely Apartments"/>
        <s v="Fountain Park Apartments"/>
        <s v="The Parker Apartments"/>
        <s v="Canyon Ridge at Napa Junction Apartments"/>
        <s v="Canyon Villa Apartment Homes"/>
        <s v="Huston Affordable Housing Apartments"/>
        <s v="Camden Village Apartments"/>
        <s v="Passo Barrington Apartments"/>
        <s v="Passo Centinela I Apartments"/>
        <s v="Passo Centinela II Apartments"/>
        <s v="Passo Stoner Apartments"/>
        <s v="4th Street Apartments"/>
        <s v="Alexandria I Apartments"/>
        <s v="Ashby Apartments"/>
        <s v="Catalina Apartments"/>
        <s v="Edgemont Apartments"/>
        <s v="Gramercy Apartments"/>
        <s v="Irolo Apartments"/>
        <s v="Kenmore I Apartments"/>
        <s v="Manhattan III Apartments"/>
        <s v="Mariposa II Apartments"/>
        <s v="Normandie Apartments"/>
        <s v="Norton Apartments"/>
        <s v="Oxford I Apartments"/>
        <s v="Oxford III Apartments"/>
        <s v="Seven Lions Apartments"/>
        <s v="St. Andrews I Apartments"/>
        <s v="St. Andrews II Apartments"/>
        <s v="The Falls at Arden Apartments"/>
        <s v="Citrine Apartments"/>
        <s v="12th Street Apartments"/>
        <s v="Alexandria II Apartments"/>
        <s v="Fedora Apartments"/>
        <s v="Kenmore II Apartments"/>
        <s v="Kenmore III Apartments"/>
        <s v="Kingsley Apartments"/>
        <s v="Mariposa I Apartments"/>
        <s v="Mariposa III Apartments"/>
        <s v="Mariposa IV Apartments"/>
        <s v="Oxford II Apartments"/>
        <s v="Western Apartments"/>
        <s v="236 Berendo Apartments"/>
        <s v="10705 Avalon Blvd Apartments"/>
        <s v="7524 S. Hoover St Apartments"/>
        <s v="Ascent Apartments"/>
        <s v="Renaissance Apartment Homes"/>
        <s v="Kittridge Affordable Housing Apartments"/>
        <s v="9033 Ramsgate Apartments"/>
        <s v="Coliseum Transit Village"/>
        <s v="The Crossings Apartments"/>
        <s v="Thornbridge Apartments"/>
        <s v="Montecito Apartments"/>
        <s v="San Pedro Apartments"/>
        <s v="Coliseum Connections"/>
        <s v="Park Wilshire Apartments"/>
        <s v="Sir Francis Drake Villa Apartments"/>
        <s v="Langham Apartments"/>
        <s v="Piccadilly Apartments"/>
        <s v="The Hive at Ackerfield Apartments"/>
        <s v="Hawaiian Terrace Senior Apartments"/>
        <s v="Crystal Springs Terrace"/>
        <s v="Trailview Apartments"/>
        <s v="Casa Serena Apartments"/>
        <s v="Golden Gardens Apartments"/>
        <s v="Hendrix and Hadley Apartments"/>
        <s v="1141 N. Vermont Avenue Apartments"/>
        <s v="8th Street Apartments"/>
        <s v="Ardmore Apartments"/>
        <s v="Avalon Apartments"/>
        <s v="Harvard Apartments"/>
        <s v="Hollywood Apartments"/>
        <s v="Kinglsey Apartments"/>
        <s v="Lexington Apartments"/>
        <s v="Manhattan I &amp; II Apartments"/>
        <s v="Monte Vista Apartments"/>
        <s v="Parkview Apartments"/>
        <s v="Westmoreland Apartments"/>
        <s v="Highland Gardens Apartments"/>
        <s v="The Colonnade Apartments"/>
        <s v="The Hive Apartments"/>
        <s v="1451 W MLK BLVD Apartments"/>
        <s v="4256 Whittier Blvd Apartments"/>
        <s v="225 W 25th Apartments"/>
        <s v="9422 Firth Avenue Apartments"/>
        <s v="4008 Martin Luther King Blvd Apartments"/>
        <s v="Highlands Point Apartments"/>
        <s v="La Vista Apartment Homes"/>
        <s v="1723 Corinth Apartments"/>
        <s v="3751 Delmas Terrace Apartments"/>
        <s v="Bentley Parke Apartments"/>
        <s v="The Dream Apartments"/>
        <s v="1408 Jefferson Apartments"/>
        <s v="12342 Osborne Place Apartments"/>
        <s v="220 Humboldt Ct. Apartments"/>
        <s v="Baird Affordable Housing Apartments"/>
        <s v="Villa Del Sol Senior Apartments"/>
        <s v="Cullen Living Apartments"/>
        <s v="Sawtelle 2481 Apartments"/>
        <s v="Summerwood Apartments Homes Apartments"/>
        <s v="Del Norte Place Apartments"/>
        <s v="La Posada Apartments"/>
        <s v="Bent Tree Apartments"/>
        <s v="Hazelhurst Affordable Housing Apartments"/>
        <s v="Elan River Village Apartments"/>
        <s v="1454 Florence Apartments"/>
        <s v="Bluwater Crossing Apartments"/>
        <s v="California Place Apartments"/>
        <s v="Maris at Martinez Apartments"/>
        <s v="Colden Oaks Apartments"/>
        <s v="Hansen illage Apartments"/>
        <s v="Crystal View Apartments"/>
        <s v="Bayfair Apartments"/>
        <s v="Guava Gardens Apartments"/>
        <s v="Park View by Angeleno Apartments"/>
        <s v="511 Hoover Street Apartments"/>
        <s v="Haven Warner Center"/>
        <s v="The Arlo"/>
        <s v="Sierra Village"/>
        <s v="Trails at San Dimas"/>
        <s v="1408 Jefferson Blvd Apartments"/>
        <s v="603 Mariposa Apartments"/>
        <s v="Banner Avenue Apartments"/>
        <s v="Violet on Virgil"/>
        <s v="926 S. Kingsley Apartments"/>
        <s v="939 S. Kingsley Apartments"/>
        <s v="3950 Ingraham Apartments"/>
        <s v="Park Playa Apartments"/>
        <s v="Edgemont by Angeleno"/>
        <s v="Bennington Apartments"/>
        <s v="Westlake Apartments"/>
        <s v="2121 Wood St"/>
        <m/>
      </sharedItems>
    </cacheField>
    <cacheField name="Applicant / Entity" numFmtId="0">
      <sharedItems containsBlank="1">
        <s v="Standard Heritage Livermore Owner LP"/>
        <s v="Standard Heritage Anaheim Owner LP"/>
        <s v="STANDARD HERITAGE ESCONDIDO OWNER LP"/>
        <s v="Alvarado Affordable Associates, LP"/>
        <s v="Castle Rock Bernardine Apartments, LP"/>
        <s v="2025 NJ, LP"/>
        <s v="Mariposa Club Apartments I, LP"/>
        <s v="Mission Valley Preservation LP"/>
        <s v="381 Turk Street Associates"/>
        <s v="SFF 2, LLC"/>
        <s v="1317 SGA QOZB, LP or an affiliate thereof"/>
        <s v="Housing Diversity"/>
        <s v="BIF NON OZ 7518 S Hoover St, LP"/>
        <s v="2019 Ozone Affordable Housing"/>
        <s v="801 Waterloo Partners, LP"/>
        <s v="Electric Lofts, LP"/>
        <s v="RHI-Mosser 275 Turk LP"/>
        <s v="OODB2, LP"/>
        <s v="4252 Crenshaw LP"/>
        <s v="Affordable Housing Alliance II, Inc. dba Integrity Housing"/>
        <s v="1735 South Mission LP"/>
        <s v="Hacienda Investors LP"/>
        <s v="Post Arbors Santa Ana LP"/>
        <s v="BG Apartments Investors LP"/>
        <s v="RMG Fee Avalon, LP"/>
        <s v="BIF NON OZ 4209 WESTERN AVE, LP"/>
        <s v="BIF NON OZ 1100 MLK BLK, LP"/>
        <s v="APPIAN LP"/>
        <s v="Sierra Park LP, a California Limited Partnership"/>
        <s v="BIF NON OZ 7524 S HOOVER ST, LP"/>
        <s v="GC 1422-1428 6th, LP"/>
        <s v="GC 1422-1432 7th, LP"/>
        <s v="GC 1423-1425 6th, LP"/>
        <s v="GC 1522 6th, LP"/>
        <s v="GC 1537 7th, LP"/>
        <s v="GC 2001-2029 Olympic, LP"/>
        <s v="Post Harbor Terrace, LP"/>
        <s v="SV INGLEWOOD HOLDINGS, L.P., a California limited partnership"/>
        <s v="2330 3rd Street Apartments L.P."/>
        <s v="BIF NON OZ 6200 BROADWAY BLK, LP"/>
        <s v="BIF NON OZ 4228 WESTERN AVE, LP"/>
        <s v="IF OZ 4300 S VERMONT AVE BLK LP, a Delaware limited partnership"/>
        <s v="BIF NON OZ 2000 Imperial Hwy Blk, LP"/>
        <s v="Post Marquee North Hollywood, LP"/>
        <s v="400 Meridian, LP, a California limited partnership"/>
        <s v="4752 Main, LP"/>
        <s v="BWF II ETHOS CA HORIZON LP, a Delaware limited partnership"/>
        <s v="Hillsdale Property LP"/>
        <s v="6171 Mission Gorge Owner LP, a California limited partnership"/>
        <s v="EV 228 Soto, LP, a California limited partnership"/>
        <s v="699 14TH Street CSLC LP"/>
        <s v="1201 Fulton Ave LP"/>
        <s v="Post Creekside, LP"/>
        <s v="Trion Skylark Properties, LP"/>
        <s v="Avanath Seaport, LP"/>
        <s v="1457 Main Owner LP"/>
        <s v="651 Addison LLC"/>
        <s v="99 Ocean Avenue LP"/>
        <s v="BWF III Ethos CA Los Gatos Creek LP"/>
        <s v="Post Chaparral, LP"/>
        <s v="Prometheus Real Estate Group"/>
        <s v="333 Douglas Street, LP, a California limited partnership"/>
        <s v="BIF IMPACT OZ 1100 BROADWAY BLK, LP"/>
        <s v="ENCLAVE LP, a California limited partnership"/>
        <s v="2533 Mansfield Owner, L.P., a California limited partnership"/>
        <s v="Coronado Owner, LP"/>
        <s v="7777 Valley View, L.P., a California limited partnership"/>
        <s v="920 Gramercy Upwell, LP, a Delaware limited partnership"/>
        <s v="10535 Lindley Affordable L.P."/>
        <s v="Post Candlewood North, LP"/>
        <s v="SFF 4, LLC"/>
        <s v="SFF 3, LLC"/>
        <s v="AXIS FEE OWNER LP"/>
        <s v="1540 W. Court Street, LP"/>
        <s v="BWF III Ethos CA Palmilla LP"/>
        <s v="Sol Haus Owner LP, California Limited Partnership"/>
        <s v="1451 W. MLK Boulevard Apartments"/>
        <s v="Bella Vista Owner, LP"/>
        <s v="6 SIOF 4101 Somerset Dr, LP"/>
        <s v="3 SIOF 321 E Florence Ave, LP"/>
        <s v="6 SIOF 9300 Compton Ave, LP"/>
        <s v="6 SIOF 6401 S Avalon Blvd, LP"/>
        <s v="6 SIOF 9515 Compton Ave, LP"/>
        <s v="10811 S. Compton Ave Apartments"/>
        <s v="SIOF 5 Properties, LP, California limited partnership"/>
        <s v="2 SIOF 685 W Fourth St, LP, Delaware limited partnership"/>
        <s v="Chadwick Owner, LP"/>
        <s v="4 SIOF 11630 S MAIN ST, LP"/>
        <s v="Pacific Trails, LP"/>
        <s v="Ethos GP I Venture, LP"/>
        <s v="Kalmia Supportive Housing, LP"/>
        <s v="Chatsworth Housing, LP"/>
        <s v="Azusa Gardens Owner, LP"/>
        <s v="Standard Vistria Park Kiely Owner, LP"/>
        <s v="Fountain Park, L.P."/>
        <s v="Flag VII The Parker, L.P."/>
        <s v="Canyon Ridge at Napa Junction, LP"/>
        <s v="Post Canyon Villa, LP"/>
        <s v="10910 Huston LP"/>
        <s v="Flag VII Camden Village, L.P."/>
        <s v="Passo Barrington, LP"/>
        <s v="Passo Centinela, LP"/>
        <s v="Passo Centinela 2, LP"/>
        <s v="Passo Stoner, LP"/>
        <s v="2025 E 4th Street LLLP"/>
        <s v="247 S Alexandria LLLP"/>
        <s v="808 S Hobart LLLP"/>
        <s v="454 Catalina LLLP"/>
        <s v="103 S Edgemont LLLP"/>
        <s v="Carson Gramercy LLLP // 974 S Gramercy LLLP"/>
        <s v="Irolo 16 LLLP"/>
        <s v="Kenmore 20 LLLP"/>
        <s v="426 Manhattan LLLP"/>
        <s v="260 S Mariposa LLLP"/>
        <s v="739 Normandie LLLP"/>
        <s v="1111 Norton LLLP"/>
        <s v="Oxford 19 LLLP"/>
        <s v="960 S Oxford LLLP"/>
        <s v="3715 W 1st Street LLLP"/>
        <s v="515 S St. Andrews LLLP"/>
        <s v="516 St. Andrews LLLP"/>
        <s v="GB Falls, LP"/>
        <s v="Citrine Preservation, LP"/>
        <s v="12th Street 19 LLLP"/>
        <s v="130 Alexandria LLLP"/>
        <s v="861 Fedora LLLP"/>
        <s v="Kenmore II 20 LLLP"/>
        <s v="915 S Kenmore LLLP"/>
        <s v="530 Kingsley LLLP"/>
        <s v="Mariposa 20 LLLP"/>
        <s v="750 Mariposa LLLP"/>
        <s v="520 Mariposa LLLP"/>
        <s v="Oxford 20 LLLP"/>
        <s v="Western 19 LLLP"/>
        <s v="236 Berendo Holdings OZ LP"/>
        <s v="PS 10705 Avalon Blvd, LP"/>
        <s v="PS 7518 Hoover St, LP"/>
        <s v="Post Renaissance Apartments, LP"/>
        <s v="18337 Kittridge, LP"/>
        <s v="9033 Ramsgate LP"/>
        <s v="Coliseum Transit Village One, LP"/>
        <s v="Thornbridge Holdings, L.P."/>
        <s v="Flag VII Montecito, L.P."/>
        <s v="7655 San Pedro, LP"/>
        <s v="Concord Park Wilshire LP"/>
        <s v="Concord Sir Francis Drake LP"/>
        <s v="Concord Langham LP"/>
        <s v="Concord Piccadilly LP"/>
        <s v="Ackerfield 2 LP"/>
        <s v="RK Equity Group Limited Partnership, 12142 Oxnard Limited Partnership, HG Napa Equity Limited&#10;Partnership, HG FSA Capital Limited Partnership"/>
        <s v="Crystal Springs Terrace Apartments, LP"/>
        <s v="TBD LP"/>
        <s v="Golden Gardens Housing Partners LP"/>
        <s v="Hendrix EREP, LP &amp; Hadley EREP, LP"/>
        <s v="1141 N. Vermont NH LP"/>
        <s v="2933 8th LLLP"/>
        <s v="Ardmore 19 LLLP"/>
        <s v="Ave 55 19 LLLP"/>
        <s v="516 Harvard LLLP"/>
        <s v="5200 Hollywood LLLP"/>
        <s v="5406 Lexington LLLP"/>
        <s v="Manhattan 20 LLLP"/>
        <s v="Monte Vista 19 LLLP"/>
        <s v="Highland 19 LLLP"/>
        <s v="132 Westmoreland LLLP"/>
        <s v="Crossings Property LP"/>
        <s v="Post Colonnade Apartments LP"/>
        <s v="3 SIOF 1451 W MLK BLVD, LP"/>
        <s v="SIOF 4252 Whittier Blvd, LP"/>
        <s v="2 SIOF 225 E 25th St, LP"/>
        <s v="6 SIOF 9416 FIRTH, LP"/>
        <s v="SIOF 9 Properties, LP"/>
        <s v="St. Anton Highland, LP"/>
        <s v="SM La Vista Owner, LP"/>
        <s v="1723 Corinth, LP"/>
        <s v="3851 Delmas LP"/>
        <s v="Post Bentley Parke, LP"/>
        <s v="Perseverance LAX Affordable, LP"/>
        <s v="AH 1408 Jefferson LP"/>
        <s v="N31GP LP"/>
        <s v="TAP BFR ACQUISITIONS, LLC"/>
        <s v="6942 Baird LP"/>
        <m/>
        <s v="Cullen Living LLC"/>
        <s v="Sawtelle 2481 LLC"/>
        <s v="Standard Properties"/>
        <s v="MG Del Norte Place Apartments, L.P"/>
        <s v="La Posada Preservation, L.P"/>
        <s v="MG Del Norte Place Apartments LP"/>
        <s v="PR TIG BENT TREE, LP"/>
        <s v="6144 Hazelhurst LP"/>
        <s v="River Village 1845, LP"/>
        <s v="1454 Florence LLC"/>
        <s v="6801 Embarcadero Lane, LP"/>
        <s v="PR TIG Cal Place, LP"/>
        <s v="MG Maris Martinez Apartments LP"/>
        <s v="Colden Oaks Apartments LP"/>
        <s v="Hansen Village Apartments LP"/>
        <s v="EREP TVG Crystal View Owner, LP "/>
        <s v="16077 Ashland Avenue LP"/>
        <s v="Guava Gardens Senior Apartments, LP"/>
        <s v="Angeleno Investment, LP"/>
        <s v="511 Hoover Partnership LP"/>
        <s v="Heven LP"/>
        <s v="The Arlo LP"/>
        <s v="Sierra Village Owner LP"/>
        <s v="Trails San Dimas LP"/>
        <s v="AH 1408 Jefferson, LP"/>
        <s v="CGI Creekside Bliss, LP"/>
        <s v="Post Violet, LP"/>
        <s v="Kian Investments, LP"/>
        <s v="Kingsley Project, LP"/>
        <s v="Ingraham Investment Group, LP"/>
        <s v="Park Playa, LP"/>
        <s v="1178 Edgemont LP"/>
        <s v="CG Bennington, LP / JSP Bennington, LP"/>
        <s v="Westlake Apts LP"/>
      </sharedItems>
    </cacheField>
    <cacheField name="City" numFmtId="0">
      <sharedItems containsBlank="1">
        <s v="Livermore"/>
        <s v="Anaheim"/>
        <s v="Escondido"/>
        <s v="Los Angeles"/>
        <s v="San Bernardino"/>
        <s v="Mountain View"/>
        <s v="San Diego"/>
        <s v="San Francisco"/>
        <s v="Hayward"/>
        <s v="Oakland"/>
        <s v="Vacaville"/>
        <s v="Santa Ana"/>
        <s v="Huntington Park"/>
        <s v="El Sobrante"/>
        <s v="Unincorporated"/>
        <s v="Santa Monica"/>
        <s v="Inglewood"/>
        <s v="San Rafael"/>
        <s v="San Mateo"/>
        <s v="Long Beach"/>
        <s v="Berkeley"/>
        <s v="San Jose"/>
        <s v="Palmdale"/>
        <s v="Los Altos"/>
        <s v="Walnut Creek"/>
        <s v="La Palma"/>
        <s v="Daly City"/>
        <s v="Redwood City"/>
        <s v="Richmond"/>
        <s v="Azusa"/>
        <s v="El Monte"/>
        <s v="American Canyon"/>
        <s v="Chula Vista"/>
        <s v="Fremont"/>
        <s v="Healdsburg"/>
        <s v="Fresno"/>
        <s v="Sunnyvale"/>
        <s v="Hawaiian Gardens"/>
        <s v="San Bruno"/>
        <s v="Concord"/>
        <s v="San Ramon"/>
        <s v="Santa Maria"/>
        <s v="El Cerrito"/>
        <s v="Santa Cruz"/>
        <s v="Carlsbad"/>
        <s v="Sacramento"/>
        <s v="Martinez"/>
        <s v="Garden Grove"/>
        <s v="San Lorenzo"/>
        <s v="La Mesa"/>
        <s v="San Dimas"/>
        <s v="Fairfield"/>
        <m/>
      </sharedItems>
    </cacheField>
    <cacheField name="County" numFmtId="0">
      <sharedItems containsBlank="1">
        <s v="Alameda"/>
        <s v="Orange"/>
        <s v="San Diego"/>
        <s v="Los Angeles"/>
        <s v="San Bernardino"/>
        <s v="Santa Clara"/>
        <s v="San Francisco"/>
        <s v="Solano"/>
        <s v="Contra Costa"/>
        <s v="Sacramento"/>
        <s v="Marin"/>
        <s v="San Mateo"/>
        <s v="Napa"/>
        <s v="Sonoma"/>
        <s v="Fresno"/>
        <s v="Santa Barbara"/>
        <s v="Santa Cruz"/>
        <m/>
      </sharedItems>
    </cacheField>
    <cacheField name="Agency" numFmtId="0">
      <sharedItems containsBlank="1">
        <s v="CMFA"/>
        <s v="CSCDA"/>
        <m/>
      </sharedItems>
    </cacheField>
    <cacheField name="Grant Description" numFmtId="0">
      <sharedItems containsBlank="1">
        <s v="Loan / $100,000"/>
        <s v="Grant up to $10,000"/>
        <m/>
        <s v="Grant up to $10,000 (Charitable Affordable Housing)"/>
        <s v="Approve application for proposed grant up to $10,000"/>
        <s v="Governmental Grant"/>
        <s v="Governmental Grant and Regulatory Agreement Creating Affordable Housing in a Rental Housing Project; $5,000 grant; 55-year regulatory term."/>
      </sharedItems>
    </cacheField>
    <cacheField name="Resolution" numFmtId="0">
      <sharedItems containsBlank="1">
        <m/>
        <s v="23-204"/>
        <s v="23-222"/>
        <s v="23-223"/>
        <s v="23-224"/>
        <s v="23-275"/>
        <s v="23-307"/>
        <s v="23-370"/>
        <s v="23-371"/>
        <s v="23-372"/>
        <s v="24-041"/>
        <s v="24-052"/>
        <s v="24-053"/>
        <s v="24-074"/>
        <s v="24-076"/>
        <s v="24-178"/>
        <s v="24-199"/>
        <s v="24-200"/>
        <s v="24-219"/>
        <s v="24-220"/>
        <s v="24-221"/>
        <s v="24-222"/>
        <s v="24-223"/>
        <s v="24-252"/>
        <s v="24-253"/>
        <s v="24-254"/>
        <s v="24-277"/>
        <s v="24-278"/>
        <s v="24-279"/>
        <s v="24-280"/>
        <s v="24-281"/>
        <s v="24-282"/>
        <s v="24-283"/>
        <s v="24-284"/>
        <s v="24-285"/>
        <s v="24-286"/>
        <s v="24-361"/>
        <s v="24-363"/>
        <s v="24-379"/>
        <s v="24-380"/>
        <s v="24-381"/>
        <s v="24-382"/>
        <s v="24-383"/>
        <s v="24-384"/>
        <s v="24-399"/>
        <s v="24-410"/>
        <s v="24-411"/>
        <s v="24-412"/>
        <s v="24-413"/>
        <s v="24-427"/>
        <s v="24-428"/>
        <s v="24-429"/>
        <s v="24-430"/>
        <s v="24-442"/>
        <s v="24-443"/>
        <s v="24-470"/>
        <s v="24-471"/>
        <s v="24-472"/>
        <s v="24-473"/>
        <s v="25-065"/>
        <s v="25-080"/>
        <s v="25-081"/>
        <s v="25-082"/>
        <s v="25-084"/>
        <s v="25-102"/>
        <s v="25-103"/>
        <s v="25-104"/>
        <s v="25-116"/>
        <s v="25-117"/>
        <s v="25-144"/>
        <s v="25-145"/>
        <s v="25-219"/>
        <s v="25-207"/>
        <s v="25-208"/>
        <s v="25-209"/>
        <s v="Proposed "/>
        <s v="25-281"/>
        <s v="25-282"/>
        <s v="25-283"/>
        <s v="25-284"/>
        <s v="25-285"/>
        <s v="25-286"/>
        <s v="25-287"/>
        <s v="25-288"/>
        <s v="25-289"/>
        <s v="25-290"/>
        <s v="25-291"/>
        <s v="25-304"/>
        <s v="25-305"/>
        <s v="25-306"/>
        <s v="25-308"/>
        <s v="25-347"/>
        <s v="25-348"/>
        <s v="25-349"/>
        <s v="25-350"/>
        <s v="25-351"/>
        <s v="25-352"/>
        <s v="25-353"/>
        <s v="25-423"/>
        <s v="25-424"/>
        <s v="25-425"/>
        <s v="25-426"/>
        <s v="25-427"/>
        <s v="25-448"/>
        <s v="25-449"/>
        <s v="25-450"/>
        <s v="25-451"/>
        <s v="25-452"/>
        <s v="25-453"/>
        <s v="25-454"/>
        <s v="25-455"/>
        <s v="25-456"/>
        <s v="25-457"/>
        <s v="25-458"/>
        <s v="25-459"/>
        <s v="25-460"/>
        <s v="25-461"/>
        <s v="25-462"/>
        <s v="25-463"/>
        <s v="25-464"/>
        <s v="25-484"/>
        <s v="25-485"/>
        <s v="25-486"/>
        <s v="25-487"/>
        <s v="25-488"/>
        <s v="25-489"/>
        <s v="25-490"/>
        <s v="25-491"/>
        <s v="25-492"/>
        <s v="25-493"/>
        <s v="25-494"/>
        <s v="25-495"/>
        <s v="25-496"/>
        <s v="25-510"/>
        <s v="25-512"/>
        <s v="25-513"/>
        <s v="CSCDA"/>
        <s v="25-551"/>
        <s v="25-552"/>
        <s v="25-553"/>
        <s v="25-554"/>
        <s v="25-555"/>
        <s v="25-556"/>
        <s v="25-557"/>
        <s v="25-562"/>
        <s v="25-563"/>
        <s v="25-564"/>
        <s v="25-565"/>
        <s v="25-566"/>
        <s v="25-567"/>
        <s v="25-568"/>
        <s v="25-569"/>
        <s v="25-570"/>
        <s v="25-571"/>
        <s v="25-572"/>
        <s v="Proposed"/>
        <s v="26-108"/>
        <s v="26-109"/>
        <s v="26-110"/>
        <s v="Application"/>
        <s v="26-176"/>
        <s v="26H-[_]"/>
      </sharedItems>
    </cacheField>
    <cacheField name="Date" numFmtId="164">
      <sharedItems containsNonDate="0" containsDate="1" containsString="0" containsBlank="1" minDate="2022-04-08T00:00:00Z" maxDate="2026-08-08T00:00:00Z">
        <d v="2022-04-08T00:00:00Z"/>
        <d v="2022-04-15T00:00:00Z"/>
        <d v="2023-07-14T00:00:00Z"/>
        <d v="2023-08-04T00:00:00Z"/>
        <d v="2023-08-25T00:00:00Z"/>
        <d v="2023-09-15T00:00:00Z"/>
        <d v="2023-12-08T00:00:00Z"/>
        <d v="2024-02-02T00:00:00Z"/>
        <d v="2024-02-23T00:00:00Z"/>
        <d v="2024-03-15T00:00:00Z"/>
        <d v="2024-04-26T00:00:00Z"/>
        <d v="2024-05-17T00:00:00Z"/>
        <d v="2024-06-07T00:00:00Z"/>
        <d v="2024-07-19T00:00:00Z"/>
        <d v="2024-08-09T00:00:00Z"/>
        <d v="2024-08-30T00:00:00Z"/>
        <d v="2024-09-20T00:00:00Z"/>
        <d v="2024-10-11T00:00:00Z"/>
        <d v="2024-11-01T00:00:00Z"/>
        <d v="2024-11-22T00:00:00Z"/>
        <d v="2024-12-13T00:00:00Z"/>
        <d v="2025-01-31T00:00:00Z"/>
        <d v="2025-02-21T00:00:00Z"/>
        <d v="2025-03-14T00:00:00Z"/>
        <d v="2025-04-04T00:00:00Z"/>
        <d v="2025-04-25T00:00:00Z"/>
        <d v="2025-05-16T00:00:00Z"/>
        <d v="2025-06-06T00:00:00Z"/>
        <d v="2025-06-27T00:00:00Z"/>
        <d v="2025-07-18T00:00:00Z"/>
        <d v="2025-08-08T00:00:00Z"/>
        <d v="2025-08-29T00:00:00Z"/>
        <d v="2025-09-19T00:00:00Z"/>
        <d v="2025-10-10T00:00:00Z"/>
        <d v="2025-10-24T00:00:00Z"/>
        <d v="2025-11-20T00:00:00Z"/>
        <d v="2025-11-21T00:00:00Z"/>
        <d v="2025-12-12T00:00:00Z"/>
        <d v="2025-12-18T00:00:00Z"/>
        <d v="2026-01-09T00:00:00Z"/>
        <d v="2026-01-22T00:00:00Z"/>
        <d v="2026-01-30T00:00:00Z"/>
        <d v="2026-02-20T00:00:00Z"/>
        <d v="2026-03-05T00:00:00Z"/>
        <d v="2026-03-13T00:00:00Z"/>
        <d v="2026-03-27T00:00:00Z"/>
        <d v="2026-04-02T00:00:00Z"/>
        <d v="2026-04-17T00:00:00Z"/>
        <d v="2026-05-07T00:00:00Z"/>
        <d v="2026-05-08T00:00:00Z"/>
        <d v="2026-05-21T00:00:00Z"/>
        <d v="2026-05-29T00:00:00Z"/>
        <d v="2026-06-02T00:00:00Z"/>
        <d v="2026-06-18T00:00:00Z"/>
        <d v="2026-06-26T00:00:00Z"/>
        <d v="2026-07-02T00:00:00Z"/>
        <d v="2026-07-16T00:00:00Z"/>
        <d v="2026-07-17T00:00:00Z"/>
        <d v="2026-08-06T00:00:00Z"/>
        <d v="2026-08-07T00:00:00Z"/>
        <m/>
      </sharedItems>
      <fieldGroup base="8">
        <rangePr autoStart="0" autoEnd="0" groupBy="years" startDate="2022-04-08T00:00:00Z" endDate="2026-08-08T00:00:00Z"/>
        <groupItems>
          <s v="&lt;04/08/22"/>
          <s v="122"/>
          <s v="123"/>
          <s v="124"/>
          <s v="125"/>
          <s v="126"/>
          <s v="&gt;08/08/26"/>
        </groupItems>
      </fieldGroup>
    </cacheField>
    <cacheField name="DEAD?" numFmtId="0">
      <sharedItems containsBlank="1">
        <m/>
        <b v="1"/>
      </sharedItems>
    </cacheField>
    <cacheField name="Investor 1" numFmtId="0">
      <sharedItems containsBlank="1">
        <s v="Standard Property Company"/>
        <s v="Taylor Equities"/>
        <s v="Quest Capital Partners"/>
        <s v="Eleos Ventures, LLC"/>
        <s v="Prometheus Real Estate Group"/>
        <s v="Securities Properties"/>
        <s v="Mosser Capital, LLC"/>
        <s v="The Sobrato Organization"/>
        <s v="Housing Diversity Corporation"/>
        <s v="SoLa Impact, LLC"/>
        <s v="Riaz, Inc."/>
        <s v="The Greg Scott Company"/>
        <s v="Trestle Development LLC"/>
        <s v="Thrive Living"/>
        <s v="Ascenda Capital"/>
        <s v="AOF"/>
        <s v="GHC Housing Partners"/>
        <s v="RMG Housing"/>
        <s v="Tesseract Capital Group"/>
        <s v="Gortikov Capital"/>
        <s v="Community HousingWorks"/>
        <s v="Terra Capital Development Group LLC"/>
        <s v="Ethos Real Estate"/>
        <s v="Vistria Group"/>
        <s v="Impact Housing"/>
        <s v="Community Solutions"/>
        <s v="Trion Properties, Inc."/>
        <s v="Post Investment Group"/>
        <s v="Avanath Capital"/>
        <s v="Bridge Housing"/>
        <s v="Presidio Bay Ventures, LLC"/>
        <s v="Prometheus Real Estate Group, Inc."/>
        <s v="Visionary Development Enterprises LLC"/>
        <s v="CIM Group, LLC"/>
        <s v="TriWest Multifamily"/>
        <s v="Mariman &amp; Co."/>
        <s v="Treehouse Community"/>
        <s v="TruAmerica Multifamily LLC"/>
        <s v="CONAM Management Corporation"/>
        <s v="Kennedy Wilson"/>
        <s v="Vintage Housing Holdings"/>
        <s v="Langdon Park Capital"/>
        <s v="A Community of Friends"/>
        <s v="BMI Developments"/>
        <s v="Sack Capital Partners"/>
        <s v="Belveron Partners"/>
        <s v="BRIDGE Housing Corp."/>
        <s v="Angeleno Investments, LP"/>
        <s v="Glimcher Capital Group"/>
        <s v="K3 Holdings"/>
        <s v="Jackson Square Properties"/>
        <s v="The Transcend Group"/>
        <s v="California State Teachers’ Retirement System"/>
        <s v="Six Peak Capital"/>
        <s v="UrbanCore Development"/>
        <s v="Ethos GP I Venture, LP"/>
        <s v="Concord Companies"/>
        <s v="Golden Bee Properties"/>
        <s v="MKCR Capital LLC"/>
        <s v="Kairos Investment Management Company"/>
        <s v="Islas Development, LLC"/>
        <s v="Eagle Partners"/>
        <s v="Anton DevCo, Inc"/>
        <s v="Farallon Capital Management L.L.C."/>
        <s v="Seachange Partners"/>
        <s v="Capital Insight Holdings"/>
        <s v="Orion Capital LLC"/>
        <s v="MKCR Capital, LLC"/>
        <s v="Jenson Capital Group"/>
        <s v="Standard Properties"/>
        <s v="MG Properties"/>
        <s v="Jonathan Rose Companies"/>
        <s v="Tailwind Investment Group"/>
        <s v="KDF Communities, LLC"/>
        <s v="Equitable Connections to Housing Opportunities (ECHO)"/>
        <s v="Red Stone Equity Partners"/>
        <s v="Positive Investments, Inc."/>
        <s v="Faulkner Capital Partners"/>
        <s v="Positive Investments Inc"/>
        <s v="Angeleno Investments LP"/>
        <s v="Category Company"/>
        <s v="LA Apartments"/>
        <s v="KBX Investments"/>
        <s v="TriWest Development"/>
        <s v="The Korda Group"/>
        <s v="Affirmed Housing"/>
        <s v="CGI+"/>
        <s v="Post Real Estate Group"/>
        <s v="Keren Housing"/>
        <s v="Killefer Development"/>
        <s v="Angeleno Invesments"/>
        <m/>
      </sharedItems>
    </cacheField>
    <cacheField name="Investor 2" numFmtId="0">
      <sharedItems containsBlank="1">
        <m/>
        <s v="Arctaris Impact Investors"/>
        <s v="Black Impact Group"/>
        <s v="Stars Real Estate Investment"/>
        <s v="Magnum Real Estate Group"/>
        <s v="Pacific Affordable Housing Corp"/>
        <s v="Post Investment Group"/>
        <s v="Bridge Investment Group"/>
        <s v="Ethos Real Estate"/>
        <s v="Open House Group Co., Ltd"/>
        <s v="Angeleno Investments LP"/>
        <s v="Vintage Housing Holdings"/>
        <s v="Kennedy Wilson"/>
        <s v="Vistria"/>
        <s v="Belveron Partners"/>
      </sharedItems>
    </cacheField>
    <cacheField name="Nonprofit Partner" numFmtId="0">
      <sharedItems containsBlank="1">
        <s v="Housing on Merit"/>
        <s v="Kingdom Development, Inc."/>
        <s v="Affordable Rent Project"/>
        <s v="Step Forward Communities"/>
        <s v="Hearthstone Housing Foundation"/>
        <s v="Las Palmas Housing &amp; Development"/>
        <s v="Sobrato Foundation"/>
        <s v="PEP Housing"/>
        <s v="AOF Pacific"/>
        <s v="AOF / Pacific Affordable Housing Corp"/>
        <s v="Integrity Housing"/>
        <s v="Pacific Affordable Housing Corp"/>
        <s v="Foundation for Affordable Housing"/>
        <s v="DECRO Corporation"/>
        <s v="Community HousingWorks"/>
        <s v="Pacific Housing"/>
        <s v="Affordable Housing Access Inc"/>
        <s v="Pacific Housing, Inc."/>
        <s v="Las Palmas Housing &amp; Development Corporation"/>
        <s v="Step Forward Comminities"/>
        <s v="Community Solutions"/>
        <s v="Riverside Charitable Corporation"/>
        <s v="Bridge Housing"/>
        <s v="Pacific Housing, Inc"/>
        <s v="Casa Major, Inc."/>
        <s v="AOF/Pacific Affordable Housing Corporation"/>
        <s v="Butterfly’s Haven"/>
        <s v="Affordable Housing Access"/>
        <s v="A Community of Friends"/>
        <s v="Las Palmas Housing &amp; Development Corp."/>
        <s v="BRIDGE Housing Corp."/>
        <s v="Retail Store Employees Building Corporation"/>
        <m/>
        <s v="Kingdom Development, Inc. "/>
        <s v="Foundation Permanent Housing Fund, Inc."/>
        <s v="Foothill Affordable Housing Foundation"/>
        <s v="Pacific Housing Inc."/>
        <s v="Pacific Housing Inc"/>
        <s v="Affordable Housing Access, Inc."/>
        <s v="San Diego Interfaith Housing Foundation"/>
        <s v="Central Valley Coalition for Affordable Housing"/>
        <s v="AOF/Pacific Affordable Housing Corp."/>
        <s v="Compass for Affordable Housing"/>
        <s v="Bedford Affordable Housing Foundation"/>
      </sharedItems>
    </cacheField>
    <cacheField name="Stale" numFmtId="0">
      <sharedItems containsBlank="1">
        <b v="0"/>
        <b v="1"/>
        <m/>
      </sharedItems>
    </cacheField>
    <cacheField name="Total Unit Count" numFmtId="0">
      <sharedItems containsString="0" containsBlank="1" containsNumber="1" containsInteger="1">
        <n v="167.0"/>
        <n v="196.0"/>
        <n v="24.0"/>
        <n v="71.0"/>
        <n v="15.0"/>
        <n v="48.0"/>
        <n v="56.0"/>
        <n v="32.0"/>
        <n v="61.0"/>
        <n v="147.0"/>
        <n v="227.0"/>
        <n v="79.0"/>
        <n v="166.0"/>
        <n v="154.0"/>
        <n v="89.0"/>
        <n v="66.0"/>
        <n v="69.0"/>
        <n v="111.0"/>
        <n v="169.0"/>
        <n v="103.0"/>
        <n v="58.0"/>
        <n v="52.0"/>
        <n v="160.0"/>
        <n v="225.0"/>
        <n v="74.0"/>
        <n v="25.0"/>
        <n v="29.0"/>
        <n v="41.0"/>
        <n v="104.0"/>
        <n v="72.0"/>
        <n v="26.0"/>
        <n v="165.0"/>
        <n v="93.0"/>
        <n v="80.0"/>
        <n v="53.0"/>
        <n v="68.0"/>
        <n v="188.0"/>
        <n v="90.0"/>
        <n v="236.0"/>
        <n v="99.0"/>
        <n v="406.0"/>
        <n v="697.0"/>
        <n v="488.0"/>
        <n v="229.0"/>
        <n v="63.0"/>
        <n v="145.0"/>
        <n v="198.0"/>
        <n v="356.0"/>
        <n v="377.0"/>
        <n v="94.0"/>
        <n v="193.0"/>
        <n v="296.0"/>
        <n v="33.0"/>
        <n v="116.0"/>
        <n v="272.0"/>
        <n v="13.0"/>
        <n v="50.0"/>
        <n v="189.0"/>
        <n v="122.0"/>
        <n v="112.0"/>
        <n v="136.0"/>
        <n v="203.0"/>
        <n v="1008.0"/>
        <n v="36.0"/>
        <n v="31.0"/>
        <n v="20.0"/>
        <n v="28.0"/>
        <n v="21.0"/>
        <n v="687.0"/>
        <n v="84.0"/>
        <n v="230.0"/>
        <n v="948.0"/>
        <n v="164.0"/>
        <n v="177.0"/>
        <n v="148.0"/>
        <n v="183.0"/>
        <n v="38.0"/>
        <n v="192.0"/>
        <n v="73.0"/>
        <n v="27.0"/>
        <n v="49.0"/>
        <n v="43.0"/>
        <n v="42.0"/>
        <n v="40.0"/>
        <n v="60.0"/>
        <n v="55.0"/>
        <n v="59.0"/>
        <n v="37.0"/>
        <n v="16.0"/>
        <n v="30.0"/>
        <n v="39.0"/>
        <n v="18.0"/>
        <n v="45.0"/>
        <n v="23.0"/>
        <n v="76.0"/>
        <n v="650.0"/>
        <n v="278.0"/>
        <n v="110.0"/>
        <n v="286.0"/>
        <n v="114.0"/>
        <n v="170.0"/>
        <n v="181.0"/>
        <n v="152.0"/>
        <n v="101.0"/>
        <n v="482.0"/>
        <n v="120.0"/>
        <n v="551.0"/>
        <n v="290.0"/>
        <n v="67.0"/>
        <n v="106.0"/>
        <n v="221.0"/>
        <n v="70.0"/>
        <n v="293.0"/>
        <n v="460.0"/>
        <n v="232.0"/>
        <n v="572.0"/>
        <n v="100.0"/>
        <n v="264.0"/>
        <n v="197.0"/>
        <n v="162.0"/>
        <n v="135.0"/>
        <n v="150.0"/>
        <n v="208.0"/>
        <n v="123.0"/>
        <n v="12.0"/>
        <n v="211.0"/>
        <n v="168.0"/>
        <n v="402.0"/>
        <n v="81.0"/>
        <n v="34.0"/>
        <n v="205.0"/>
        <n v="185.0"/>
        <n v="288.0"/>
        <n v="64.0"/>
        <n v="144.0"/>
        <n v="302.0"/>
        <n v="108.0"/>
        <n v="132.0"/>
        <m/>
      </sharedItems>
    </cacheField>
    <cacheField name="Restricted Unit Count" numFmtId="0">
      <sharedItems containsString="0" containsBlank="1" containsNumber="1" containsInteger="1">
        <n v="125.0"/>
        <n v="157.0"/>
        <n v="24.0"/>
        <n v="70.0"/>
        <n v="14.0"/>
        <n v="48.0"/>
        <n v="23.0"/>
        <n v="13.0"/>
        <n v="61.0"/>
        <n v="147.0"/>
        <n v="227.0"/>
        <n v="166.0"/>
        <n v="154.0"/>
        <n v="40.0"/>
        <n v="27.0"/>
        <n v="69.0"/>
        <n v="111.0"/>
        <n v="58.0"/>
        <n v="102.0"/>
        <n v="52.0"/>
        <n v="160.0"/>
        <n v="225.0"/>
        <n v="74.0"/>
        <n v="28.0"/>
        <n v="41.0"/>
        <n v="104.0"/>
        <n v="32.0"/>
        <n v="49.0"/>
        <n v="29.0"/>
        <n v="25.0"/>
        <n v="98.0"/>
        <n v="93.0"/>
        <n v="80.0"/>
        <n v="53.0"/>
        <n v="51.0"/>
        <n v="71.0"/>
        <n v="236.0"/>
        <n v="99.0"/>
        <n v="406.0"/>
        <n v="697.0"/>
        <n v="483.0"/>
        <n v="229.0"/>
        <n v="62.0"/>
        <n v="144.0"/>
        <n v="198.0"/>
        <n v="151.0"/>
        <n v="100.0"/>
        <n v="193.0"/>
        <n v="296.0"/>
        <n v="165.0"/>
        <n v="115.0"/>
        <n v="68.0"/>
        <n v="270.0"/>
        <n v="50.0"/>
        <n v="189.0"/>
        <m/>
        <n v="112.0"/>
        <n v="136.0"/>
        <n v="148.0"/>
        <n v="203.0"/>
        <n v="145.0"/>
        <n v="1008.0"/>
        <n v="35.0"/>
        <n v="30.0"/>
        <n v="19.0"/>
        <n v="20.0"/>
        <n v="47.0"/>
        <n v="687.0"/>
        <n v="17.0"/>
        <n v="84.0"/>
        <n v="230.0"/>
        <n v="948.0"/>
        <n v="164.0"/>
        <n v="177.0"/>
        <n v="183.0"/>
        <n v="37.0"/>
        <n v="192.0"/>
        <n v="72.0"/>
        <n v="43.0"/>
        <n v="38.0"/>
        <n v="42.0"/>
        <n v="60.0"/>
        <n v="73.0"/>
        <n v="55.0"/>
        <n v="59.0"/>
        <n v="272.0"/>
        <n v="16.0"/>
        <n v="39.0"/>
        <n v="18.0"/>
        <n v="45.0"/>
        <n v="76.0"/>
        <n v="78.0"/>
        <n v="260.0"/>
        <n v="278.0"/>
        <n v="116.0"/>
        <n v="286.0"/>
        <n v="114.0"/>
        <n v="170.0"/>
        <n v="181.0"/>
        <n v="152.0"/>
        <n v="101.0"/>
        <n v="216.0"/>
        <n v="120.0"/>
        <n v="110.0"/>
        <n v="440.0"/>
        <n v="290.0"/>
        <n v="67.0"/>
        <n v="106.0"/>
        <n v="31.0"/>
        <n v="79.0"/>
        <n v="221.0"/>
        <n v="6.0"/>
        <n v="8.0"/>
        <n v="460.0"/>
        <n v="36.0"/>
        <n v="232.0"/>
        <n v="514.0"/>
        <n v="264.0"/>
        <n v="56.0"/>
        <n v="34.0"/>
        <n v="162.0"/>
        <n v="150.0"/>
        <n v="54.0"/>
        <n v="208.0"/>
        <n v="123.0"/>
        <n v="12.0"/>
        <n v="211.0"/>
        <n v="134.0"/>
        <n v="135.0"/>
        <n v="81.0"/>
        <n v="82.0"/>
        <n v="94.0"/>
        <n v="302.0"/>
        <n v="108.0"/>
        <n v="132.0"/>
      </sharedItems>
    </cacheField>
    <cacheField name="Restricted Ratio" numFmtId="0">
      <sharedItems containsString="0" containsBlank="1" containsNumber="1">
        <m/>
        <n v="0.8010204081632653"/>
        <n v="1.0"/>
        <n v="0.9333333333333333"/>
        <n v="0.6075949367088608"/>
        <n v="0.96"/>
        <n v="0.9655172413793104"/>
        <n v="0.6153846153846154"/>
        <n v="0.6805555555555556"/>
        <n v="0.6041666666666666"/>
        <n v="0.9615384615384616"/>
        <n v="0.593939393939394"/>
        <n v="0.7727272727272727"/>
        <n v="0.20588235294117646"/>
        <n v="0.5904255319148937"/>
        <n v="0.7888888888888889"/>
        <n v="0.975609756097561"/>
        <n v="0.4044943820224719"/>
        <n v="0.4005305039787798"/>
        <n v="0.9696969696969697"/>
        <n v="0.9939759036144579"/>
        <n v="0.9913793103448276"/>
        <n v="0.783068783068783"/>
        <n v="0.98"/>
        <n v="0.9722222222222222"/>
        <n v="0.967741935483871"/>
        <n v="0.95"/>
        <n v="0.9642857142857143"/>
        <n v="0.9523809523809523"/>
        <n v="0.9791666666666666"/>
        <n v="0.20238095238095238"/>
        <n v="0.9855072463768116"/>
        <n v="0.9736842105263158"/>
        <n v="0.9861111111111112"/>
        <n v="0.9863013698630136"/>
        <n v="0.9811320754716981"/>
        <n v="0.9873417721518988"/>
        <n v="0.4"/>
        <n v="0.44813278008298757"/>
        <n v="0.7985480943738656"/>
        <n v="0.4030612244897959"/>
        <n v="0.18571428571428572"/>
        <n v="0.2"/>
        <n v="0.20512820512820512"/>
        <n v="0.34812286689419797"/>
        <n v="0.972972972972973"/>
        <n v="0.8986013986013986"/>
        <n v="0.40609137055837563"/>
        <n v="0.8"/>
        <n v="0.8095238095238095"/>
        <n v="0.503448275862069"/>
        <n v="0.5"/>
        <n v="0.25"/>
      </sharedItems>
    </cacheField>
    <cacheField name="Address" numFmtId="0">
      <sharedItems containsBlank="1">
        <s v="900 E Stanley Blvd, Livermore, CA 94550"/>
        <s v="707 W Santa Ana Street, Anaheim CA 92805"/>
        <s v="2549 E. Valley Parkway, Escondido, CA 92027"/>
        <s v="1136 S. Alvarado Street, Los Angeles, CA"/>
        <s v="363 E. Gilbert St., San Bernardino, CA"/>
        <s v="2025 New Jersey St, Los Angeles, CA"/>
        <s v="660 Mariposa Ave., Mountain View, CA"/>
        <s v="840 17th St, San Diego, CA 92101"/>
        <s v="381 Turk St., San Francisco, CA"/>
        <s v="26409 Gading Rd, Hayward, CA 94544"/>
        <s v="1317 S. Grand St, Los Angeles, CA 90015"/>
        <s v="1411 Flower St, Los Angeles, CA 90015"/>
        <s v="7518 S. Hoover, Los Angeles, CA 90044"/>
        <s v="820 W MacArthur Blvd, Oakland, CA 94608"/>
        <s v="801-809 Waterloo Street, Los Angeles, CA "/>
        <s v="2415 Valdez St, Oakland, CA 94612"/>
        <s v="275 Turk St, San Francisco, CA"/>
        <s v="6762 Hawthorn Ave, Los Angeles, CA 90028"/>
        <s v="4252 S CRENSHAW BLVD LOS ANGELES CA 90008"/>
        <s v="343 Moon River Pl, Vacaville, CA 95687"/>
        <s v="1735 S Mission Rd, Fallbrook, CA 92028"/>
        <s v="7940 Reseda Boulevard, Reseda, CA "/>
        <s v="18325 Saticoy St, Reseda, CA 91335"/>
        <s v="1100-1200 E. Fairhaven Avenue, Santa Ana, CA"/>
        <s v="2701 Randolph St., Huntington Park, CA"/>
        <s v="445 N. Avalon Boulevard, Los Angeles, CA"/>
        <s v="4209 S Western Ave, Los Angeles, CA 90062"/>
        <s v="1130 W Martin Luther King Jr Blvd, Los Angeles, CA 90037"/>
        <s v="4481 Appian Way, El Sobrante, CA 94803"/>
        <s v="4930 Polk St, North Highlands, CA 95660"/>
        <s v="7518 S. Hoover, Los Angeles, CA"/>
        <s v="1422-1428 6th St., Santa Monica, CA"/>
        <s v="1422-1432 7th, Santa Monica, CA"/>
        <s v="1423-1425 6th, Santa Monica, CA"/>
        <s v="1522 6th St, Santa Monica, CA"/>
        <s v="1537 7th, Santa Monica, CA"/>
        <s v="2001-2029 Olympic Blvd, Santa Monica"/>
        <s v="441 W 3rd St, San Pedro, CA 90731"/>
        <s v="9301 – 9609 Crenshaw&#10;Blvd, Inglewood, CA"/>
        <s v="2330 E. 3rd Street, Los Angeles, CA"/>
        <s v="6200 S Broadway, Los Angeles, CA"/>
        <s v="4228 Western Avenue, Los Angeles, CA"/>
        <s v="4327 S Vermont, Los Angeles, CA"/>
        <s v="110 Imperial Highway, Los Angeles, CA"/>
        <s v="12300 Sherman Way, North Hollywood, CA 91605"/>
        <s v="400 Canal St, San Rafael, CA 94901"/>
        <s v="4752 Main St, Los Angeles, CA 90037"/>
        <s v="2414 N Tustin Ave, Santa Ana, CA 92705"/>
        <s v="3500 Edison St, San Mateo, CA 94403"/>
        <s v="6171 Mission Gorge Rd, San Diego, CA 92120"/>
        <s v="228 N Soto Street, Los Angeles, CA"/>
        <s v="699 14th Street, San Diego, CA"/>
        <s v="1201 Fulton Ave, Sacramento, CA 95825"/>
        <s v="220 47th St, San Diego, CA 92102"/>
        <s v="6930 Fair Oaks Blvd, Carmichael, CA 95608"/>
        <s v="5601 North Paramount Boulevard, Long Beach, Los Angeles"/>
        <s v="1457 N Main St, Los Angeles, CA 90012"/>
        <s v="651 Addison St, Berkeley, CA 94710"/>
        <s v="99 OCEAN AVE SAN FRANCISCO, CA 94112-2548"/>
        <s v="2130 Southwest Expy, San Jose, CA 95126"/>
        <s v="38441 5th St W, Palmdale, CA 93551"/>
        <s v="5150 El Camino Real, Los Altos, CA"/>
        <s v="333 Douglas St, Los Angeles, CA"/>
        <s v="11422 S Broadway, Los Angeles, CA 90061"/>
        <s v="3081 N Main St, Walnut Creek, CA 94597"/>
        <s v="2533 S Mansfield Ave, Los Angeles, CA 90016"/>
        <s v="1250 S. Euclid St., Anaheim, CA"/>
        <s v="7777 Valley View Street, La Palma, CA"/>
        <s v="920 S. Gramercy Place, Los Angeles, CA"/>
        <s v="10535 Lindley Ave, Granada Hills, CA 91326"/>
        <s v="9830 Reseda Blvd, Northridge, CA 91324"/>
        <s v="26 Terrace View Ct, Daly City, CA 94015"/>
        <s v="1212 Whipple Ave, Redwood City, CA 94062"/>
        <s v="5880 3rd St, San Francisco, CA 94124"/>
        <s v="1540 W Court St, Los Angeles, CA 90026"/>
        <s v="5474 Reservoir Dr, San Diego, CA 92120"/>
        <s v="5040 Logan Avenue, San Diego, CA 92113"/>
        <s v="1451 W. MLK Blvd, Los Angeles, CA"/>
        <s v="3400 Richmond Pkwy, Richmond, CA 94806"/>
        <s v="4101 Somerset Drive, Los Angeles, CA"/>
        <s v="321 E. Florence Ave, Los Angeles, CA "/>
        <s v="9300 Compton Ave., Los Angeles, CA"/>
        <s v="6401 S. Avalon Blvd., Los Angeles, CA"/>
        <s v="9515 Compton Avenue, Los Angeles, CA"/>
        <s v="10811 S. Compton Avenue, Los Angeles, CA"/>
        <s v="569 W. 6th Street, San Pedro, CA"/>
        <s v="685 W. 4th St., Los Angeles, CA "/>
        <s v="209 Westmoreland Ave, Los Angeles, CA 90004"/>
        <s v="11630 Main St, Los Angeles, CA 90061"/>
        <s v="18615 E Arrow Hwy, Covina, CA 91722"/>
        <s v="1700 Newbury Park Dr, San Jose, CA 95133"/>
        <m/>
        <s v="17188 Chatsworth St., Los Angeles, CA"/>
        <s v="601 E 8th St, Azusa, CA 91702"/>
        <s v="355 Kiely Blvd, San Jose, CA 95129"/>
        <s v="1026 S De Anza Blvd, San Jose, CA 95129"/>
        <s v="4640 Arden Way, El Monte, CA 91731"/>
        <s v="800 Reliant Wy, American Canyon, CA 94503"/>
        <s v="601 Telegraph Canyon Road, Chula Vista, CA 91910"/>
        <s v="10910 Huston St, North Hollywood, CA 91601"/>
        <s v="38000 Camden St, Fremont, CA 94536"/>
        <s v="1734 S. Barrington Ave., Los Angeles, CA, 90025"/>
        <s v="4129 Centinela Avenue, Los Angeles, CA 90066"/>
        <s v="4706 Centinela Avenue, Los Angeles, CA 90066"/>
        <s v="1747 Stoner Avenue, Los Angeles, CA 90025"/>
        <s v="2025 E. 4th Street, Los Angeles, CA"/>
        <s v="247 S. Alexandria Avenue, Los Angeles, CA"/>
        <s v="808 S. Hobart Boulevard, Los Angeles, CA"/>
        <s v="454 S. Catalina Street, Los Angeles, CA"/>
        <s v="103 S. Edgemont Street, Los Angeles, CA 90004"/>
        <s v="974 S. Gramercy Place, Los Angeles, CA"/>
        <s v="832 Irolo Street, Los Angeles, CA"/>
        <s v="941 S. Kenmore Avenue, Los Angeles, CA"/>
        <s v="426 S. Manhattan Place, Los Angeles, CA"/>
        <s v="260 S. Mariposa Avenue, Los Angeles, CA"/>
        <s v="739 S. Normandie Avenue, Los Angeles, CA"/>
        <s v="1111 S. Norton Avenue, Los Angeles, CA 90019"/>
        <s v="975-985 S. Oxford Avenue, Los Angeles, CA"/>
        <s v="960 S. Oxford Avenue, Los Angeles, CA"/>
        <s v="3715 W. 1st Street, Los Angeles, CA"/>
        <s v="515 S. St. Andrews Place, Los Angeles, CA 90020"/>
        <s v="516 S. St. Andrews Place, Los Angeles, CA 90020"/>
        <s v="2345 Northrop Ave, Sacramento, CA 95825"/>
        <s v="1260 Grove St, Healdsburg, CA 95448"/>
        <s v="3048 W. 12th Street, CA 90006"/>
        <s v="130 S. Alexandria Avenue, Los Angeles, CA"/>
        <s v="861 Fedora Street, Los Angeles, CA"/>
        <s v="200 S. Kenmore Avenue, Los Angeles, CA"/>
        <s v="915 S. Kenmore Avenue, Los Angeles, CA"/>
        <s v="530 Kingsley Drive, Los Angeles, CA"/>
        <s v="727 S. Mariposa Avenue, Los Angeles, CA"/>
        <s v="750-752 S. Mariposa Avenue, Los Angeles, CA"/>
        <s v="520 S. Mariposa Avenue, Los Angeles, CA"/>
        <s v="207 N. Oxford Avenue, Los Angeles, CA"/>
        <s v="1057 S. Western Avenue, Los Angeles, CA"/>
        <s v="236 N. Berendo Street., Los Angeles, CA"/>
        <s v="10705 Avalon Blvd, Los Angeles, CA"/>
        <s v="7524 S. Hoover St, Los Angeles, CA"/>
        <s v="5805 Charlotte Drive, San Jose, CA 95123"/>
        <s v="5669 N Fresno St, Fresno, CA 93710"/>
        <s v="18337 Kittridge St, Reseda, CA 91335"/>
        <s v="9033 Ramsgate Avenue, Westchester, CA"/>
        <s v="805 71st Avenue, Oakland, CA"/>
        <s v="1180 Lochinvar Ave, Sunnyvale, CA 94087"/>
        <s v="5210 Monterey Rd, San Jose, CA 95111"/>
        <s v="3765 Tamarack Ln, Santa Clara, CA 95051"/>
        <s v="7655 S San Pedro St, Los Angeles, CA 90003"/>
        <s v="2424 Wilshire Blvd, Los Angeles, CA 90057"/>
        <s v="841 S Serrano Ave, Los Angeles, CA 90005"/>
        <s v="715 Normandie Ave, Los Angeles, CA 90005"/>
        <s v="682 Irolo Street, Los Angeles, CA"/>
        <s v="5565 Ackerfield Avenue / 5700 Ackerfield Avenue, Long Beach, CA"/>
        <s v="12100 226th St, Hawaiian Gardens, CA 90716"/>
        <s v="2000 Crystal Springs Rd, San Bruno, CA 94066"/>
        <s v="1070 San Miguel Road, Concord, CA"/>
        <s v="36000 Fremont Boulevard, Fremont, CA"/>
        <s v="2130 N Marks Ave, Fresno, CA 93722"/>
        <s v="439 West El Norte Parkway / 1045 Morning View Drive, Escondido, CA"/>
        <s v="1141 N. Vermont Avenue, Los Angeles, CA 90029"/>
        <s v="2933 W. 8th Street, Los Angeles, CA"/>
        <s v="437 N. Ardmore Avenue, Los Angeles, CA"/>
        <s v="249 S. Ave 55, Los Angeles, CA"/>
        <s v="516 N. Harvard Boulevard, Los Angeles, CA"/>
        <s v="5200 Hollywood Boulevard, Los Angeles, CA"/>
        <s v="915 S. Kenmore Avenue, Los Angeles, CA "/>
        <s v="5406 Lexington Avenue, Los Angeles, CA"/>
        <s v="410 S. Manhattan Place / 509 S. Manhattan Place, Los Angeles, CA"/>
        <s v="5635 Monte Vista Street, Los Angeles, CA"/>
        <s v="207 S. Oxford St, Los Angeles, CA"/>
        <s v="300 W. Avenue 37, Los Angeles, CA"/>
        <s v="132 S. Westmoreland Avenue, Los Angeles, CA"/>
        <s v="234 Escuela Avenue, Mountain View, CA"/>
        <s v="201 S 4th St, San Jose, CA 95112"/>
        <s v="5565 &amp; 5575 Ackerfield Avenue, Long Beach, CA"/>
        <s v="1451 W. Martin Luther King Boulevard, Los Angeles, CA"/>
        <s v="4256 Whittier Blvd Apartments, Los Angeles, CA"/>
        <s v="225 W. 25th St, Los Angeles, CA"/>
        <s v="9422 Firth Avenue, Los Angeles, CA"/>
        <s v="4008 Martin Luther King Boulevard, Los Angeles, CA"/>
        <s v="2311 Ivy Hill Way, San Ramon, CA 94582"/>
        <s v="740 S. Western Avenue, Santa Maria, CA 93458"/>
        <s v="1723 Corinth Ave, Los Angeles, CA 90025"/>
        <s v="3751 Delmas Terrace, Los Angeles, CA 90034"/>
        <s v="3200 W 5th St, Santa Ana, CA 92703"/>
        <s v="9750 Airport Blvd, Westchester, CA 90045"/>
        <s v="1408 W Jefferson Blvd, Los Angeles, CA 90007"/>
        <s v="12342 Osborne Pl, Pacoima, CA 91331"/>
        <s v="220 Humboldt Ct. Sunnyvale, CA"/>
        <s v="1311 W Battles Rd, Santa Maria, CA 93458"/>
        <s v="2625 Cullen St, Los Angeles, CA 90034"/>
        <s v="2481 Sawtelle Blvd, Los Angeles, CA 90064"/>
        <s v="21701 Foothill Blvd, Hayward, CA 94541"/>
        <s v="11720 San Pablo Ave, El Cerrito, CA 94530"/>
        <s v="609 Frederick St, Santa Cruz, CA 95062"/>
        <s v="11720 San Pablo Avenue, El Cerrito, CA"/>
        <s v="4350 Galbrath Dr, Sacramento, CA 95842"/>
        <s v="1845 N Broadway, Escondido, CA 92026"/>
        <s v="1454 W Florence Ave, Los Angeles, CA 90047"/>
        <s v="6790 Embarcadero Ln, Carlsbad, CA 92011"/>
        <s v="6633 Valley Hi Drive, Sacramento, CA "/>
        <s v="142 Fig Tree Lane, Martinez, CA 94553"/>
        <s v="225 West Colden Avenue, Los Angeles, CA"/>
        <s v="11821 Foothill Blvd, Lake View Terrace, CA 91342"/>
        <s v="12091 Bayport St, Garden Grove, CA 92840"/>
        <s v="16077 Ashland Ave, San Lorenzo, CA 94580"/>
        <s v="5035 Guava Ave, La Mesa, CA 91942"/>
        <s v="511 N. Hoover Street, Los Angeles, California"/>
        <s v="6530 Independence Ave, Canoga Park, CA 91303"/>
        <s v="2075 W Jefferson BlvdLos Angeles, CA 90018"/>
        <s v="5416 Jackson St, North Highlands, CA 95660"/>
        <s v="444 N Amelia Ave, San Dimas, CA 91773"/>
        <s v="1408 W Jefferson Blvd Los Angeles, California 90007"/>
        <s v="603 S Mariposa AveLos Angeles, CA 90005"/>
        <s v="236 N Berendo St, Los Angeles, CA 90004"/>
        <s v="6219 Banner Avenue, Los Angeles, CA 90038"/>
        <s v="160 S Virgil Ave, Los Angeles, CA 90004"/>
        <s v="926 S Kingsley Dr, Los Angeles, CA 90006"/>
        <s v="939 S Kingsley Dr, Los Angeles, CA 90006"/>
        <s v="3950 Ingraham St, San Diego, CA 92109"/>
        <s v="6985 S. Centinela Avenue, Los Angeles, CA 90045"/>
        <s v="1178 N Edgemont St, Los Angeles, CA 90029"/>
        <s v="2780 N Texas St, Fairfield, CA 94533"/>
        <s v="1 Shoal Ct, Sacramento, CA 95831"/>
        <s v="2121 WOOD ST OAKLAND 94607"/>
      </sharedItems>
    </cacheField>
    <cacheField name="City's Cut" numFmtId="0">
      <sharedItems containsString="0" containsBlank="1" containsNumber="1" containsInteger="1">
        <m/>
        <n v="16850.0"/>
        <n v="15766.0"/>
        <n v="3600.0"/>
        <n v="10650.0"/>
        <n v="2250.0"/>
        <n v="7500.0"/>
        <n v="8400.0"/>
        <n v="4800.0"/>
        <n v="9150.0"/>
        <n v="22050.0"/>
        <n v="34050.0"/>
        <n v="11850.0"/>
        <n v="24900.0"/>
        <n v="23250.0"/>
        <n v="13350.0"/>
        <n v="9900.0"/>
        <n v="10350.0"/>
        <n v="16650.0"/>
        <n v="8700.0"/>
        <n v="15300.0"/>
        <n v="7800.0"/>
        <n v="24000.0"/>
        <n v="33750.0"/>
        <n v="11100.0"/>
        <n v="4200.0"/>
        <n v="6150.0"/>
        <n v="15600.0"/>
        <n v="7350.0"/>
        <n v="4350.0"/>
        <n v="3750.0"/>
        <n v="14700.0"/>
        <n v="13950.0"/>
        <n v="12000.0"/>
        <n v="7950.0"/>
        <n v="2500.0"/>
        <n v="35400.0"/>
        <n v="14850.0"/>
        <n v="60900.0"/>
        <n v="74775.0"/>
        <n v="72450.0"/>
        <n v="6000.0"/>
        <n v="34350.0"/>
        <n v="9300.0"/>
        <n v="21600.0"/>
        <n v="29700.0"/>
        <n v="22650.0"/>
        <n v="15000.0"/>
        <n v="28950.0"/>
        <n v="44400.0"/>
        <n v="24750.0"/>
        <n v="17250.0"/>
        <n v="10200.0"/>
        <n v="40500.0"/>
        <n v="28350.0"/>
        <n v="18300.0"/>
        <n v="16800.0"/>
        <n v="20400.0"/>
        <n v="22200.0"/>
        <n v="30450.0"/>
        <n v="98100.0"/>
        <n v="5250.0"/>
        <n v="4500.0"/>
        <n v="2850.0"/>
        <n v="4050.0"/>
        <n v="3000.0"/>
        <n v="7050.0"/>
        <n v="74025.0"/>
        <n v="2550.0"/>
        <n v="12600.0"/>
        <n v="34500.0"/>
        <n v="93600.0"/>
        <n v="24600.0"/>
        <n v="26550.0"/>
        <n v="27450.0"/>
        <n v="5550.0"/>
        <n v="28800.0"/>
        <n v="10800.0"/>
        <n v="7200.0"/>
        <n v="6450.0"/>
        <n v="5700.0"/>
        <n v="9000.0"/>
        <n v="10950.0"/>
        <n v="8250.0"/>
        <n v="8850.0"/>
        <n v="40800.0"/>
        <n v="5850.0"/>
        <n v="2700.0"/>
        <n v="6750.0"/>
        <n v="3450.0"/>
        <n v="11400.0"/>
        <n v="41700.0"/>
        <n v="17400.0"/>
        <n v="42900.0"/>
        <n v="17100.0"/>
        <n v="25500.0"/>
        <n v="27150.0"/>
        <n v="22800.0"/>
        <n v="15150.0"/>
        <n v="32400.0"/>
        <n v="18000.0"/>
        <n v="16500.0"/>
        <n v="43500.0"/>
        <n v="10050.0"/>
        <n v="6300.0"/>
        <n v="15900.0"/>
        <n v="4650.0"/>
        <n v="33150.0"/>
        <n v="57000.0"/>
        <n v="34800.0"/>
        <n v="10500.0"/>
        <n v="39600.0"/>
        <n v="5500.0"/>
        <n v="29550.0"/>
        <n v="18450.0"/>
        <n v="22500.0"/>
        <n v="31200.0"/>
        <n v="5100.0"/>
        <n v="14100.0"/>
        <n v="7650.0"/>
        <n v="9450.0"/>
        <n v="19800.0"/>
      </sharedItems>
    </cacheField>
    <cacheField name="Parcel Identified" numFmtId="0">
      <sharedItems containsBlank="1">
        <m/>
        <b v="1"/>
      </sharedItems>
    </cacheField>
    <cacheField name="Welfare Exemption On 2025 Roll" numFmtId="0">
      <sharedItems containsBlank="1">
        <m/>
        <b v="1"/>
        <b v="0"/>
      </sharedItems>
    </cacheField>
    <cacheField name="Total Roll Value" numFmtId="0">
      <sharedItems containsString="0" containsBlank="1" containsNumber="1" containsInteger="1">
        <m/>
        <n v="6.7860998E7"/>
        <n v="4.9668778E7"/>
        <n v="4447710.0"/>
        <n v="4156500.0"/>
        <n v="527950.0"/>
        <n v="1.7059601E7"/>
        <n v="9316117.0"/>
        <n v="7398189.0"/>
        <n v="1.731348E7"/>
        <n v="1.1783947E7"/>
        <n v="9142457.0"/>
        <n v="2856000.0"/>
        <n v="2013882.0"/>
        <n v="1360000.0"/>
        <n v="2.4257157E7"/>
        <n v="1.7116303E7"/>
        <n v="8706757.0"/>
        <n v="2.691486E7"/>
        <n v="1333447.0"/>
        <n v="3.246048E7"/>
        <n v="1.7952E7"/>
        <n v="1.6626E7"/>
        <n v="4.075E7"/>
        <n v="3.4425E7"/>
        <n v="8899678.0"/>
        <n v="1.09242E7"/>
        <n v="1.279692E7"/>
        <n v="9977564.0"/>
        <n v="2.56469E7"/>
        <n v="0.0"/>
        <n v="1.717E7"/>
        <n v="2.307E7"/>
        <n v="2.09E7"/>
        <n v="7050000.0"/>
        <n v="6580000.0"/>
        <n v="2.935E7"/>
        <n v="2.425E7"/>
        <n v="2.69E7"/>
        <n v="1275000.0"/>
        <n v="1326510.0"/>
        <n v="1.779084E7"/>
        <n v="3719558.0"/>
        <n v="429364.0"/>
        <n v="4.38E7"/>
        <n v="3.3879341E7"/>
        <n v="1298913.0"/>
        <n v="1.292E8"/>
        <n v="2.523625E8"/>
        <n v="1.3362E7"/>
        <n v="2509100.0"/>
        <n v="5.3339453E7"/>
        <n v="1.511181E7"/>
        <n v="5832864.0"/>
        <n v="1.2145525E7"/>
        <n v="9.4978083E7"/>
        <n v="1.7293255E7"/>
        <n v="3.183815E7"/>
        <n v="8.2453101E7"/>
        <n v="3.6559633E7"/>
        <n v="1.4702565E7"/>
        <n v="5.0937984E7"/>
        <n v="1144440.0"/>
        <n v="2850591.0"/>
        <n v="1.0616112E7"/>
        <n v="2065837.0"/>
        <n v="6.069E7"/>
        <n v="5.3482929E7"/>
        <n v="7802661.0"/>
        <n v="1.487772E7"/>
        <n v="1.7292725E7"/>
        <n v="3.4811784E7"/>
        <n v="2.524E7"/>
        <n v="7.3513835E7"/>
        <n v="3138751.0"/>
        <n v="3.0350548E7"/>
        <n v="2804259.0"/>
        <n v="1569525.0"/>
        <n v="2.22047798E8"/>
        <n v="3451872.0"/>
        <n v="5960901.0"/>
        <n v="595337.0"/>
        <n v="426520.0"/>
        <n v="1352393.0"/>
        <n v="689784.0"/>
        <n v="1363864.0"/>
        <n v="3002337.0"/>
        <n v="1.29082596E8"/>
        <n v="2.1864168E7"/>
        <n v="1.13197044E8"/>
        <n v="850000.0"/>
        <n v="1.3224803E7"/>
        <n v="2.9731674E8"/>
        <n v="4853048.0"/>
        <n v="4.5003808E7"/>
        <n v="4.6693244E7"/>
        <n v="5.1548563E7"/>
        <n v="1417800.0"/>
        <n v="7.3418537E7"/>
        <n v="2225000.0"/>
        <n v="1630000.0"/>
        <n v="2190000.0"/>
        <n v="1845000.0"/>
        <n v="4166030.0"/>
        <n v="4457073.0"/>
        <n v="7984000.0"/>
        <n v="7490880.0"/>
        <n v="1.0674504E7"/>
        <n v="7216214.0"/>
        <n v="7195628.0"/>
        <n v="4338468.0"/>
        <n v="6897851.0"/>
        <n v="8388848.0"/>
        <n v="4993920.0"/>
        <n v="3121200.0"/>
        <n v="1.0493522E7"/>
        <n v="1.420692E7"/>
        <n v="1.1906753E7"/>
        <n v="1.0012496E7"/>
        <n v="1.4209574E7"/>
        <n v="5.1313873E7"/>
        <n v="1.0140095E7"/>
        <n v="2688395.0"/>
        <n v="1.3742642E7"/>
        <n v="9710053.0"/>
        <n v="9200673.0"/>
        <n v="2895505.0"/>
        <n v="1.0516571E7"/>
        <n v="7089929.0"/>
        <n v="6547652.0"/>
        <n v="1.1471658E7"/>
        <n v="6452506.0"/>
        <n v="1.4010916E7"/>
        <n v="1387200.0"/>
        <n v="936360.0"/>
        <n v="2.69608107E8"/>
        <n v="3.0330305E7"/>
        <n v="943500.0"/>
        <n v="1206999.0"/>
        <n v="7.0919811E7"/>
        <n v="6.0096598E7"/>
        <n v="2.797906E7"/>
        <n v="800000.0"/>
        <n v="3454142.0"/>
        <n v="4558215.0"/>
        <n v="5831313.0"/>
        <n v="3524298.0"/>
        <n v="3.9317756E7"/>
        <n v="2.3346575E7"/>
        <n v="1.80060039E8"/>
        <n v="3.4848175E7"/>
        <n v="6.5613972E7"/>
        <n v="1.0673404E7"/>
        <n v="8.5170741E7"/>
        <n v="9082692.0"/>
        <n v="1.04843965E8"/>
        <n v="3.1718046E7"/>
        <n v="6.9647731E7"/>
        <n v="2.2728E7"/>
        <n v="2.6605309E7"/>
        <n v="3.8656726E7"/>
        <n v="4.275E7"/>
        <n v="1.1438021E7"/>
        <n v="1.20178213E8"/>
        <n v="4.1186542E7"/>
      </sharedItems>
    </cacheField>
    <cacheField name="Confirmed Exemption" numFmtId="0">
      <sharedItems containsString="0" containsBlank="1" containsNumber="1" containsInteger="1">
        <m/>
        <n v="6.7860998E7"/>
        <n v="4.9157189E7"/>
        <n v="4262686.0"/>
        <n v="4156500.0"/>
        <n v="527950.0"/>
        <n v="1.6718409E7"/>
        <n v="0.0"/>
        <n v="7089890.0"/>
        <n v="2.691486E7"/>
        <n v="1.5786989E7"/>
        <n v="1.6306781E7"/>
        <n v="3.1825913E7"/>
        <n v="1.0903361E7"/>
        <n v="1.2776081E7"/>
        <n v="2.3179668E7"/>
        <n v="4062807.0"/>
        <n v="1.0578326E7"/>
        <n v="1.088681E7"/>
        <n v="3659058.0"/>
        <n v="4088045.0"/>
        <n v="2.2352409E7"/>
        <n v="1.6429375E7"/>
        <n v="28000.0"/>
        <n v="4.1642082E7"/>
        <n v="1.6976485E7"/>
        <n v="1.8850147E7"/>
        <n v="4371074.0"/>
        <n v="5.3482929E7"/>
        <n v="936360.0"/>
        <n v="6.0096598E7"/>
        <n v="4.6831134E7"/>
        <n v="9419226.0"/>
        <n v="8.2808796E7"/>
      </sharedItems>
    </cacheField>
    <cacheField name="Best Estimate Exemption">
      <sharedItems containsBlank="1" containsMixedTypes="1" containsNumber="1">
        <m/>
        <n v="4.8922239884693876E7"/>
        <n v="3.5807134343877554E7"/>
        <n v="4002939.0"/>
        <n v="3688161.971830986"/>
        <n v="443478.0"/>
        <n v="1.53536409E7"/>
        <n v="3443636.1053571426"/>
        <n v="2704962.853125"/>
        <n v="1.5582132E7"/>
        <n v="1.06055523E7"/>
        <n v="8228211.3"/>
        <n v="1561762.0253164556"/>
        <n v="1812493.8"/>
        <n v="1224000.0"/>
        <n v="9811883.730337078"/>
        <n v="6301911.559090909"/>
        <n v="7836081.3"/>
        <n v="2.4223374E7"/>
        <n v="411869.4284023669"/>
        <n v="2.893079673786408E7"/>
        <n v="1.61568E7"/>
        <n v="1.49634E7"/>
        <n v="3.6675E7"/>
        <n v="3.09825E7"/>
        <n v="8009710.2"/>
        <n v="9438508.8"/>
        <n v="1.1120082206896553E7"/>
        <n v="8979807.6"/>
        <n v="2.308221E7"/>
        <n v="0.0"/>
        <n v="9509538.461538462"/>
        <n v="1.4130375E7"/>
        <n v="1.1364375E7"/>
        <n v="6100961.538461539"/>
        <n v="5694230.769230769"/>
        <n v="1.568890909090909E7"/>
        <n v="2.1825E7"/>
        <n v="2.421E7"/>
        <n v="1147500.0"/>
        <n v="922527.4090909092"/>
        <n v="3296538.0"/>
        <n v="1976509.8095744683"/>
        <n v="304848.44"/>
        <n v="3.942E7"/>
        <n v="3.0491406900000002E7"/>
        <n v="1169021.7"/>
        <n v="1.1628E8"/>
        <n v="2.2712625E8"/>
        <n v="1.1902584836065574E7"/>
        <n v="2203112.1951219514"/>
        <n v="4.80055077E7"/>
        <n v="1.3384746E7"/>
        <n v="5213373.616551724"/>
        <n v="1.09309725E7"/>
        <n v="3.4576290889887646E7"/>
        <n v="6233828.526525199"/>
        <n v="2.1643167925531916E7"/>
        <n v="3.844963259067358E7"/>
        <n v="3.29036697E7"/>
        <n v="1.32323085E7"/>
        <n v="6783068.2775510205"/>
        <n v="998784.0"/>
        <n v="2550076.888554217"/>
        <n v="9554500.8"/>
        <n v="1843225.2543103448"/>
        <n v="2.1977680473372784E7"/>
        <n v="4.778070495220588E7"/>
        <n v="7022394.9"/>
        <n v="1.3389948E7"/>
        <n v="1.55634525E7"/>
        <n v="2.2716E7"/>
        <n v="6.61624515E7"/>
        <n v="2212072.1333333333"/>
        <n v="2.73154932E7"/>
        <n v="2489495.234693878"/>
        <n v="1384321.05"/>
        <n v="1.9984301820000002E8"/>
        <n v="3020388.0"/>
        <n v="5191752.483870968"/>
        <n v="509013.135"/>
        <n v="370158.4285714286"/>
        <n v="1159194.0"/>
        <n v="599398.5103448275"/>
        <n v="1201905.1500000001"/>
        <n v="2605599.6107142856"/>
        <n v="1.161743364E8"/>
        <n v="1.96777512E7"/>
        <n v="1.0187733960000001E8"/>
        <n v="753913.0434782609"/>
        <n v="1.1902322700000001E7"/>
        <n v="2.67585066E8"/>
        <n v="4367743.2"/>
        <n v="4.05034272E7"/>
        <n v="4.20239196E7"/>
        <n v="4.63937067E7"/>
        <n v="1242440.5263157894"/>
        <n v="6.6076683300000004E7"/>
        <n v="2002500.0"/>
        <n v="1446625.0"/>
        <n v="1944000.0"/>
        <n v="1629169.811320755"/>
        <n v="3749427.0"/>
        <n v="4011365.7"/>
        <n v="7185600.0"/>
        <n v="6741792.0"/>
        <n v="9607053.6"/>
        <n v="6494592.600000001"/>
        <n v="6476065.2"/>
        <n v="3904621.2"/>
        <n v="6208065.9"/>
        <n v="7549963.2"/>
        <n v="4494528.0"/>
        <n v="2809080.0"/>
        <n v="9444169.8"/>
        <n v="1.2786228E7"/>
        <n v="1.0716077700000001E7"/>
        <n v="9011246.4"/>
        <n v="1.27886166E7"/>
        <n v="4.61824857E7"/>
        <n v="9126085.5"/>
        <n v="2419555.5"/>
        <n v="1.23683778E7"/>
        <n v="8739047.700000001"/>
        <n v="8280605.7"/>
        <n v="2605954.5"/>
        <n v="9464913.9"/>
        <n v="6380936.100000001"/>
        <n v="5892886.8"/>
        <n v="1.0324492200000001E7"/>
        <n v="5807255.4"/>
        <n v="1.26098244E7"/>
        <n v="1248480.0"/>
        <n v="842724.0"/>
        <n v="2537863.291139241"/>
        <n v="9.705891852E7"/>
        <n v="2.72972745E7"/>
        <n v="849150.0"/>
        <n v="1086299.1"/>
        <n v="6.38278299E7"/>
        <n v="5.40869382E7"/>
        <n v="2.5181154E7"/>
        <n v="720000.0"/>
        <n v="3108727.8000000003"/>
        <n v="4102393.5"/>
        <n v="5248181.7"/>
        <n v="3171868.2"/>
        <n v="3.53859804E7"/>
        <n v="2.10119175E7"/>
        <n v="7.262172527302904E7"/>
        <n v="3.13633575E7"/>
        <n v="5.9052574800000004E7"/>
        <n v="9606063.6"/>
        <n v="6.1211639629764065E7"/>
        <n v="8174422.8"/>
        <n v="3.8032683221938774E7"/>
        <n v="2.8546241400000002E7"/>
        <n v="2.1821371009556316E7"/>
        <n v="2.04552E7"/>
        <n v="2.39447781E7"/>
        <n v="3.47910534E7"/>
        <n v="7695000.0"/>
        <n v="1.02942189E7"/>
        <n v="3.2286684089552235E7"/>
        <n v="3.7067887800000004E7"/>
        <e v="#DIV/0!"/>
      </sharedItems>
    </cacheField>
    <cacheField name="Confirmed or Best Estimate Exemption" numFmtId="0">
      <sharedItems containsString="0" containsBlank="1" containsNumber="1">
        <m/>
        <n v="6.7860998E7"/>
        <n v="4.9157189E7"/>
        <n v="4262686.0"/>
        <n v="4156500.0"/>
        <n v="527950.0"/>
        <n v="1.6718409E7"/>
        <n v="3443636.1053571426"/>
        <n v="2704962.853125"/>
        <n v="1.5582132E7"/>
        <n v="1.06055523E7"/>
        <n v="8228211.3"/>
        <n v="1561762.0253164556"/>
        <n v="7089890.0"/>
        <n v="1224000.0"/>
        <n v="9811883.730337078"/>
        <n v="6301911.559090909"/>
        <n v="7836081.3"/>
        <n v="2.691486E7"/>
        <n v="411869.4284023669"/>
        <n v="2.893079673786408E7"/>
        <n v="1.5786989E7"/>
        <n v="1.6306781E7"/>
        <n v="3.6675E7"/>
        <n v="3.1825913E7"/>
        <n v="8009710.2"/>
        <n v="1.0903361E7"/>
        <n v="1.2776081E7"/>
        <n v="8979807.6"/>
        <n v="2.3179668E7"/>
        <n v="0.0"/>
        <n v="4062807.0"/>
        <n v="1.0578326E7"/>
        <n v="1.088681E7"/>
        <n v="3659058.0"/>
        <n v="4088045.0"/>
        <n v="2.2352409E7"/>
        <n v="1.6429375E7"/>
        <n v="2.421E7"/>
        <n v="1147500.0"/>
        <n v="922527.4090909092"/>
        <n v="3296538.0"/>
        <n v="1976509.8095744683"/>
        <n v="304848.44"/>
        <n v="3.942E7"/>
        <n v="3.0491406900000002E7"/>
        <n v="1169021.7"/>
        <n v="1.1628E8"/>
        <n v="28000.0"/>
        <n v="1.1902584836065574E7"/>
        <n v="2203112.1951219514"/>
        <n v="4.80055077E7"/>
        <n v="1.3384746E7"/>
        <n v="5213373.616551724"/>
        <n v="1.09309725E7"/>
        <n v="4.1642082E7"/>
        <n v="1.6976485E7"/>
        <n v="2.1643167925531916E7"/>
        <n v="3.844963259067358E7"/>
        <n v="1.8850147E7"/>
        <n v="4371074.0"/>
        <n v="6783068.2775510205"/>
        <n v="998784.0"/>
        <n v="2550076.888554217"/>
        <n v="9554500.8"/>
        <n v="1843225.2543103448"/>
        <n v="2.1977680473372784E7"/>
        <n v="5.3482929E7"/>
        <n v="7022394.9"/>
        <n v="1.3389948E7"/>
        <n v="1.55634525E7"/>
        <n v="2.2716E7"/>
        <n v="6.61624515E7"/>
        <n v="2212072.1333333333"/>
        <n v="2.73154932E7"/>
        <n v="2489495.234693878"/>
        <n v="1384321.05"/>
        <n v="1.9984301820000002E8"/>
        <n v="3020388.0"/>
        <n v="5191752.483870968"/>
        <n v="509013.135"/>
        <n v="370158.4285714286"/>
        <n v="1159194.0"/>
        <n v="599398.5103448275"/>
        <n v="1201905.1500000001"/>
        <n v="2605599.6107142856"/>
        <n v="1.161743364E8"/>
        <n v="1.96777512E7"/>
        <n v="1.0187733960000001E8"/>
        <n v="753913.0434782609"/>
        <n v="1.1902322700000001E7"/>
        <n v="2.67585066E8"/>
        <n v="4367743.2"/>
        <n v="4.05034272E7"/>
        <n v="4.20239196E7"/>
        <n v="4.63937067E7"/>
        <n v="1242440.5263157894"/>
        <n v="6.6076683300000004E7"/>
        <n v="2002500.0"/>
        <n v="1446625.0"/>
        <n v="1944000.0"/>
        <n v="1629169.811320755"/>
        <n v="3749427.0"/>
        <n v="4011365.7"/>
        <n v="7185600.0"/>
        <n v="6741792.0"/>
        <n v="9607053.6"/>
        <n v="6494592.600000001"/>
        <n v="6476065.2"/>
        <n v="3904621.2"/>
        <n v="6208065.9"/>
        <n v="7549963.2"/>
        <n v="4494528.0"/>
        <n v="2809080.0"/>
        <n v="9444169.8"/>
        <n v="1.2786228E7"/>
        <n v="1.0716077700000001E7"/>
        <n v="9011246.4"/>
        <n v="1.27886166E7"/>
        <n v="4.61824857E7"/>
        <n v="9126085.5"/>
        <n v="2419555.5"/>
        <n v="1.23683778E7"/>
        <n v="8739047.700000001"/>
        <n v="8280605.7"/>
        <n v="2605954.5"/>
        <n v="9464913.9"/>
        <n v="6380936.100000001"/>
        <n v="5892886.8"/>
        <n v="1.0324492200000001E7"/>
        <n v="5807255.4"/>
        <n v="1.26098244E7"/>
        <n v="1248480.0"/>
        <n v="936360.0"/>
        <n v="2537863.291139241"/>
        <n v="9.705891852E7"/>
        <n v="2.72972745E7"/>
        <n v="849150.0"/>
        <n v="1086299.1"/>
        <n v="6.38278299E7"/>
        <n v="6.0096598E7"/>
        <n v="2.5181154E7"/>
        <n v="720000.0"/>
        <n v="3108727.8000000003"/>
        <n v="4102393.5"/>
        <n v="5248181.7"/>
        <n v="3171868.2"/>
        <n v="3.53859804E7"/>
        <n v="2.10119175E7"/>
        <n v="7.262172527302904E7"/>
        <n v="3.13633575E7"/>
        <n v="5.9052574800000004E7"/>
        <n v="9606063.6"/>
        <n v="6.1211639629764065E7"/>
        <n v="8174422.8"/>
        <n v="3.8032683221938774E7"/>
        <n v="2.8546241400000002E7"/>
        <n v="4.6831134E7"/>
        <n v="2.04552E7"/>
        <n v="2.39447781E7"/>
        <n v="3.47910534E7"/>
        <n v="9419226.0"/>
        <n v="1.02942189E7"/>
        <n v="8.2808796E7"/>
        <n v="3.7067887800000004E7"/>
        <n v="6.0681517E7"/>
      </sharedItems>
    </cacheField>
    <cacheField name="Tax Rate" numFmtId="0">
      <sharedItems containsString="0" containsBlank="1" containsNumber="1">
        <m/>
        <n v="0.011873799999999999"/>
        <n v="0.0113"/>
        <n v="0.011211"/>
        <n v="0.0125114"/>
        <n v="0.012"/>
        <n v="0.011724"/>
        <n v="0.012779"/>
        <n v="0.011703300000000002"/>
        <n v="0.010783000000000001"/>
        <n v="0.011195"/>
        <n v="0.013851479999999998"/>
        <n v="0.012792"/>
        <n v="0.011785"/>
        <n v="0.01203757"/>
        <n v="0.012807649999999999"/>
        <n v="0.010839999999999999"/>
        <n v="0.011201000000000001"/>
        <n v="0.011454"/>
        <n v="0.011873000000000002"/>
        <n v="0.01206499"/>
        <n v="0.012323"/>
        <n v="0.012400999999999999"/>
        <n v="0.012330859999999999"/>
        <n v="0.011268"/>
        <n v="0.011015"/>
        <n v="0.011372"/>
        <n v="0.011162000000000002"/>
        <n v="0.011602000000000001"/>
        <n v="0.010941000000000001"/>
        <n v="0.014192"/>
        <n v="0.01175703"/>
        <n v="0.0116448"/>
        <n v="0.013231919999999998"/>
        <n v="0.010943999999999999"/>
        <n v="0.011874800000000001"/>
        <n v="0.011741"/>
        <n v="0.0115"/>
        <n v="0.0125"/>
        <n v="0.011322"/>
        <n v="0.011437000000000001"/>
        <n v="0.011355719999999998"/>
        <n v="0.010992"/>
        <n v="0.0114011"/>
        <n v="0.010471999999999999"/>
      </sharedItems>
    </cacheField>
    <cacheField name="Confirmed Annual Revenue Loss" numFmtId="0">
      <sharedItems containsString="0" containsBlank="1" containsNumber="1">
        <m/>
        <n v="0.0"/>
        <n v="50614.281026799996"/>
        <n v="46968.45"/>
        <n v="6268.772709999999"/>
        <n v="187430.08329900002"/>
        <n v="90601.70431"/>
        <n v="319581.66466799995"/>
        <n v="187451.5499882"/>
        <n v="193623.45623779998"/>
        <n v="440835.99740123993"/>
        <n v="129464.32784179998"/>
        <n v="151700.63057779998"/>
        <n v="273172.38738000003"/>
        <n v="48906.32365899"/>
        <n v="127337.33970781999"/>
        <n v="131050.73745169998"/>
        <n v="44046.16680906"/>
        <n v="49210.127850649995"/>
        <n v="269068.68800613"/>
        <n v="195079.11287499996"/>
        <n v="502411.30290918"/>
        <n v="201575.38759299996"/>
        <n v="233760.67294699998"/>
        <n v="53899.10154364"/>
        <n v="596976.453498"/>
        <n v="11118.151367999999"/>
        <n v="745257.911798"/>
      </sharedItems>
    </cacheField>
    <cacheField name="Best Estimate Annual Revenue Loss" numFmtId="0">
      <sharedItems containsString="0" containsBlank="1" containsNumber="1">
        <m/>
        <n v="0.0"/>
        <n v="50614.281026799996"/>
        <n v="46968.45"/>
        <n v="6268.772709999999"/>
        <n v="187430.08329900002"/>
        <n v="43084.70876856535"/>
        <n v="32459.5542375"/>
        <n v="182684.915568"/>
        <n v="125928.20689973999"/>
        <n v="97700.13533393998"/>
        <n v="18544.04993620253"/>
        <n v="90601.70431"/>
        <n v="14533.531199999998"/>
        <n v="125386.06218997751"/>
        <n v="75622.9387090909"/>
        <n v="93044.06213993998"/>
        <n v="319581.66466799995"/>
        <n v="4820.2314814214205"/>
        <n v="311960.7812243884"/>
        <n v="187451.5499882"/>
        <n v="193623.45623779998"/>
        <n v="410576.625"/>
        <n v="440835.99740123993"/>
        <n v="95105.69697276"/>
        <n v="129464.32784179998"/>
        <n v="151700.63057779998"/>
        <n v="114869.69881919998"/>
        <n v="273172.38738000003"/>
        <n v="48906.32365899"/>
        <n v="127337.33970781999"/>
        <n v="131050.73745169998"/>
        <n v="44046.16680906"/>
        <n v="49210.127850649995"/>
        <n v="269068.68800613"/>
        <n v="195079.11287499996"/>
        <n v="310073.2065"/>
        <n v="13625.185499999998"/>
        <n v="10953.905950063636"/>
        <n v="39142.4329044"/>
        <n v="23468.68217692532"/>
        <n v="3619.709406872"/>
        <n v="468065.19599999994"/>
        <n v="330526.850796"/>
        <n v="13880.729861459999"/>
        <n v="1301754.6"/>
        <n v="313.62800000000004"/>
        <n v="148917.99991795083"/>
        <n v="26159.313582439023"/>
        <n v="600616.1090377801"/>
        <n v="153308.880684"/>
        <n v="65226.60266612525"/>
        <n v="129783.43649250001"/>
        <n v="502411.30290918"/>
        <n v="201575.38759299996"/>
        <n v="266708.7583463298"/>
        <n v="461395.591088083"/>
        <n v="233760.67294699998"/>
        <n v="53899.10154364"/>
        <n v="76431.6133514449"/>
        <n v="11859.3614592"/>
        <n v="30279.102959315056"/>
        <n v="105242.82631200002"/>
        <n v="21886.08802463017"/>
        <n v="249930.1823431953"/>
        <n v="596976.453498"/>
        <n v="83382.51256362"/>
        <n v="158989.5645624"/>
        <n v="184797.3222945"/>
        <n v="248535.75600000002"/>
        <n v="793949.4180000001"/>
        <n v="26265.70209677333"/>
        <n v="341755.06162248"/>
        <n v="31147.070679348984"/>
        <n v="16437.15128349"/>
        <n v="2836172.1142944"/>
        <n v="35863.48303439999"/>
        <n v="61645.83064298709"/>
        <n v="6043.920162363"/>
        <n v="4395.187149171428"/>
        <n v="13764.037717199999"/>
        <n v="7117.138032132412"/>
        <n v="14271.18137007"/>
        <n v="30938.36865769928"/>
        <n v="1379430.8355463198"/>
        <n v="231351.911190936"/>
        <n v="1263380.8883796"/>
        <n v="8951.812695652172"/>
        <n v="138600.16737696002"/>
        <n v="3318322.4034659998"/>
        <n v="54164.3834232"/>
        <n v="535938.1084362239"/>
        <n v="459909.7761024"/>
        <n v="550915.9883211601"/>
        <n v="14752.49032136842"/>
        <n v="775806.3386253"/>
        <n v="23777.284499999998"/>
        <n v="17176.935924999998"/>
        <n v="23082.667199999996"/>
        <n v="19344.43650566038"/>
        <n v="44519.9463126"/>
        <n v="47630.15404866"/>
        <n v="85320.37727999999"/>
        <n v="80050.68984959999"/>
        <n v="114072.23303567998"/>
        <n v="77115.49361388"/>
        <n v="76895.50297176"/>
        <n v="46362.69120456"/>
        <n v="73713.33288342"/>
        <n v="89646.75304416"/>
        <n v="53367.126566399995"/>
        <n v="33354.454104"/>
        <n v="112138.18337124"/>
        <n v="151821.11402639997"/>
        <n v="127240.56339426"/>
        <n v="106997.73750431999"/>
        <n v="151849.47578507997"/>
        <n v="528974.1912078001"/>
        <n v="104949.98325"/>
        <n v="28729.3180959"/>
        <n v="146859.64432164"/>
        <n v="103765.70458026"/>
        <n v="98322.25596066"/>
        <n v="30942.582542099997"/>
        <n v="112384.49466581999"/>
        <n v="75765.95906418"/>
        <n v="69970.95928583998"/>
        <n v="122590.95548436"/>
        <n v="68954.18916852"/>
        <n v="149726.53296071998"/>
        <n v="14824.201823999998"/>
        <n v="11118.151367999999"/>
        <n v="30134.081146329114"/>
        <n v="1203627.6485665198"/>
        <n v="341215.93125"/>
        <n v="10082.63727"/>
        <n v="12898.498253579999"/>
        <n v="722658.6901278"/>
        <n v="745257.911798"/>
        <n v="287996.858298"/>
        <n v="8549.135999999999"/>
        <n v="37421.528503446"/>
        <n v="48710.9999403"/>
        <n v="62315.85986945999"/>
        <n v="37662.12863316"/>
        <n v="426931.49966619594"/>
        <n v="238605.45179309996"/>
        <n v="794554.2962122109"/>
        <n v="344746.02564"/>
        <n v="693336.2807268001"/>
        <n v="120075.795"/>
        <n v="697880.0245829031"/>
        <n v="214206.85439999998"/>
        <n v="407890.3100616"/>
      </sharedItems>
    </cacheField>
    <cacheField name="Link" numFmtId="0">
      <sharedItems containsBlank="1">
        <m/>
        <s v="https://www.1422on6th.com/"/>
        <s v="https://www.ethos-re.com/news/sofi-at-los-gatos-creek-adam-siegman-comments-on-affordable-housing"/>
        <s v="https://www.cmfa-ca.com/wp-content/uploads/2025/01/CMFA-Staff-Reports-01-10-25.pdf"/>
        <s v="https://rebusinessonline.com/sack-properties-belveron-partners-buy-164-unit-multifamily-property-in-san-jose-california/"/>
        <s v="https://vistria.com/vistria-real-estate-acquires-orange-county-apartment-community/"/>
        <s v="https://cscda.org/wp-content/uploads/2026/06/CSCDA-Agenda-Packet-7.2.26.pdf"/>
      </sharedItems>
    </cacheField>
    <cacheField name="Leasing Link" numFmtId="0">
      <sharedItems containsBlank="1">
        <m/>
        <s v="https://www.townhomesongadingapts.com/"/>
        <s v="https://www.electriclofts.com/"/>
        <s v="https://bridgehousing.com/properties/viewpoint/"/>
        <s v="https://www.losgatoslandingapts.com/"/>
        <s v="https://www.theheltsley.com/"/>
        <s v="https://www.camdenvillageapts.com/"/>
      </sharedItems>
    </cacheField>
    <cacheField name="New build?" numFmtId="0">
      <sharedItems containsBlank="1">
        <s v="NO"/>
        <m/>
        <s v="YES"/>
        <s v="NO/YES"/>
      </sharedItems>
    </cacheField>
    <cacheField name="Built">
      <sharedItems containsBlank="1" containsMixedTypes="1" containsNumber="1" containsInteger="1">
        <n v="1988.0"/>
        <m/>
        <n v="2023.0"/>
        <n v="2020.0"/>
        <n v="2021.0"/>
        <n v="1969.0"/>
        <n v="1989.0"/>
        <n v="1997.0"/>
        <n v="2004.0"/>
        <n v="2008.0"/>
        <n v="1987.0"/>
        <n v="1965.0"/>
        <n v="1984.0"/>
        <s v="1973/1991"/>
        <n v="1978.0"/>
        <n v="1964.0"/>
        <n v="2016.0"/>
        <n v="1972.0"/>
        <n v="1981.0"/>
        <n v="1929.0"/>
        <n v="1990.0"/>
        <n v="1974.0"/>
        <n v="1980.0"/>
      </sharedItems>
    </cacheField>
    <cacheField name="Acquisition Price (M)" numFmtId="0">
      <sharedItems containsString="0" containsBlank="1" containsNumber="1">
        <m/>
        <n v="1.76E7"/>
        <n v="1.63E7"/>
        <n v="1.717E7"/>
        <n v="5390000.0"/>
        <n v="61.1"/>
        <n v="410.0"/>
      </sharedItems>
    </cacheField>
    <cacheField name="Acquisition Date" numFmtId="0">
      <sharedItems containsDate="1" containsString="0" containsBlank="1">
        <m/>
        <d v="2024-06-28T00:00:00Z"/>
        <d v="2024-06-13T00:00:00Z"/>
        <d v="2024-09-12T00:00:00Z"/>
        <d v="2024-12-31T00:00:00Z"/>
        <d v="2024-12-05T00:00:00Z"/>
        <d v="2025-09-03T00:00:00Z"/>
        <d v="2025-08-27T00:00:00Z"/>
        <d v="2025-08-29T00:00:00Z"/>
      </sharedItems>
    </cacheField>
    <cacheField name="Regulatory Term" numFmtId="0">
      <sharedItems containsString="0" containsBlank="1" containsNumber="1" containsInteger="1">
        <m/>
        <n v="15.0"/>
        <n v="10.0"/>
        <n v="20.0"/>
        <n v="55.0"/>
      </sharedItems>
    </cacheField>
    <cacheField name="Closing Fee" numFmtId="165">
      <sharedItems containsString="0" containsBlank="1" containsNumber="1" containsInteger="1">
        <n v="100200.0"/>
        <n v="117600.0"/>
        <n v="14400.0"/>
        <n v="42600.0"/>
        <n v="10000.0"/>
        <n v="28800.0"/>
        <n v="33600.0"/>
        <n v="19200.0"/>
        <n v="36600.0"/>
        <n v="88200.0"/>
        <n v="136200.0"/>
        <n v="47400.0"/>
        <n v="99600.0"/>
        <n v="92400.0"/>
        <n v="53400.0"/>
        <n v="39600.0"/>
        <n v="41400.0"/>
        <n v="66600.0"/>
        <n v="101400.0"/>
        <n v="61800.0"/>
        <n v="34800.0"/>
        <n v="31200.0"/>
        <n v="96000.0"/>
        <n v="135000.0"/>
        <n v="44400.0"/>
        <n v="15000.0"/>
        <n v="17400.0"/>
        <n v="24600.0"/>
        <n v="62400.0"/>
        <n v="43200.0"/>
        <n v="15600.0"/>
        <n v="99000.0"/>
        <n v="55800.0"/>
        <n v="48000.0"/>
        <n v="31800.0"/>
        <n v="40800.0"/>
        <n v="112800.0"/>
        <n v="54000.0"/>
        <n v="141600.0"/>
        <n v="59400.0"/>
        <n v="243600.0"/>
        <n v="418200.0"/>
        <n v="292800.0"/>
        <n v="137400.0"/>
        <n v="37800.0"/>
        <n v="87000.0"/>
        <n v="118800.0"/>
        <n v="213600.0"/>
        <n v="226200.0"/>
        <n v="56400.0"/>
        <n v="115800.0"/>
        <n v="177600.0"/>
        <n v="19800.0"/>
        <n v="69600.0"/>
        <n v="163200.0"/>
        <n v="30000.0"/>
        <n v="113400.0"/>
        <n v="73200.0"/>
        <n v="67200.0"/>
        <n v="81600.0"/>
        <n v="121800.0"/>
        <n v="604800.0"/>
        <n v="21600.0"/>
        <n v="18600.0"/>
        <n v="12000.0"/>
        <n v="16800.0"/>
        <n v="12600.0"/>
        <n v="412200.0"/>
        <n v="50400.0"/>
        <n v="138000.0"/>
        <n v="568800.0"/>
        <n v="98400.0"/>
        <n v="106200.0"/>
        <n v="88800.0"/>
        <n v="109800.0"/>
        <n v="22800.0"/>
        <n v="115200.0"/>
        <n v="43800.0"/>
        <n v="16200.0"/>
        <n v="29400.0"/>
        <n v="25800.0"/>
        <n v="25200.0"/>
        <n v="24000.0"/>
        <n v="36000.0"/>
        <n v="33000.0"/>
        <n v="35400.0"/>
        <n v="22200.0"/>
        <n v="9600.0"/>
        <n v="18000.0"/>
        <n v="23400.0"/>
        <n v="10800.0"/>
        <n v="27000.0"/>
        <n v="13800.0"/>
        <n v="45600.0"/>
        <n v="285000.0"/>
        <n v="166800.0"/>
        <n v="66000.0"/>
        <n v="171600.0"/>
        <n v="68400.0"/>
        <n v="102000.0"/>
        <n v="108600.0"/>
        <n v="91200.0"/>
        <n v="60600.0"/>
        <n v="289200.0"/>
        <n v="72000.0"/>
        <n v="255300.0"/>
        <n v="174000.0"/>
        <n v="40200.0"/>
        <n v="63600.0"/>
        <n v="20000.0"/>
        <n v="132600.0"/>
        <n v="42000.0"/>
        <n v="175800.0"/>
        <n v="276000.0"/>
        <n v="139200.0"/>
        <n v="261600.0"/>
        <n v="60000.0"/>
        <n v="158400.0"/>
        <n v="118200.0"/>
        <n v="97200.0"/>
        <n v="81000.0"/>
        <n v="90000.0"/>
        <n v="124800.0"/>
        <n v="73800.0"/>
        <n v="126600.0"/>
        <n v="210600.0"/>
        <n v="48600.0"/>
        <n v="20400.0"/>
        <n v="38400.0"/>
        <n v="180600.0"/>
        <n v="79200.0"/>
        <m/>
      </sharedItems>
    </cacheField>
    <cacheField name="CMFA Annual Fee" numFmtId="165">
      <sharedItems containsString="0" containsBlank="1" containsNumber="1" containsInteger="1">
        <n v="25050.0"/>
        <n v="29400.0"/>
        <n v="4000.0"/>
        <n v="10650.0"/>
        <n v="7200.0"/>
        <n v="8400.0"/>
        <n v="4800.0"/>
        <n v="9150.0"/>
        <n v="22050.0"/>
        <n v="34050.0"/>
        <n v="11850.0"/>
        <n v="24900.0"/>
        <n v="23100.0"/>
        <n v="13350.0"/>
        <n v="9900.0"/>
        <n v="10350.0"/>
        <n v="16650.0"/>
        <n v="25350.0"/>
        <n v="15450.0"/>
        <n v="8700.0"/>
        <n v="7800.0"/>
        <n v="24000.0"/>
        <n v="33750.0"/>
        <n v="11100.0"/>
        <n v="4350.0"/>
        <n v="6150.0"/>
        <n v="15600.0"/>
        <n v="10800.0"/>
        <n v="3900.0"/>
        <n v="24750.0"/>
        <n v="13950.0"/>
        <n v="12000.0"/>
        <n v="7950.0"/>
        <n v="10200.0"/>
        <n v="28200.0"/>
        <n v="13500.0"/>
        <n v="35400.0"/>
        <n v="14850.0"/>
        <n v="60900.0"/>
        <n v="104550.0"/>
        <n v="73200.0"/>
        <n v="34350.0"/>
        <n v="9450.0"/>
        <n v="21750.0"/>
        <n v="29700.0"/>
        <n v="53400.0"/>
        <n v="56550.0"/>
        <n v="14100.0"/>
        <n v="28950.0"/>
        <n v="44400.0"/>
        <n v="4950.0"/>
        <n v="17400.0"/>
        <n v="40800.0"/>
        <n v="7500.0"/>
        <n v="28350.0"/>
        <n v="18300.0"/>
        <n v="16800.0"/>
        <n v="20400.0"/>
        <n v="30450.0"/>
        <n v="151200.0"/>
        <n v="5400.0"/>
        <n v="4650.0"/>
        <n v="4200.0"/>
        <n v="103050.0"/>
        <n v="12600.0"/>
        <n v="34500.0"/>
        <n v="142200.0"/>
        <n v="24600.0"/>
        <n v="26550.0"/>
        <n v="22200.0"/>
        <n v="27450.0"/>
        <n v="5700.0"/>
        <n v="28800.0"/>
        <n v="10950.0"/>
        <n v="4050.0"/>
        <n v="7350.0"/>
        <n v="6450.0"/>
        <n v="6300.0"/>
        <n v="6000.0"/>
        <n v="9000.0"/>
        <n v="8250.0"/>
        <n v="8850.0"/>
        <n v="5550.0"/>
        <n v="4500.0"/>
        <n v="5850.0"/>
        <n v="6750.0"/>
        <n v="11400.0"/>
        <n v="71250.0"/>
        <n v="41700.0"/>
        <n v="16500.0"/>
        <n v="42900.0"/>
        <n v="17100.0"/>
        <n v="25500.0"/>
        <n v="27150.0"/>
        <n v="22800.0"/>
        <n v="15150.0"/>
        <n v="72300.0"/>
        <n v="18000.0"/>
        <n v="63825.0"/>
        <n v="43500.0"/>
        <n v="10050.0"/>
        <n v="15900.0"/>
        <n v="5000.0"/>
        <n v="33150.0"/>
        <n v="10500.0"/>
        <n v="43950.0"/>
        <n v="69000.0"/>
        <n v="34800.0"/>
        <n v="65400.0"/>
        <n v="15000.0"/>
        <n v="39600.0"/>
        <n v="29550.0"/>
        <n v="24300.0"/>
        <n v="20250.0"/>
        <n v="22500.0"/>
        <n v="31200.0"/>
        <n v="18450.0"/>
        <n v="31650.0"/>
        <n v="52650.0"/>
        <n v="12150.0"/>
        <n v="5100.0"/>
        <n v="9600.0"/>
        <n v="45150.0"/>
        <n v="19800.0"/>
        <m/>
      </sharedItems>
    </cacheField>
    <cacheField name="YEARS IN SERVICE">
      <sharedItems containsBlank="1" containsMixedTypes="1" containsNumber="1" containsInteger="1">
        <s v="-"/>
        <n v="2.0"/>
        <n v="0.0"/>
        <n v="1.0"/>
        <m/>
        <s v="0"/>
      </sharedItems>
    </cacheField>
    <cacheField name="ANNUAL FEES PAID">
      <sharedItems containsBlank="1" containsMixedTypes="1" containsNumber="1" containsInteger="1">
        <e v="#VALUE!"/>
        <n v="8000.0"/>
        <n v="21300.0"/>
        <n v="14400.0"/>
        <n v="16800.0"/>
        <n v="9600.0"/>
        <n v="18300.0"/>
        <n v="44100.0"/>
        <n v="68100.0"/>
        <n v="23700.0"/>
        <n v="0.0"/>
        <n v="46200.0"/>
        <n v="26700.0"/>
        <n v="19800.0"/>
        <n v="20700.0"/>
        <n v="33300.0"/>
        <n v="30900.0"/>
        <n v="17400.0"/>
        <n v="15600.0"/>
        <n v="48000.0"/>
        <n v="67500.0"/>
        <n v="4000.0"/>
        <n v="4350.0"/>
        <n v="6150.0"/>
        <n v="7800.0"/>
        <n v="10800.0"/>
        <n v="7200.0"/>
        <n v="3900.0"/>
        <n v="24750.0"/>
        <n v="13950.0"/>
        <n v="12000.0"/>
        <n v="35400.0"/>
        <n v="14850.0"/>
        <n v="60900.0"/>
        <n v="104550.0"/>
        <n v="34350.0"/>
        <n v="9450.0"/>
        <n v="21750.0"/>
        <n v="29700.0"/>
        <n v="53400.0"/>
        <n v="14100.0"/>
        <n v="28950.0"/>
        <n v="44400.0"/>
        <n v="4950.0"/>
        <n v="4800.0"/>
        <n v="25350.0"/>
        <n v="40800.0"/>
        <n v="7500.0"/>
        <n v="28350.0"/>
        <n v="20400.0"/>
        <n v="30450.0"/>
        <n v="151200.0"/>
        <n v="103050.0"/>
        <m/>
      </sharedItems>
    </cacheField>
    <cacheField name="SCC FILED?" numFmtId="0">
      <sharedItems containsBlank="1">
        <b v="1"/>
        <e v="#N/A"/>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Yearly Summaries" cacheId="1" dataCaption="" compact="0" compactData="0">
  <location ref="A5:E12" firstHeaderRow="0" firstDataRow="2" firstDataCol="0" rowPageCount="3" colPageCount="1"/>
  <pivotFields>
    <pivotField name="Proje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t="default"/>
      </items>
    </pivotField>
    <pivotField name="Property 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t="default"/>
      </items>
    </pivotField>
    <pivotField name="Applicant / Ent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County" compact="0" outline="0" multipleItemSelectionAllowed="1" showAll="0">
      <items>
        <item x="0"/>
        <item x="1"/>
        <item x="2"/>
        <item x="3"/>
        <item x="4"/>
        <item x="5"/>
        <item x="6"/>
        <item x="7"/>
        <item x="8"/>
        <item x="9"/>
        <item x="10"/>
        <item x="11"/>
        <item x="12"/>
        <item x="13"/>
        <item x="14"/>
        <item x="15"/>
        <item x="16"/>
        <item x="17"/>
        <item t="default"/>
      </items>
    </pivotField>
    <pivotField name="Agency" axis="axisPage" compact="0" outline="0" multipleItemSelectionAllowed="1" showAll="0">
      <items>
        <item x="0"/>
        <item x="1"/>
        <item x="2"/>
        <item t="default"/>
      </items>
    </pivotField>
    <pivotField name="Grant Description" compact="0" outline="0" multipleItemSelectionAllowed="1" showAll="0">
      <items>
        <item x="0"/>
        <item x="1"/>
        <item x="2"/>
        <item x="3"/>
        <item x="4"/>
        <item x="5"/>
        <item x="6"/>
        <item t="default"/>
      </items>
    </pivotField>
    <pivotField name="Resol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name="Date" axis="axisRow" compact="0" numFmtId="164" outline="0" multipleItemSelectionAllowed="1" showAll="0" sortType="ascending">
      <items>
        <item x="0"/>
        <item x="1"/>
        <item x="2"/>
        <item x="3"/>
        <item x="4"/>
        <item x="5"/>
        <item x="6"/>
        <item t="default"/>
      </items>
    </pivotField>
    <pivotField name="DEAD?" axis="axisPage" compact="0" outline="0" multipleItemSelectionAllowed="1" showAll="0">
      <items>
        <item x="0"/>
        <item h="1" x="1"/>
        <item t="default"/>
      </items>
    </pivotField>
    <pivotField name="Investor 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Investor 2" compact="0" outline="0" multipleItemSelectionAllowed="1" showAll="0">
      <items>
        <item x="0"/>
        <item x="1"/>
        <item x="2"/>
        <item x="3"/>
        <item x="4"/>
        <item x="5"/>
        <item x="6"/>
        <item x="7"/>
        <item x="8"/>
        <item x="9"/>
        <item x="10"/>
        <item x="11"/>
        <item x="12"/>
        <item x="13"/>
        <item x="14"/>
        <item t="default"/>
      </items>
    </pivotField>
    <pivotField name="Nonprofit Partn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Stale" axis="axisPage" compact="0" outline="0" multipleItemSelectionAllowed="1" showAll="0">
      <items>
        <item x="0"/>
        <item h="1" x="1"/>
        <item x="2"/>
        <item t="default"/>
      </items>
    </pivotField>
    <pivotField name="Total Unit C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Restricted Unit C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name="Restricted Rat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name="City's Cu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Parcel Identified" compact="0" outline="0" multipleItemSelectionAllowed="1" showAll="0">
      <items>
        <item x="0"/>
        <item x="1"/>
        <item t="default"/>
      </items>
    </pivotField>
    <pivotField name="Welfare Exemption On 2025 Roll" compact="0" outline="0" multipleItemSelectionAllowed="1" showAll="0">
      <items>
        <item x="0"/>
        <item x="1"/>
        <item x="2"/>
        <item t="default"/>
      </items>
    </pivotField>
    <pivotField name="Total Roll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name="Confirmed Exem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Best Estimate Exemp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t="default"/>
      </items>
    </pivotField>
    <pivotField name="Confirmed or Best Estimate Exem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t="default"/>
      </items>
    </pivotField>
    <pivotField name="Tax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Confirmed Annual Revenue 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Best Estimate Annual Revenue 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t="default"/>
      </items>
    </pivotField>
    <pivotField name="Link" compact="0" outline="0" multipleItemSelectionAllowed="1" showAll="0">
      <items>
        <item x="0"/>
        <item x="1"/>
        <item x="2"/>
        <item x="3"/>
        <item x="4"/>
        <item x="5"/>
        <item x="6"/>
        <item t="default"/>
      </items>
    </pivotField>
    <pivotField name="Leasing Link" compact="0" outline="0" multipleItemSelectionAllowed="1" showAll="0">
      <items>
        <item x="0"/>
        <item x="1"/>
        <item x="2"/>
        <item x="3"/>
        <item x="4"/>
        <item x="5"/>
        <item x="6"/>
        <item t="default"/>
      </items>
    </pivotField>
    <pivotField name="New build?" compact="0" outline="0" multipleItemSelectionAllowed="1" showAll="0">
      <items>
        <item x="0"/>
        <item x="1"/>
        <item x="2"/>
        <item x="3"/>
        <item t="default"/>
      </items>
    </pivotField>
    <pivotField name="Built"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Acquisition Price (M)" compact="0" outline="0" multipleItemSelectionAllowed="1" showAll="0">
      <items>
        <item x="0"/>
        <item x="1"/>
        <item x="2"/>
        <item x="3"/>
        <item x="4"/>
        <item x="5"/>
        <item x="6"/>
        <item t="default"/>
      </items>
    </pivotField>
    <pivotField name="Acquisition Date" compact="0" outline="0" multipleItemSelectionAllowed="1" showAll="0">
      <items>
        <item x="0"/>
        <item x="1"/>
        <item x="2"/>
        <item x="3"/>
        <item x="4"/>
        <item x="5"/>
        <item x="6"/>
        <item x="7"/>
        <item x="8"/>
        <item t="default"/>
      </items>
    </pivotField>
    <pivotField name="Regulatory Term" compact="0" outline="0" multipleItemSelectionAllowed="1" showAll="0">
      <items>
        <item x="0"/>
        <item x="1"/>
        <item x="2"/>
        <item x="3"/>
        <item x="4"/>
        <item t="default"/>
      </items>
    </pivotField>
    <pivotField name="Closing Fe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name="CMFA Annual Fe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t="default"/>
      </items>
    </pivotField>
    <pivotField name="YEARS IN SERVICE" compact="0" outline="0" multipleItemSelectionAllowed="1" showAll="0">
      <items>
        <item x="0"/>
        <item x="1"/>
        <item x="2"/>
        <item x="3"/>
        <item x="4"/>
        <item x="5"/>
        <item t="default"/>
      </items>
    </pivotField>
    <pivotField name="ANNUAL FEES PA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SCC FILED?" compact="0" outline="0" multipleItemSelectionAllowed="1" showAll="0">
      <items>
        <item x="0"/>
        <item x="1"/>
        <item x="2"/>
        <item t="default"/>
      </items>
    </pivotField>
  </pivotFields>
  <rowFields>
    <field x="8"/>
  </rowFields>
  <colFields>
    <field x="-2"/>
  </colFields>
  <pageFields>
    <pageField fld="5"/>
    <pageField fld="9"/>
    <pageField fld="13"/>
  </pageFields>
  <dataFields>
    <dataField name="SUM of Best Estimate Exemption" fld="23" baseField="0"/>
    <dataField name="SUM of Total Unit Count" fld="14" baseField="0"/>
    <dataField name="SUM of Restricted Unit Count" fld="15" baseField="0"/>
    <dataField name="COUNTA of Property Name" fld="1"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B1" dT="2026-01-05T21:44:15.00" personId="{02e52cb3-59be-4f42-9a29-14e2e4545649}" id="{71a9e961-842f-48da-a67e-ca1047f1434c}" done="0">
    <x18tc:text xml:space="preserve">Need the tax rates for a number of these!</x18tc:text>
  </x18tc:threadedComment>
  <x18tc:threadedComment ref="R71" dT="2025-12-01T18:03:46.00" personId="{02e52cb3-59be-4f42-9a29-14e2e4545649}" id="{2eb289fc-81a3-4faf-873f-80a0570756d3}" done="0">
    <x18tc:text xml:space="preserve">check?</x18tc:text>
  </x18tc:threadedComment>
  <x18tc:threadedComment ref="K140" dT="2025-12-06T01:35:52.00" personId="{02e52cb3-59be-4f42-9a29-14e2e4545649}" id="{8b9ee968-552b-4056-b399-c1f020bda554}" done="0">
    <x18tc:text xml:space="preserve">Vistria is the partner</x18tc:text>
  </x18tc:threadedComment>
  <x18tc:threadedComment ref="AB162" dT="2026-01-02T22:55:57.00" personId="{fda2c864-b579-45a9-b885-6171e6339ed9}" id="{86d14379-781e-45df-8bda-51bb0408dad7}" done="1">
    <x18tc:text xml:space="preserve">there's a lot of error bars and caveats to this number, but this is the best guess at this point for LA's loss of annual revenue</x18tc:text>
  </x18tc:threadedComment>
  <x18tc:threadedComment ref="R45" dT="2025-12-01T15:30:01.00" personId="{02e52cb3-59be-4f42-9a29-14e2e4545649}" id="{32ef8168-cf02-4286-8ce4-922eaf5ce470}" done="0">
    <x18tc:text xml:space="preserve">Double check this</x18tc:text>
  </x18tc:threadedComment>
  <x18tc:threadedComment ref="R45" dT="2025-12-01T15:30:06.00" personId="{02e52cb3-59be-4f42-9a29-14e2e4545649}" id="{06125959-4642-4334-9db7-0220a3d1790d}" parentId="{32ef8168-cf02-4286-8ce4-922eaf5ce470}">
    <x18tc:text xml:space="preserve">https://layimby.com/2023/10/site-prep-begins-for-apartments-at-110-west-imperial-highway-broadway-manchester.html</x18tc:text>
    <x18tc:extLst>
      <ext uri="{F7C98A9C-CBB3-438F-8F68-D28B6AF4A901}">
        <xltc2:checksum/>
        <xltc2:hyperlink startIndex="0" length="113" url="https://layimby.com/2023/10/site-prep-begins-for-apartments-at-110-west-imperial-highway-broadway-manchester.html"/>
      </ext>
    </x18tc:extLst>
  </x18tc:threadedComment>
  <x18tc:threadedComment ref="A1" dT="2025-11-26T23:05:54.00" personId="{02e52cb3-59be-4f42-9a29-14e2e4545649}" id="{00cf0058-794b-4795-857d-466b61246f78}" done="0">
    <x18tc:text xml:space="preserve">4 Terrace View: 006312850
35 Eastmoor: 006312860
45 Eastmoor: 006312870
55 Eastmoor: 006312880
65 Eastmoor: 006312890
75 Eastmoor: 006312900
85 Eastmoor: 006312910
95 Eastmoor: 006312920</x18tc:text>
  </x18tc:threadedComment>
  <x18tc:threadedComment ref="A1" dT="2026-01-02T22:04:52.00" personId="{fda2c864-b579-45a9-b885-6171e6339ed9}" id="{c3674f98-383e-4bc0-b0f4-410a59d1900f}" done="0">
    <x18tc:text xml:space="preserve">90+% of this the LA USD</x18tc:text>
  </x18tc:threadedComment>
  <x18tc:threadedComment ref="I102" dT="2025-11-14T16:29:28.00" personId="{02e52cb3-59be-4f42-9a29-14e2e4545649}" id="{5f5bd38d-3755-47d0-8714-b574088cf60c}" done="1">
    <x18tc:text xml:space="preserve">"The City of Fremont is a member of the CMFA and will be notified of the anticipated grant award.
Upon closing, the City is expected to receive approximately $28,800 as part of the CMFA’s sharing
of Closing Fees." -- per the CMFA agenda notes</x18tc:text>
  </x18tc:threadedComment>
  <x18tc:threadedComment ref="K23" dT="2025-12-02T01:09:18.00" personId="{02e52cb3-59be-4f42-9a29-14e2e4545649}" id="{808f97c0-035e-4945-ad17-57d2cd30a4cd}" done="0">
    <x18tc:text xml:space="preserve">Subsidiary of Perlman</x18tc:text>
  </x18tc:threadedComment>
  <x18tc:threadedComment ref="P138" dT="2025-12-01T22:36:19.00" personId="{02e52cb3-59be-4f42-9a29-14e2e4545649}" id="{56809682-1705-43f8-a88f-292b977edfb0}" done="0">
    <x18tc:text xml:space="preserve">20 year term for affordability restrictions</x18tc:text>
  </x18tc:threadedComment>
  <x18tc:threadedComment ref="A1" dT="2025-12-02T00:55:21.00" personId="{02e52cb3-59be-4f42-9a29-14e2e4545649}" id="{ae9adbcb-21ab-466d-b7b9-c5d128fca3fc}" done="0">
    <x18tc:text xml:space="preserve">real value: 4,620,825</x18tc:text>
  </x18tc:threadedComment>
  <x18tc:threadedComment ref="P26" dT="2025-11-30T17:12:03.00" personId="{02e52cb3-59be-4f42-9a29-14e2e4545649}" id="{518c639e-3bf5-4a06-bc5a-55cca0d038c5}" done="0">
    <x18tc:text xml:space="preserve">similarly, this is also just a 20-year restriction</x18tc:text>
  </x18tc:threadedComment>
  <x18tc:threadedComment ref="A1" dT="2025-12-02T00:51:23.00" personId="{02e52cb3-59be-4f42-9a29-14e2e4545649}" id="{1a0d9232-3fc1-4e92-903f-2733410345d6}" done="0">
    <x18tc:text xml:space="preserve">value was 4,530,218</x18tc:text>
  </x18tc:threadedComment>
  <x18tc:threadedComment ref="K139" dT="2025-12-01T22:34:48.00" personId="{02e52cb3-59be-4f42-9a29-14e2e4545649}" id="{4894fe20-c989-4c42-a200-66420030c159}" done="0">
    <x18tc:text xml:space="preserve">CMFA approved a resolution for this project on Feb. 2, 2024 when it was under SoLa Impact LLC</x18tc:text>
  </x18tc:threadedComment>
  <x18tc:threadedComment ref="K139" dT="2026-01-07T00:50:06.00" personId="{02e52cb3-59be-4f42-9a29-14e2e4545649}" id="{2bf30bfa-95b1-4aed-bc56-ff2b174631b5}" parentId="{4894fe20-c989-4c42-a200-66420030c159}">
    <x18tc:text xml:space="preserve">Apparently California State Teachers Retirement foreclosed on SoLa Impact</x18tc:text>
  </x18tc:threadedComment>
  <x18tc:threadedComment ref="P23" dT="2025-11-30T17:06:24.00" personId="{02e52cb3-59be-4f42-9a29-14e2e4545649}" id="{d3cc2974-4e3e-4f9b-b4b2-df3ad9df5e96}" done="0">
    <x18tc:text xml:space="preserve">The terms are such that these are deed-restricted only 20 years!</x18tc:text>
  </x18tc:threadedComment>
  <x18tc:threadedComment ref="C73" dT="2025-11-14T16:23:06.00" personId="{02e52cb3-59be-4f42-9a29-14e2e4545649}" id="{18c90151-0e62-44cf-b194-8292a685fee1}" done="1">
    <x18tc:text xml:space="preserve">might be several different parcels combined?</x18tc:text>
  </x18tc:threadedComment>
  <x18tc:threadedComment ref="P139" dT="2025-12-01T22:35:55.00" personId="{02e52cb3-59be-4f42-9a29-14e2e4545649}" id="{ae9d33df-4766-4037-82e3-29d83b016d24}" done="0">
    <x18tc:text xml:space="preserve">affordability is only for 20 years</x18tc:text>
  </x18tc:threadedComment>
  <x18tc:threadedComment ref="P1" dT="2025-11-26T21:51:26.00" personId="{02e52cb3-59be-4f42-9a29-14e2e4545649}" id="{dc00e5e2-a73d-4a75-b77d-e5bdc83c23c9}" done="0">
    <x18tc:text xml:space="preserve">per CMFA application</x18tc:text>
  </x18tc:threadedComment>
  <x18tc:threadedComment ref="P3" dT="2026-02-10T16:46:39.00" personId="{02e52cb3-59be-4f42-9a29-14e2e4545649}" id="{7362e9d1-ad06-4d62-a614-5762e57b8394}" done="0">
    <x18tc:text xml:space="preserve">"restricted for at least 15 years, that can be extended to 30"</x18tc:text>
  </x18tc:threadedComment>
  <x18tc:threadedComment ref="P3" dT="2026-02-10T16:47:29.00" personId="{02e52cb3-59be-4f42-9a29-14e2e4545649}" id="{b4a192da-1ea2-4818-bd43-0d801fabeaac}" parentId="{7362e9d1-ad06-4d62-a614-5762e57b8394}">
    <x18tc:text xml:space="preserve">49 units are restricted by Anaheim at 50% of AMI or less</x18tc:text>
  </x18tc:threadedComment>
  <x18tc:threadedComment ref="K52" dT="2025-12-01T15:38:33.00" personId="{02e52cb3-59be-4f42-9a29-14e2e4545649}" id="{a5cf3d02-517e-4170-9c7a-9ae4dfe02255}" done="0">
    <x18tc:text xml:space="preserve">An arm of Oak Road</x18tc:text>
  </x18tc:threadedComment>
  <x18tc:threadedComment ref="K26" dT="2025-11-30T17:12:52.00" personId="{02e52cb3-59be-4f42-9a29-14e2e4545649}" id="{7441c65b-1181-4b13-a81b-1c548ffe266d}" done="0">
    <x18tc:text xml:space="preserve">Equity Consultants Equity Inc., per this article: https://seniorshousingbusiness.com/coldwell-banker-brokers-33-7m-sale-of-seville-gardens-active-adult-community-in-huntington-park-california/</x18tc:text>
    <x18tc:extLst>
      <ext uri="{F7C98A9C-CBB3-438F-8F68-D28B6AF4A901}">
        <xltc2:checksum/>
        <xltc2:hyperlink startIndex="50" length="142" url="https://seniorshousingbusiness.com/coldwell-banker-brokers-33-7m-sale-of-seville-gardens-active-adult-community-in-huntington-park-california/"/>
      </ext>
    </x18tc:extLst>
  </x18tc:threadedComment>
  <x18tc:threadedComment ref="A1" dT="2025-12-07T17:42:01.00" personId="{02e52cb3-59be-4f42-9a29-14e2e4545649}" id="{21758172-fd40-4e8a-967b-2bbe45471fd4}" done="0">
    <x18tc:text xml:space="preserve">Green rows indicate they've gotten Welfare Tax Exemption, per the BoE form from Feb 2025.</x18tc:text>
  </x18tc:threadedComment>
  <x18tc:threadedComment ref="O17" dT="2025-11-25T17:05:25.00" personId="{02e52cb3-59be-4f42-9a29-14e2e4545649}" id="{fc04d715-9603-446b-a157-0101ed4cda99}" done="1">
    <x18tc:text xml:space="preserve">Just 45% are rent restricted</x18tc:text>
  </x18tc:threadedComment>
  <x18tc:threadedComment ref="AE156" dT="2025-12-29T22:32:37.00" personId="{02e52cb3-59be-4f42-9a29-14e2e4545649}" id="{0e15cca0-2014-4937-9f85-758fe048b6b7}" done="0">
    <x18tc:text xml:space="preserve">developer to build 45 new apartments</x18tc:text>
  </x18tc:threadedComment>
  <x18tc:threadedComment ref="K145" dT="2025-12-02T00:15:39.00" personId="{02e52cb3-59be-4f42-9a29-14e2e4545649}" id="{3c42bc19-5afa-4420-af77-b3e0a6955196}" done="0">
    <x18tc:text xml:space="preserve">Ethos Investco LLC</x18tc:text>
  </x18tc:threadedComment>
  <x18tc:threadedComment ref="K138" dT="2025-12-01T22:33:53.00" personId="{02e52cb3-59be-4f42-9a29-14e2e4545649}" id="{ca4b6276-5b61-4612-81fe-b70b3f9b4f1e}" done="0">
    <x18tc:text xml:space="preserve">previously approved on Feb. 2, 2024 under SoLa Impact</x18tc:text>
  </x18tc:threadedComment>
  <x18tc:threadedComment ref="J1" dT="2026-08-05T05:03:47.00" personId="{02e52cb3-59be-4f42-9a29-14e2e4545649}" id="{25c090b9-0467-45ad-8d19-d6a9fc6dbc5e}" done="0">
    <x18tc:text xml:space="preserve">CMFA says that the deal was killed / isn't moving forward</x18tc:text>
  </x18tc:threadedComment>
  <x18tc:threadedComment ref="Y216" dT="2026-08-19T16:35:32.00" personId="{02e52cb3-59be-4f42-9a29-14e2e4545649}" id="{a579822d-713d-497f-adcf-7d22762537da}" done="0">
    <x18tc:text xml:space="preserve">I think that this was previously owned by Bridge WF CA Crystal View, L.P. (Bridge Workforce) based on their SCC that they had filed.</x18tc:text>
  </x18tc:threadedComment>
  <x18tc:threadedComment ref="P4" dT="2026-02-10T16:49:41.00" personId="{02e52cb3-59be-4f42-9a29-14e2e4545649}" id="{f2e0e4c5-f3eb-4be4-9773-22322e36e7b9}" done="0">
    <x18tc:text xml:space="preserve">Escondido restricts 39 units at 60% or less of AMI</x18tc:text>
  </x18tc:threadedComment>
  <x18tc:threadedComment ref="O59" dT="2025-11-25T17:07:39.00" personId="{02e52cb3-59be-4f42-9a29-14e2e4545649}" id="{c81c0eda-8ce8-4036-b2f0-3d8000c8e075}" done="1">
    <x18tc:text xml:space="preserve">75% rent restricted</x18tc:text>
  </x18tc:threadedComment>
  <x18tc:threadedComment ref="O59" dT="2025-11-25T17:08:35.00" personId="{02e52cb3-59be-4f42-9a29-14e2e4545649}" id="{77caea42-99fd-4453-b879-a81e8a1bcf2d}" parentId="{c81c0eda-8ce8-4036-b2f0-3d8000c8e075}">
    <x18tc:text xml:space="preserve">71 units restricted</x18tc:text>
  </x18tc:threadedComment>
  <x18tc:threadedComment ref="A1" dT="2025-12-01T22:29:53.00" personId="{02e52cb3-59be-4f42-9a29-14e2e4545649}" id="{04cc21dd-7d9e-42ea-a216-07e40df8b8b0}" done="0">
    <x18tc:text xml:space="preserve">The Resolution for 4228 Western Avenue Apartments was previously approved on September 20,
2024. The resolution is being amended because CalSTRS, the California State Teachers’
Retirement System, is purchasing the ownership interest from the original developer, SoLa Impact.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1" dT="2026-01-02T21:49:59.00" personId="{fda2c864-b579-45a9-b885-6171e6339ed9}" id="{adb9e14b-1dbc-4a4a-b38e-6bbeb9b291f9}" done="0">
    <x18tc:text xml:space="preserve">Based on use_description, there are some that don't really make sense. But with very few exceptions, these parcel numbers match what your colleague found or you found manually, and I confirmed, and there are no other parcels the same address.</x18tc:text>
  </x18tc:threadedComment>
  <x18tc:threadedComment ref="E1" dT="2026-01-02T21:48:53.00" personId="{fda2c864-b579-45a9-b885-6171e6339ed9}" id="{9f3032e2-3301-4060-b470-da9ca9e9700f}" done="0">
    <x18tc:text xml:space="preserve">The parcels with legacy AINs are ones that have changed in the past year or so. The new AIN has no data yet, so we have to manually look up the legacy AIN.</x18tc:text>
  </x18tc:threadedComment>
  <x18tc:threadedComment ref="A1" dT="2026-01-02T21:51:49.00" personId="{fda2c864-b579-45a9-b885-6171e6339ed9}" id="{008c86ea-1a39-4c6c-8317-ddc94ee4e23a}" done="0">
    <x18tc:text xml:space="preserve">I've added these "Project ID"s to both sheets to allow us to link reliably between sheets, and so we can indicate on the other sheet, for example, where we've found parcels and where we haven't. They should never change.</x18tc:text>
  </x18tc:threadedComment>
  <x18tc:threadedComment ref="A1" dT="2026-01-02T22:54:13.00" personId="{02e52cb3-59be-4f42-9a29-14e2e4545649}" id="{33750945-322b-4bce-b016-4133ae7e7d6b}" parentId="{008c86ea-1a39-4c6c-8317-ddc94ee4e23a}">
    <x18tc:text xml:space="preserve">great</x18tc:text>
  </x18tc:threadedComment>
  <x18tc:threadedComment ref="Z339" dT="2026-01-07T07:05:30.00" personId="{fda2c864-b579-45a9-b885-6171e6339ed9}" id="{8baacc1a-8980-4503-8690-ff4492caa498}" done="0">
    <x18tc:text xml:space="preserve">@kate.talerico@sfchronicle.com one thing to note about these values - these, and anything for a new property, are probably land only. so it will really underestimate the eventual value. I don't think we can project it, but just noting that the reductions in revenue we come up with are probably floors, not ceilings.</x18tc:text>
    <x18tc:mentions>
      <x18tc:mention mentionpersonId="{651d1d22-e607-45fe-95a4-4328127f684b}" mentionId="{d03a5883-09cb-40e9-8ab4-11190cb9f277}" startIndex="0" length="30"/>
    </x18tc:mentions>
  </x18tc:threadedComment>
  <x18tc:threadedComment ref="F1" dT="2026-01-02T22:17:33.00" personId="{fda2c864-b579-45a9-b885-6171e6339ed9}" id="{2036dd08-1413-48b2-b410-004ec927eb9d}" done="0">
    <x18tc:text xml:space="preserve">if this is checked, multiple legacy parcels have the same assessment, so presumably they are duplicates and one should be ignored</x18tc:text>
  </x18tc:threadedComment>
  <x18tc:threadedComment ref="O63" dT="2026-01-02T22:18:19.00" personId="{fda2c864-b579-45a9-b885-6171e6339ed9}" id="{521174a7-9ae2-4778-8918-820049f4c4bb}" done="0">
    <x18tc:text xml:space="preserve">some data is just out of date so we don't have improvements numbers</x18tc:text>
  </x18tc:threadedComment>
  <x18tc:threadedComment ref="E143" dT="2026-01-02T22:46:14.00" personId="{fda2c864-b579-45a9-b885-6171e6339ed9}" id="{5ee203dc-62dd-404f-88d8-2835224880d9}" done="0">
    <x18tc:text xml:space="preserve">summed across these old parcel entries</x18tc:text>
  </x18tc:threadedComment>
  <x18tc:threadedComment ref="AC76" dT="2026-01-03T00:19:34.00" personId="{fda2c864-b579-45a9-b885-6171e6339ed9}" id="{9b89d912-8761-4e4c-b108-ce78ce729190}" done="0">
    <x18tc:text xml:space="preserve">I suspect that this 7,000 exemption that appears on San Mateo's website is for something else, because it's way too low for the welfare tax exemption.</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 dT="2026-01-02T22:11:20.00" personId="{fda2c864-b579-45a9-b885-6171e6339ed9}" id="{79640473-cc03-42c2-8805-dde12a064ddc}" done="0">
    <x18tc:text xml:space="preserve">voter-approved city bonds</x18tc:text>
  </x18tc:threadedComment>
  <x18tc:threadedComment ref="F1" dT="2026-01-02T22:05:16.00" personId="{fda2c864-b579-45a9-b885-6171e6339ed9}" id="{bfc63542-f38d-4e5d-a910-e8a24dc146d5}" done="0">
    <x18tc:text xml:space="preserve">90+% of this is the Metro Water District</x18tc:text>
  </x18tc:threadedComment>
  <x18tc:threadedComment ref="E1" dT="2026-01-02T22:11:40.00" personId="{fda2c864-b579-45a9-b885-6171e6339ed9}" id="{32accec1-b35e-4f6b-8fdb-0f399abc7df0}" done="0">
    <x18tc:text xml:space="preserve">voter approved LA USD and community college bonds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8" dT="2026-01-07T09:01:40.00" personId="{fda2c864-b579-45a9-b885-6171e6339ed9}" id="{6b35bcf7-184d-49cd-855c-59d7d2b5e07f}" done="0">
    <x18tc:text xml:space="preserve">got carried away and wrapped up the tax rates. going to do some more summary statistics tomorrow. but it looks like the exemptions outside of LA actually do really add up, because they are on average larger buildings</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V3" dT="2026-01-07T22:58:38.00" personId="{02e52cb3-59be-4f42-9a29-14e2e4545649}" id="{7af7291c-9f80-4290-8aad-e16250f2553e}" done="0">
    <x18tc:text xml:space="preserve">Orange indicates that asking rents at the property already fall below 80% AMI.</x18tc:text>
  </x18tc:threadedComment>
  <x18tc:threadedComment ref="AD3" dT="2026-01-07T22:55:44.00" personId="{02e52cb3-59be-4f42-9a29-14e2e4545649}" id="{22d3a005-c387-4b22-8313-4eb77a2312e9}" done="0">
    <x18tc:text xml:space="preserve">Pink indicates that the asking rents are more expensive than market asking rents. Yellow indicates that the project is asking less than market.</x18tc:text>
  </x18tc:threadedComment>
  <x18tc:threadedComment ref="AD3" dT="2026-01-08T02:42:16.00" personId="{02e52cb3-59be-4f42-9a29-14e2e4545649}" id="{793d3652-ca69-4071-b44b-09246d93131c}" parentId="{22d3a005-c387-4b22-8313-4eb77a2312e9}">
    <x18tc:text xml:space="preserve">the more interesting chart might be that most of these properties pay at or around market rate</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08T07:54:05.00" personId="{fda2c864-b579-45a9-b885-6171e6339ed9}" id="{d78c6dca-9cd0-42d2-a25d-c343217b06f6}" done="0">
    <x18tc:text xml:space="preserve">@kate.talerico@sfchronicle.com here is the list of properties that were accepted (as applications) but never approved. Some are quite old, so maybe they do reject applications.</x18tc:text>
    <x18tc:mentions>
      <x18tc:mention mentionpersonId="{651d1d22-e607-45fe-95a4-4328127f684b}" mentionId="{c5635489-f1fa-4dd8-b3d0-69df46ded9b1}" startIndex="0" length="30"/>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34" dT="2025-12-29T19:52:02.00" personId="{02e52cb3-59be-4f42-9a29-14e2e4545649}" id="{c95bc8a5-1564-4885-afb5-986bd16df313}" done="0">
    <x18tc:text xml:space="preserve">tax rate: 1.2913360%</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66" dT="2025-12-31T06:25:00.00" personId="{02e52cb3-59be-4f42-9a29-14e2e4545649}" id="{69f6a5ad-2386-49e2-8e52-20b21bec3308}" done="0">
    <x18tc:text xml:space="preserve">I think there was a typo on the CMFA application. Per this lawsuit, Irolo 16 LLC is associated with 932 Irolo: https://dredf.org/wp-content/uploads/2023/01/2023.01.30-Gardner-v.-Serrano-Family-Apartment-LTD-LP-et-al.-Complaint.pdf</x18tc:text>
    <x18tc:extLst>
      <ext uri="{F7C98A9C-CBB3-438F-8F68-D28B6AF4A901}">
        <xltc2:checksum/>
        <xltc2:hyperlink startIndex="111" length="119" url="https://dredf.org/wp-content/uploads/2023/01/2023.01.30-Gardner-v.-Serrano-Family-Apartment-LTD-LP-et-al.-Complaint.pdf"/>
      </ext>
    </x18tc:extLs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59" dT="2025-12-29T18:27:26.00" personId="{02e52cb3-59be-4f42-9a29-14e2e4545649}" id="{ee9a7519-4a77-46b5-b016-231d2746ef58}" done="0">
    <x18tc:text xml:space="preserve">PENDING, per AlCo spreadsheet: https://docs.google.com/spreadsheets/d/1iTQIppHj8qH6NfDXZ-NyCaRnVAkuxyQR/edit?usp=sharing&amp;ouid=109692698211760073546&amp;rtpof=true&amp;sd=true</x18tc:text>
    <x18tc:extLst>
      <ext uri="{F7C98A9C-CBB3-438F-8F68-D28B6AF4A901}">
        <xltc2:checksum/>
        <xltc2:hyperlink startIndex="31" length="135" url="https://docs.google.com/spreadsheets/d/1iTQIppHj8qH6NfDXZ-NyCaRnVAkuxyQR/edit?usp=sharing&amp;ouid=109692698211760073546&amp;rtpof=true&amp;sd=true"/>
      </ext>
    </x18tc:extLst>
  </x18tc:threadedComment>
  <x18tc:threadedComment ref="G6" dT="2025-12-17T22:26:50.00" personId="{02e52cb3-59be-4f42-9a29-14e2e4545649}" id="{eb292434-5069-452d-8341-5926dc18086b}" done="0">
    <x18tc:text xml:space="preserve">They have gotten their BoE clearance but are still working with San Mateo county to get the exemption</x18tc:text>
  </x18tc:threadedComment>
  <x18tc:threadedComment ref="G57" dT="2025-12-29T18:20:12.00" personId="{02e52cb3-59be-4f42-9a29-14e2e4545649}" id="{dff5f082-57a1-4bee-bb94-b4be2386aa21}" done="0">
    <x18tc:text xml:space="preserve">I calculated this based on Mona's chart https://docs.google.com/spreadsheets/d/1iTQIppHj8qH6NfDXZ-NyCaRnVAkuxyQR/edit?usp=sharing&amp;ouid=109692698211760073546&amp;rtpof=true&amp;sd=true</x18tc:text>
    <x18tc:extLst>
      <ext uri="{F7C98A9C-CBB3-438F-8F68-D28B6AF4A901}">
        <xltc2:checksum/>
        <xltc2:hyperlink startIndex="40" length="135" url="https://docs.google.com/spreadsheets/d/1iTQIppHj8qH6NfDXZ-NyCaRnVAkuxyQR/edit?usp=sharing&amp;ouid=109692698211760073546&amp;rtpof=true&amp;sd=true"/>
      </ext>
    </x18tc:extLst>
  </x18tc:threadedComment>
  <x18tc:threadedComment ref="G1" dT="2025-12-17T22:07:15.00" personId="{02e52cb3-59be-4f42-9a29-14e2e4545649}" id="{b7687feb-751b-493d-9d3d-54904629461a}" done="0">
    <x18tc:text xml:space="preserve">LA County Spreadsheet: "Total Welfare Exemption"</x18tc:text>
  </x18tc:threadedComment>
  <x18tc:threadedComment ref="H1" dT="2025-12-17T22:07:36.00" personId="{02e52cb3-59be-4f42-9a29-14e2e4545649}" id="{dae222fe-9290-4ab5-80ae-be9e66377ea2}" done="0">
    <x18tc:text xml:space="preserve">LA County: "Net_Roll_Value"</x18tc:text>
  </x18tc:threadedComment>
  <x18tc:threadedComment ref="F1" dT="2025-12-17T22:07:01.00" personId="{02e52cb3-59be-4f42-9a29-14e2e4545649}" id="{cbab4af3-6eea-4db8-97cf-b56136c962c5}" done="0">
    <x18tc:text xml:space="preserve">For the LA County spreadsheet, this is "Gross_Roll_Value"</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eqWuKzgVBWu7k5KyYX7TFQpi60LWdgk9/view?usp=sharing" TargetMode="External"/><Relationship Id="rId190" Type="http://schemas.openxmlformats.org/officeDocument/2006/relationships/hyperlink" Target="https://drive.google.com/file/d/1uEVkbszwfkemzhsOrrHySHbe2y31DNyU/view?usp=sharing" TargetMode="External"/><Relationship Id="rId42" Type="http://schemas.openxmlformats.org/officeDocument/2006/relationships/hyperlink" Target="https://drive.google.com/file/d/1eqWuKzgVBWu7k5KyYX7TFQpi60LWdgk9/view?usp=sharing" TargetMode="External"/><Relationship Id="rId41" Type="http://schemas.openxmlformats.org/officeDocument/2006/relationships/hyperlink" Target="https://drive.google.com/file/d/1eqWuKzgVBWu7k5KyYX7TFQpi60LWdgk9/view?usp=sharing" TargetMode="External"/><Relationship Id="rId44" Type="http://schemas.openxmlformats.org/officeDocument/2006/relationships/hyperlink" Target="https://drive.google.com/file/d/1fe2vRd9MmIHxEaxxb77uHqqdfmi9xESD/view?usp=sharing" TargetMode="External"/><Relationship Id="rId194" Type="http://schemas.openxmlformats.org/officeDocument/2006/relationships/hyperlink" Target="https://drive.google.com/file/d/13IxTZo_GC7XTVQhw4OkKk51hCOiu5Ama/view?usp=sharing" TargetMode="External"/><Relationship Id="rId43" Type="http://schemas.openxmlformats.org/officeDocument/2006/relationships/hyperlink" Target="https://drive.google.com/file/d/1eqWuKzgVBWu7k5KyYX7TFQpi60LWdgk9/view?usp=sharing" TargetMode="External"/><Relationship Id="rId193" Type="http://schemas.openxmlformats.org/officeDocument/2006/relationships/hyperlink" Target="http://cscda/" TargetMode="External"/><Relationship Id="rId46" Type="http://schemas.openxmlformats.org/officeDocument/2006/relationships/hyperlink" Target="https://drive.google.com/file/d/1Ca4bNHM09YalcC8I9DHB5kXrQjV4aM03/view?usp=sharing" TargetMode="External"/><Relationship Id="rId192" Type="http://schemas.openxmlformats.org/officeDocument/2006/relationships/hyperlink" Target="https://drive.google.com/file/d/1uEVkbszwfkemzhsOrrHySHbe2y31DNyU/view?usp=sharing" TargetMode="External"/><Relationship Id="rId45" Type="http://schemas.openxmlformats.org/officeDocument/2006/relationships/hyperlink" Target="https://drive.google.com/file/d/1fe2vRd9MmIHxEaxxb77uHqqdfmi9xESD/view?usp=sharing" TargetMode="External"/><Relationship Id="rId191" Type="http://schemas.openxmlformats.org/officeDocument/2006/relationships/hyperlink" Target="https://drive.google.com/file/d/1uEVkbszwfkemzhsOrrHySHbe2y31DNyU/view?usp=sharing" TargetMode="External"/><Relationship Id="rId48" Type="http://schemas.openxmlformats.org/officeDocument/2006/relationships/hyperlink" Target="https://drive.google.com/file/d/1Ca4bNHM09YalcC8I9DHB5kXrQjV4aM03/view?usp=sharing" TargetMode="External"/><Relationship Id="rId187" Type="http://schemas.openxmlformats.org/officeDocument/2006/relationships/hyperlink" Target="https://drive.google.com/file/d/1uEVkbszwfkemzhsOrrHySHbe2y31DNyU/view?usp=sharing" TargetMode="External"/><Relationship Id="rId47" Type="http://schemas.openxmlformats.org/officeDocument/2006/relationships/hyperlink" Target="https://drive.google.com/file/d/1Ca4bNHM09YalcC8I9DHB5kXrQjV4aM03/view?usp=sharing" TargetMode="External"/><Relationship Id="rId186" Type="http://schemas.openxmlformats.org/officeDocument/2006/relationships/hyperlink" Target="https://drive.google.com/file/d/1uEVkbszwfkemzhsOrrHySHbe2y31DNyU/view?usp=sharing" TargetMode="External"/><Relationship Id="rId185" Type="http://schemas.openxmlformats.org/officeDocument/2006/relationships/hyperlink" Target="https://drive.google.com/file/d/1uEVkbszwfkemzhsOrrHySHbe2y31DNyU/view?usp=sharing" TargetMode="External"/><Relationship Id="rId49" Type="http://schemas.openxmlformats.org/officeDocument/2006/relationships/hyperlink" Target="https://drive.google.com/file/d/1Ca4bNHM09YalcC8I9DHB5kXrQjV4aM03/view?usp=sharing" TargetMode="External"/><Relationship Id="rId184" Type="http://schemas.openxmlformats.org/officeDocument/2006/relationships/hyperlink" Target="https://drive.google.com/file/d/1uEVkbszwfkemzhsOrrHySHbe2y31DNyU/view?usp=sharing" TargetMode="External"/><Relationship Id="rId189" Type="http://schemas.openxmlformats.org/officeDocument/2006/relationships/hyperlink" Target="https://drive.google.com/file/d/1uEVkbszwfkemzhsOrrHySHbe2y31DNyU/view?usp=sharing" TargetMode="External"/><Relationship Id="rId188" Type="http://schemas.openxmlformats.org/officeDocument/2006/relationships/hyperlink" Target="https://drive.google.com/file/d/1uEVkbszwfkemzhsOrrHySHbe2y31DNyU/view?usp=sharing" TargetMode="External"/><Relationship Id="rId31" Type="http://schemas.openxmlformats.org/officeDocument/2006/relationships/hyperlink" Target="https://drive.google.com/file/d/1xkjRhIeAbpcsABojDm8HbonatUJ641IO/view?usp=sharing" TargetMode="External"/><Relationship Id="rId30" Type="http://schemas.openxmlformats.org/officeDocument/2006/relationships/hyperlink" Target="https://drive.google.com/file/d/1xkjRhIeAbpcsABojDm8HbonatUJ641IO/view?usp=sharing" TargetMode="External"/><Relationship Id="rId33" Type="http://schemas.openxmlformats.org/officeDocument/2006/relationships/hyperlink" Target="https://drive.google.com/file/d/1eqWuKzgVBWu7k5KyYX7TFQpi60LWdgk9/view?usp=sharing" TargetMode="External"/><Relationship Id="rId183" Type="http://schemas.openxmlformats.org/officeDocument/2006/relationships/hyperlink" Target="https://drive.google.com/file/d/1uEVkbszwfkemzhsOrrHySHbe2y31DNyU/view?usp=sharing" TargetMode="External"/><Relationship Id="rId32" Type="http://schemas.openxmlformats.org/officeDocument/2006/relationships/hyperlink" Target="https://drive.google.com/file/d/1xkjRhIeAbpcsABojDm8HbonatUJ641IO/view?usp=sharing" TargetMode="External"/><Relationship Id="rId182" Type="http://schemas.openxmlformats.org/officeDocument/2006/relationships/hyperlink" Target="https://drive.google.com/file/d/1uEVkbszwfkemzhsOrrHySHbe2y31DNyU/view?usp=sharing" TargetMode="External"/><Relationship Id="rId35" Type="http://schemas.openxmlformats.org/officeDocument/2006/relationships/hyperlink" Target="https://drive.google.com/file/d/1eqWuKzgVBWu7k5KyYX7TFQpi60LWdgk9/view?usp=sharing" TargetMode="External"/><Relationship Id="rId181" Type="http://schemas.openxmlformats.org/officeDocument/2006/relationships/hyperlink" Target="https://drive.google.com/file/d/1uEVkbszwfkemzhsOrrHySHbe2y31DNyU/view?usp=sharing" TargetMode="External"/><Relationship Id="rId34" Type="http://schemas.openxmlformats.org/officeDocument/2006/relationships/hyperlink" Target="https://drive.google.com/file/d/1eqWuKzgVBWu7k5KyYX7TFQpi60LWdgk9/view?usp=sharing" TargetMode="External"/><Relationship Id="rId180" Type="http://schemas.openxmlformats.org/officeDocument/2006/relationships/hyperlink" Target="https://drive.google.com/file/d/1uEVkbszwfkemzhsOrrHySHbe2y31DNyU/view?usp=sharing" TargetMode="External"/><Relationship Id="rId37" Type="http://schemas.openxmlformats.org/officeDocument/2006/relationships/hyperlink" Target="https://www.1422on6th.com/" TargetMode="External"/><Relationship Id="rId176" Type="http://schemas.openxmlformats.org/officeDocument/2006/relationships/hyperlink" Target="https://drive.google.com/file/d/1uEVkbszwfkemzhsOrrHySHbe2y31DNyU/view?usp=sharing" TargetMode="External"/><Relationship Id="rId36" Type="http://schemas.openxmlformats.org/officeDocument/2006/relationships/hyperlink" Target="https://drive.google.com/file/d/1eqWuKzgVBWu7k5KyYX7TFQpi60LWdgk9/view?usp=sharing" TargetMode="External"/><Relationship Id="rId175" Type="http://schemas.openxmlformats.org/officeDocument/2006/relationships/hyperlink" Target="https://drive.google.com/file/d/1uEVkbszwfkemzhsOrrHySHbe2y31DNyU/view?usp=sharing" TargetMode="External"/><Relationship Id="rId39" Type="http://schemas.openxmlformats.org/officeDocument/2006/relationships/hyperlink" Target="https://drive.google.com/file/d/1eqWuKzgVBWu7k5KyYX7TFQpi60LWdgk9/view?usp=sharing" TargetMode="External"/><Relationship Id="rId174" Type="http://schemas.openxmlformats.org/officeDocument/2006/relationships/hyperlink" Target="https://drive.google.com/file/d/1uEVkbszwfkemzhsOrrHySHbe2y31DNyU/view?usp=sharing" TargetMode="External"/><Relationship Id="rId38" Type="http://schemas.openxmlformats.org/officeDocument/2006/relationships/hyperlink" Target="https://drive.google.com/file/d/1eqWuKzgVBWu7k5KyYX7TFQpi60LWdgk9/view?usp=sharing" TargetMode="External"/><Relationship Id="rId173" Type="http://schemas.openxmlformats.org/officeDocument/2006/relationships/hyperlink" Target="https://drive.google.com/file/d/1uEVkbszwfkemzhsOrrHySHbe2y31DNyU/view?usp=sharing" TargetMode="External"/><Relationship Id="rId179" Type="http://schemas.openxmlformats.org/officeDocument/2006/relationships/hyperlink" Target="https://drive.google.com/file/d/1uEVkbszwfkemzhsOrrHySHbe2y31DNyU/view?usp=sharing" TargetMode="External"/><Relationship Id="rId178" Type="http://schemas.openxmlformats.org/officeDocument/2006/relationships/hyperlink" Target="https://drive.google.com/file/d/1uEVkbszwfkemzhsOrrHySHbe2y31DNyU/view?usp=sharing" TargetMode="External"/><Relationship Id="rId177" Type="http://schemas.openxmlformats.org/officeDocument/2006/relationships/hyperlink" Target="https://drive.google.com/file/d/1uEVkbszwfkemzhsOrrHySHbe2y31DNyU/view?usp=sharing" TargetMode="External"/><Relationship Id="rId20" Type="http://schemas.openxmlformats.org/officeDocument/2006/relationships/hyperlink" Target="https://www.electriclofts.com/" TargetMode="External"/><Relationship Id="rId22" Type="http://schemas.openxmlformats.org/officeDocument/2006/relationships/hyperlink" Target="https://drive.google.com/file/d/1syQj4ZfvE0rxTkpXDriXcif8TNC1JVpF/view?usp=sharing" TargetMode="External"/><Relationship Id="rId21" Type="http://schemas.openxmlformats.org/officeDocument/2006/relationships/hyperlink" Target="https://www.cmfa-ca.com/wp-content/uploads/2024/03/Staff-Reports-3-15-24.pdf" TargetMode="External"/><Relationship Id="rId24" Type="http://schemas.openxmlformats.org/officeDocument/2006/relationships/hyperlink" Target="https://www.cmfa-ca.com/wp-content/uploads/2024/05/Staff-Reports-5-17-24.pdf" TargetMode="External"/><Relationship Id="rId23" Type="http://schemas.openxmlformats.org/officeDocument/2006/relationships/hyperlink" Target="https://www.cmfa-ca.com/wp-content/uploads/2024/05/Staff-Reports-5-17-24.pdf" TargetMode="External"/><Relationship Id="rId26" Type="http://schemas.openxmlformats.org/officeDocument/2006/relationships/hyperlink" Target="https://drive.google.com/file/d/16ovFMP3VCYrLYcAtPFOspwOxTcqpSleL/view?usp=sharing" TargetMode="External"/><Relationship Id="rId25" Type="http://schemas.openxmlformats.org/officeDocument/2006/relationships/hyperlink" Target="https://drive.google.com/file/d/16ovFMP3VCYrLYcAtPFOspwOxTcqpSleL/view?usp=sharing" TargetMode="External"/><Relationship Id="rId28" Type="http://schemas.openxmlformats.org/officeDocument/2006/relationships/hyperlink" Target="https://drive.google.com/file/d/16ovFMP3VCYrLYcAtPFOspwOxTcqpSleL/view?usp=sharing" TargetMode="External"/><Relationship Id="rId27" Type="http://schemas.openxmlformats.org/officeDocument/2006/relationships/hyperlink" Target="https://drive.google.com/file/d/16ovFMP3VCYrLYcAtPFOspwOxTcqpSleL/view?usp=sharing" TargetMode="External"/><Relationship Id="rId29" Type="http://schemas.openxmlformats.org/officeDocument/2006/relationships/hyperlink" Target="https://drive.google.com/file/d/16ovFMP3VCYrLYcAtPFOspwOxTcqpSleL/view?usp=sharing" TargetMode="External"/><Relationship Id="rId11" Type="http://schemas.openxmlformats.org/officeDocument/2006/relationships/hyperlink" Target="https://www.cmfa-ca.com/wp-content/uploads/2023/09/CMFA-Staff-Report-9-15-23-1.pdf" TargetMode="External"/><Relationship Id="rId10" Type="http://schemas.openxmlformats.org/officeDocument/2006/relationships/hyperlink" Target="https://drive.google.com/file/d/1fNVxpFcEg1vX1vrJDkUaevZfmPY5M8qU/view?usp=drive_link" TargetMode="External"/><Relationship Id="rId13" Type="http://schemas.openxmlformats.org/officeDocument/2006/relationships/hyperlink" Target="https://www.townhomesongadingapts.com/" TargetMode="External"/><Relationship Id="rId12" Type="http://schemas.openxmlformats.org/officeDocument/2006/relationships/hyperlink" Target="https://www.cmfa-ca.com/wp-content/uploads/2023/12/CMFA-Staff-Report-12-08-23.pdf" TargetMode="External"/><Relationship Id="rId15" Type="http://schemas.openxmlformats.org/officeDocument/2006/relationships/hyperlink" Target="https://www.cmfa-ca.com/wp-content/uploads/2023/12/CMFA-Staff-Report-12-08-23.pdf" TargetMode="External"/><Relationship Id="rId198" Type="http://schemas.openxmlformats.org/officeDocument/2006/relationships/hyperlink" Target="https://drive.google.com/file/d/13IxTZo_GC7XTVQhw4OkKk51hCOiu5Ama/view?usp=sharing" TargetMode="External"/><Relationship Id="rId14" Type="http://schemas.openxmlformats.org/officeDocument/2006/relationships/hyperlink" Target="https://www.cmfa-ca.com/wp-content/uploads/2023/12/CMFA-Staff-Report-12-08-23.pdf" TargetMode="External"/><Relationship Id="rId197" Type="http://schemas.openxmlformats.org/officeDocument/2006/relationships/hyperlink" Target="https://drive.google.com/file/d/13IxTZo_GC7XTVQhw4OkKk51hCOiu5Ama/view?usp=sharing" TargetMode="External"/><Relationship Id="rId17" Type="http://schemas.openxmlformats.org/officeDocument/2006/relationships/hyperlink" Target="https://www.cmfa-ca.com/wp-content/uploads/2024/02/Staff-Reports-2-23-24-1.pdf" TargetMode="External"/><Relationship Id="rId196" Type="http://schemas.openxmlformats.org/officeDocument/2006/relationships/hyperlink" Target="https://drive.google.com/file/d/13IxTZo_GC7XTVQhw4OkKk51hCOiu5Ama/view?usp=sharing" TargetMode="External"/><Relationship Id="rId16" Type="http://schemas.openxmlformats.org/officeDocument/2006/relationships/hyperlink" Target="https://drive.google.com/file/d/19NHmWlQfe5ETWAmTfCglfB3lOsZ_h4Ws/view?usp=sharing" TargetMode="External"/><Relationship Id="rId195" Type="http://schemas.openxmlformats.org/officeDocument/2006/relationships/hyperlink" Target="https://drive.google.com/file/d/13IxTZo_GC7XTVQhw4OkKk51hCOiu5Ama/view?usp=sharing" TargetMode="External"/><Relationship Id="rId19" Type="http://schemas.openxmlformats.org/officeDocument/2006/relationships/hyperlink" Target="https://drive.google.com/file/d/16IQun6x6gAJGVzGCEy-5Cp9J0NHAUM06/view?usp=drive_link" TargetMode="External"/><Relationship Id="rId18" Type="http://schemas.openxmlformats.org/officeDocument/2006/relationships/hyperlink" Target="https://drive.google.com/file/d/1GqT781BDvrivUlJxeLxvHLdOjR3bn6LL/view?usp=sharing" TargetMode="External"/><Relationship Id="rId199" Type="http://schemas.openxmlformats.org/officeDocument/2006/relationships/hyperlink" Target="https://drive.google.com/file/d/13IxTZo_GC7XTVQhw4OkKk51hCOiu5Ama/view?usp=sharing" TargetMode="External"/><Relationship Id="rId84" Type="http://schemas.openxmlformats.org/officeDocument/2006/relationships/hyperlink" Target="https://drive.google.com/file/d/1K-MRLZYcP8P0cByF3TBTCS4TMe_m-2Cc/view?usp=sharing" TargetMode="External"/><Relationship Id="rId83" Type="http://schemas.openxmlformats.org/officeDocument/2006/relationships/hyperlink" Target="https://www.cmfa-ca.com/wp-content/uploads/2025/04/CMFA-Staff-Reports-1.pdf" TargetMode="External"/><Relationship Id="rId86" Type="http://schemas.openxmlformats.org/officeDocument/2006/relationships/hyperlink" Target="https://drive.google.com/file/d/1K-MRLZYcP8P0cByF3TBTCS4TMe_m-2Cc/view?usp=sharing" TargetMode="External"/><Relationship Id="rId85" Type="http://schemas.openxmlformats.org/officeDocument/2006/relationships/hyperlink" Target="https://drive.google.com/file/d/1K-MRLZYcP8P0cByF3TBTCS4TMe_m-2Cc/view?usp=sharing" TargetMode="External"/><Relationship Id="rId88" Type="http://schemas.openxmlformats.org/officeDocument/2006/relationships/hyperlink" Target="https://drive.google.com/file/d/1NxozO9TB9Hbne9DXqyKNhWg5cU8mG7dF/view?usp=sharing" TargetMode="External"/><Relationship Id="rId150" Type="http://schemas.openxmlformats.org/officeDocument/2006/relationships/hyperlink" Target="https://drive.google.com/file/d/15DgfwHlslD6vHWDSn0y2Pk7Jdm1s7vII/view?usp=sharing" TargetMode="External"/><Relationship Id="rId87" Type="http://schemas.openxmlformats.org/officeDocument/2006/relationships/hyperlink" Target="https://drive.google.com/file/d/17GeaZ0OJfEkkzqCVWI1_Z9rud5NoITjY/view?usp=sharing" TargetMode="External"/><Relationship Id="rId89" Type="http://schemas.openxmlformats.org/officeDocument/2006/relationships/hyperlink" Target="https://www.cmfa-ca.com/wp-content/uploads/2025/01/CMFA-Staff-Reports-01-10-25.pdf" TargetMode="External"/><Relationship Id="rId80" Type="http://schemas.openxmlformats.org/officeDocument/2006/relationships/hyperlink" Target="https://www.cmfa-ca.com/wp-content/uploads/2025/04/CMFA-Staff-Reports-1.pdf" TargetMode="External"/><Relationship Id="rId82" Type="http://schemas.openxmlformats.org/officeDocument/2006/relationships/hyperlink" Target="https://www.theheltsley.com/" TargetMode="External"/><Relationship Id="rId81" Type="http://schemas.openxmlformats.org/officeDocument/2006/relationships/hyperlink" Target="https://www.cmfa-ca.com/wp-content/uploads/2025/04/CMFA-Staff-Reports-1.pdf"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rive.google.com/file/d/15DgfwHlslD6vHWDSn0y2Pk7Jdm1s7vII/view?usp=sharing" TargetMode="External"/><Relationship Id="rId4" Type="http://schemas.openxmlformats.org/officeDocument/2006/relationships/hyperlink" Target="https://www.cmfa-ca.com/wp-content/uploads/2022/04/CMFA-Staff-Reports-04-15-22-1.pdf" TargetMode="External"/><Relationship Id="rId148" Type="http://schemas.openxmlformats.org/officeDocument/2006/relationships/hyperlink" Target="https://drive.google.com/file/d/15DgfwHlslD6vHWDSn0y2Pk7Jdm1s7vII/view?usp=sharing" TargetMode="External"/><Relationship Id="rId9" Type="http://schemas.openxmlformats.org/officeDocument/2006/relationships/hyperlink" Target="http://cmfa-ca.com/wp-content/uploads/2023/08/8-4-23-CMFA-Staff-Reports.pdf" TargetMode="External"/><Relationship Id="rId143" Type="http://schemas.openxmlformats.org/officeDocument/2006/relationships/hyperlink" Target="https://drive.google.com/file/d/1c4WiKYcJsl_7dvDRraURamcEpQX-jieA/view?usp=sharing" TargetMode="External"/><Relationship Id="rId142" Type="http://schemas.openxmlformats.org/officeDocument/2006/relationships/hyperlink" Target="https://drive.google.com/file/d/1c4WiKYcJsl_7dvDRraURamcEpQX-jieA/view?usp=sharing" TargetMode="External"/><Relationship Id="rId141" Type="http://schemas.openxmlformats.org/officeDocument/2006/relationships/hyperlink" Target="https://drive.google.com/file/d/1c4WiKYcJsl_7dvDRraURamcEpQX-jieA/view?usp=sharing" TargetMode="External"/><Relationship Id="rId140" Type="http://schemas.openxmlformats.org/officeDocument/2006/relationships/hyperlink" Target="https://drive.google.com/file/d/1c4WiKYcJsl_7dvDRraURamcEpQX-jieA/view?usp=sharing" TargetMode="External"/><Relationship Id="rId5" Type="http://schemas.openxmlformats.org/officeDocument/2006/relationships/hyperlink" Target="https://www.cmfa-ca.com/wp-content/uploads/2022/04/CMFA-Staff-Reports-04-15-22-1.pdf" TargetMode="External"/><Relationship Id="rId147" Type="http://schemas.openxmlformats.org/officeDocument/2006/relationships/hyperlink" Target="https://drive.google.com/file/d/1c4WiKYcJsl_7dvDRraURamcEpQX-jieA/view?usp=sharing" TargetMode="External"/><Relationship Id="rId6" Type="http://schemas.openxmlformats.org/officeDocument/2006/relationships/hyperlink" Target="https://www.cmfa-ca.com/wp-content/uploads/2023/07/CMFA-Staff-Reports-1.pdf" TargetMode="External"/><Relationship Id="rId146" Type="http://schemas.openxmlformats.org/officeDocument/2006/relationships/hyperlink" Target="https://drive.google.com/file/d/1c4WiKYcJsl_7dvDRraURamcEpQX-jieA/view?usp=sharing" TargetMode="External"/><Relationship Id="rId7" Type="http://schemas.openxmlformats.org/officeDocument/2006/relationships/hyperlink" Target="https://drive.google.com/file/d/1quYMsPwow3VQIUvesZLwOxhAwkEW7v6s/view?usp=sharing" TargetMode="External"/><Relationship Id="rId145" Type="http://schemas.openxmlformats.org/officeDocument/2006/relationships/hyperlink" Target="https://drive.google.com/file/d/1c4WiKYcJsl_7dvDRraURamcEpQX-jieA/view?usp=sharing" TargetMode="External"/><Relationship Id="rId8" Type="http://schemas.openxmlformats.org/officeDocument/2006/relationships/hyperlink" Target="https://drive.google.com/file/d/1quYMsPwow3VQIUvesZLwOxhAwkEW7v6s/view?usp=sharing" TargetMode="External"/><Relationship Id="rId144" Type="http://schemas.openxmlformats.org/officeDocument/2006/relationships/hyperlink" Target="https://drive.google.com/file/d/1c4WiKYcJsl_7dvDRraURamcEpQX-jieA/view?usp=sharing" TargetMode="External"/><Relationship Id="rId73" Type="http://schemas.openxmlformats.org/officeDocument/2006/relationships/hyperlink" Target="https://www.cmfa-ca.com/wp-content/uploads/2025/02/CMFA-Staff-Reports-1.pdf" TargetMode="External"/><Relationship Id="rId72" Type="http://schemas.openxmlformats.org/officeDocument/2006/relationships/hyperlink" Target="https://www.cmfa-ca.com/wp-content/uploads/2025/02/CMFA-Staff-Reports-1.pdf" TargetMode="External"/><Relationship Id="rId75" Type="http://schemas.openxmlformats.org/officeDocument/2006/relationships/hyperlink" Target="https://drive.google.com/file/d/17DWw16dIAc_L4SQOr8tbWguQkdXU93n3/view?usp=sharing" TargetMode="External"/><Relationship Id="rId74" Type="http://schemas.openxmlformats.org/officeDocument/2006/relationships/hyperlink" Target="https://www.cmfa-ca.com/wp-content/uploads/2025/02/CMFA-Staff-Reports-1.pdf" TargetMode="External"/><Relationship Id="rId77" Type="http://schemas.openxmlformats.org/officeDocument/2006/relationships/hyperlink" Target="https://drive.google.com/file/d/17DWw16dIAc_L4SQOr8tbWguQkdXU93n3/view?usp=sharing" TargetMode="External"/><Relationship Id="rId76" Type="http://schemas.openxmlformats.org/officeDocument/2006/relationships/hyperlink" Target="https://drive.google.com/file/d/17DWw16dIAc_L4SQOr8tbWguQkdXU93n3/view?usp=sharing" TargetMode="External"/><Relationship Id="rId79" Type="http://schemas.openxmlformats.org/officeDocument/2006/relationships/hyperlink" Target="https://drive.google.com/file/d/12G7mPqQ93uHyyHWEdl0T581DG03qMhoB/view?usp=sharing" TargetMode="External"/><Relationship Id="rId78" Type="http://schemas.openxmlformats.org/officeDocument/2006/relationships/hyperlink" Target="https://drive.google.com/file/d/12G7mPqQ93uHyyHWEdl0T581DG03qMhoB/view?usp=sharing" TargetMode="External"/><Relationship Id="rId71" Type="http://schemas.openxmlformats.org/officeDocument/2006/relationships/hyperlink" Target="https://www.cmfa-ca.com/wp-content/uploads/2025/02/CMFA-Staff-Reports-1.pdf" TargetMode="External"/><Relationship Id="rId70" Type="http://schemas.openxmlformats.org/officeDocument/2006/relationships/hyperlink" Target="https://drive.google.com/file/d/1PbnczZORnEtXPH25bFZml3jEF0jawJ_J/view?usp=sharing" TargetMode="External"/><Relationship Id="rId139" Type="http://schemas.openxmlformats.org/officeDocument/2006/relationships/hyperlink" Target="https://drive.google.com/file/d/1c4WiKYcJsl_7dvDRraURamcEpQX-jieA/view?usp=sharing" TargetMode="External"/><Relationship Id="rId138" Type="http://schemas.openxmlformats.org/officeDocument/2006/relationships/hyperlink" Target="https://drive.google.com/file/d/1c4WiKYcJsl_7dvDRraURamcEpQX-jieA/view?usp=sharing" TargetMode="External"/><Relationship Id="rId137" Type="http://schemas.openxmlformats.org/officeDocument/2006/relationships/hyperlink" Target="https://drive.google.com/file/d/1c4WiKYcJsl_7dvDRraURamcEpQX-jieA/view?usp=sharing" TargetMode="External"/><Relationship Id="rId132" Type="http://schemas.openxmlformats.org/officeDocument/2006/relationships/hyperlink" Target="https://drive.google.com/file/d/1HMWbWaG9dai-MnUJQlBG4BlPczC1OaIy/view?usp=sharing" TargetMode="External"/><Relationship Id="rId131" Type="http://schemas.openxmlformats.org/officeDocument/2006/relationships/hyperlink" Target="https://drive.google.com/file/d/1HMWbWaG9dai-MnUJQlBG4BlPczC1OaIy/view?usp=sharing" TargetMode="External"/><Relationship Id="rId130" Type="http://schemas.openxmlformats.org/officeDocument/2006/relationships/hyperlink" Target="https://drive.google.com/file/d/1HMWbWaG9dai-MnUJQlBG4BlPczC1OaIy/view?usp=sharing" TargetMode="External"/><Relationship Id="rId136" Type="http://schemas.openxmlformats.org/officeDocument/2006/relationships/hyperlink" Target="https://drive.google.com/file/d/1c4WiKYcJsl_7dvDRraURamcEpQX-jieA/view?usp=sharing" TargetMode="External"/><Relationship Id="rId135" Type="http://schemas.openxmlformats.org/officeDocument/2006/relationships/hyperlink" Target="https://drive.google.com/file/d/1c4WiKYcJsl_7dvDRraURamcEpQX-jieA/view?usp=sharing" TargetMode="External"/><Relationship Id="rId134" Type="http://schemas.openxmlformats.org/officeDocument/2006/relationships/hyperlink" Target="https://drive.google.com/file/d/1HMWbWaG9dai-MnUJQlBG4BlPczC1OaIy/view?usp=sharing" TargetMode="External"/><Relationship Id="rId133" Type="http://schemas.openxmlformats.org/officeDocument/2006/relationships/hyperlink" Target="https://drive.google.com/file/d/1HMWbWaG9dai-MnUJQlBG4BlPczC1OaIy/view?usp=sharing" TargetMode="External"/><Relationship Id="rId62" Type="http://schemas.openxmlformats.org/officeDocument/2006/relationships/hyperlink" Target="https://drive.google.com/file/d/1wuv1rN9kgT-BRZeC0JXdyJOcnggt9PmM/view?usp=sharing" TargetMode="External"/><Relationship Id="rId61" Type="http://schemas.openxmlformats.org/officeDocument/2006/relationships/hyperlink" Target="https://drive.google.com/file/d/1wuv1rN9kgT-BRZeC0JXdyJOcnggt9PmM/view?usp=sharing" TargetMode="External"/><Relationship Id="rId64" Type="http://schemas.openxmlformats.org/officeDocument/2006/relationships/hyperlink" Target="https://bridgehousing.com/properties/viewpoint/" TargetMode="External"/><Relationship Id="rId63" Type="http://schemas.openxmlformats.org/officeDocument/2006/relationships/hyperlink" Target="https://www.cmfa-ca.com/wp-content/uploads/2024/12/12-13-24-CMFA-Staff-Report.pdf" TargetMode="External"/><Relationship Id="rId66" Type="http://schemas.openxmlformats.org/officeDocument/2006/relationships/hyperlink" Target="https://www.cmfa-ca.com/wp-content/uploads/2024/12/12-13-24-CMFA-Staff-Report.pdf" TargetMode="External"/><Relationship Id="rId172" Type="http://schemas.openxmlformats.org/officeDocument/2006/relationships/hyperlink" Target="https://drive.google.com/file/d/1uEVkbszwfkemzhsOrrHySHbe2y31DNyU/view?usp=sharing" TargetMode="External"/><Relationship Id="rId65" Type="http://schemas.openxmlformats.org/officeDocument/2006/relationships/hyperlink" Target="https://www.cmfa-ca.com/wp-content/uploads/2024/12/12-13-24-CMFA-Staff-Report.pdf" TargetMode="External"/><Relationship Id="rId171" Type="http://schemas.openxmlformats.org/officeDocument/2006/relationships/hyperlink" Target="https://cscda.org/wp-content/uploads/2025/12/CSCDA-Agenda-Packet-12.18.25.pdf" TargetMode="External"/><Relationship Id="rId68" Type="http://schemas.openxmlformats.org/officeDocument/2006/relationships/hyperlink" Target="https://www.losgatoslandingapts.com/" TargetMode="External"/><Relationship Id="rId170" Type="http://schemas.openxmlformats.org/officeDocument/2006/relationships/hyperlink" Target="https://www.cmfa-ca.com/wp-content/uploads/2025/12/CMFA-Staff-Reports-12-12-25.pdf" TargetMode="External"/><Relationship Id="rId67" Type="http://schemas.openxmlformats.org/officeDocument/2006/relationships/hyperlink" Target="https://www.ethos-re.com/news/sofi-at-los-gatos-creek-adam-siegman-comments-on-affordable-housing" TargetMode="External"/><Relationship Id="rId60" Type="http://schemas.openxmlformats.org/officeDocument/2006/relationships/hyperlink" Target="https://drive.google.com/file/d/1b1E71B6vwPYM9Y0irCk-fHx-7fNFPaGw/view?usp=sharing" TargetMode="External"/><Relationship Id="rId165" Type="http://schemas.openxmlformats.org/officeDocument/2006/relationships/hyperlink" Target="https://www.cmfa-ca.com/wp-content/uploads/2025/12/CMFA-Staff-Reports-12-12-25.pdf" TargetMode="External"/><Relationship Id="rId69" Type="http://schemas.openxmlformats.org/officeDocument/2006/relationships/hyperlink" Target="https://www.cmfa-ca.com/wp-content/uploads/2024/12/12-13-24-CMFA-Staff-Report.pdf" TargetMode="External"/><Relationship Id="rId164" Type="http://schemas.openxmlformats.org/officeDocument/2006/relationships/hyperlink" Target="https://www.cmfa-ca.com/wp-content/uploads/2025/12/CMFA-Staff-Reports-12-12-25.pdf" TargetMode="External"/><Relationship Id="rId163" Type="http://schemas.openxmlformats.org/officeDocument/2006/relationships/hyperlink" Target="https://www.cmfa-ca.com/wp-content/uploads/2025/12/CMFA-Staff-Reports-12-12-25.pdf" TargetMode="External"/><Relationship Id="rId162" Type="http://schemas.openxmlformats.org/officeDocument/2006/relationships/hyperlink" Target="https://www.cmfa-ca.com/wp-content/uploads/2025/12/CMFA-Staff-Reports-12-12-25.pdf" TargetMode="External"/><Relationship Id="rId169" Type="http://schemas.openxmlformats.org/officeDocument/2006/relationships/hyperlink" Target="https://www.cmfa-ca.com/wp-content/uploads/2025/12/CMFA-Staff-Reports-12-12-25.pdf" TargetMode="External"/><Relationship Id="rId168" Type="http://schemas.openxmlformats.org/officeDocument/2006/relationships/hyperlink" Target="https://www.cmfa-ca.com/wp-content/uploads/2025/12/CMFA-Staff-Reports-12-12-25.pdf" TargetMode="External"/><Relationship Id="rId167" Type="http://schemas.openxmlformats.org/officeDocument/2006/relationships/hyperlink" Target="https://www.cmfa-ca.com/wp-content/uploads/2025/12/CMFA-Staff-Reports-12-12-25.pdf" TargetMode="External"/><Relationship Id="rId166" Type="http://schemas.openxmlformats.org/officeDocument/2006/relationships/hyperlink" Target="https://www.cmfa-ca.com/wp-content/uploads/2025/12/CMFA-Staff-Reports-12-12-25.pdf" TargetMode="External"/><Relationship Id="rId51" Type="http://schemas.openxmlformats.org/officeDocument/2006/relationships/hyperlink" Target="https://drive.google.com/file/d/1Ca4bNHM09YalcC8I9DHB5kXrQjV4aM03/view?usp=sharing" TargetMode="External"/><Relationship Id="rId50" Type="http://schemas.openxmlformats.org/officeDocument/2006/relationships/hyperlink" Target="https://drive.google.com/file/d/1Ca4bNHM09YalcC8I9DHB5kXrQjV4aM03/view?usp=sharing" TargetMode="External"/><Relationship Id="rId53" Type="http://schemas.openxmlformats.org/officeDocument/2006/relationships/hyperlink" Target="https://drive.google.com/file/d/1YDycdj4c5npJ3CV-W7s7LjlzH12FlgkS/view?usp=sharing" TargetMode="External"/><Relationship Id="rId52" Type="http://schemas.openxmlformats.org/officeDocument/2006/relationships/hyperlink" Target="https://drive.google.com/file/d/1YDycdj4c5npJ3CV-W7s7LjlzH12FlgkS/view?usp=sharing" TargetMode="External"/><Relationship Id="rId55" Type="http://schemas.openxmlformats.org/officeDocument/2006/relationships/hyperlink" Target="https://drive.google.com/file/d/1YDycdj4c5npJ3CV-W7s7LjlzH12FlgkS/view?usp=sharing" TargetMode="External"/><Relationship Id="rId161" Type="http://schemas.openxmlformats.org/officeDocument/2006/relationships/hyperlink" Target="https://www.cmfa-ca.com/wp-content/uploads/2025/12/CMFA-Staff-Reports-12-12-25.pdf" TargetMode="External"/><Relationship Id="rId54" Type="http://schemas.openxmlformats.org/officeDocument/2006/relationships/hyperlink" Target="https://drive.google.com/file/d/1YDycdj4c5npJ3CV-W7s7LjlzH12FlgkS/view?usp=sharing" TargetMode="External"/><Relationship Id="rId160" Type="http://schemas.openxmlformats.org/officeDocument/2006/relationships/hyperlink" Target="https://www.cmfa-ca.com/wp-content/uploads/2025/12/CMFA-Staff-Reports-12-12-25.pdf" TargetMode="External"/><Relationship Id="rId57" Type="http://schemas.openxmlformats.org/officeDocument/2006/relationships/hyperlink" Target="https://drive.google.com/file/d/1b1E71B6vwPYM9Y0irCk-fHx-7fNFPaGw/view?usp=sharing" TargetMode="External"/><Relationship Id="rId56" Type="http://schemas.openxmlformats.org/officeDocument/2006/relationships/hyperlink" Target="https://drive.google.com/file/d/1YDycdj4c5npJ3CV-W7s7LjlzH12FlgkS/view?usp=sharing" TargetMode="External"/><Relationship Id="rId159" Type="http://schemas.openxmlformats.org/officeDocument/2006/relationships/hyperlink" Target="https://www.cmfa-ca.com/wp-content/uploads/2025/12/CMFA-Staff-Reports-12-12-25.pdf" TargetMode="External"/><Relationship Id="rId59" Type="http://schemas.openxmlformats.org/officeDocument/2006/relationships/hyperlink" Target="https://drive.google.com/file/d/1b1E71B6vwPYM9Y0irCk-fHx-7fNFPaGw/view?usp=sharing" TargetMode="External"/><Relationship Id="rId154" Type="http://schemas.openxmlformats.org/officeDocument/2006/relationships/hyperlink" Target="https://drive.google.com/file/d/1EBhRX7tYWWX6kmEMheSBJncFOso_dKJA/view?usp=sharing" TargetMode="External"/><Relationship Id="rId58" Type="http://schemas.openxmlformats.org/officeDocument/2006/relationships/hyperlink" Target="https://drive.google.com/file/d/1b1E71B6vwPYM9Y0irCk-fHx-7fNFPaGw/view?usp=sharing" TargetMode="External"/><Relationship Id="rId153" Type="http://schemas.openxmlformats.org/officeDocument/2006/relationships/hyperlink" Target="https://drive.google.com/file/d/1EBhRX7tYWWX6kmEMheSBJncFOso_dKJA/view?usp=sharing" TargetMode="External"/><Relationship Id="rId152" Type="http://schemas.openxmlformats.org/officeDocument/2006/relationships/hyperlink" Target="https://drive.google.com/file/d/1EBhRX7tYWWX6kmEMheSBJncFOso_dKJA/view?usp=sharing" TargetMode="External"/><Relationship Id="rId151" Type="http://schemas.openxmlformats.org/officeDocument/2006/relationships/hyperlink" Target="https://cscda.org/wp-content/uploads/2025/11/CSCDA-Agenda-Packet-11.20.25.pdf" TargetMode="External"/><Relationship Id="rId158" Type="http://schemas.openxmlformats.org/officeDocument/2006/relationships/hyperlink" Target="https://drive.google.com/file/d/1EBhRX7tYWWX6kmEMheSBJncFOso_dKJA/view?usp=sharing" TargetMode="External"/><Relationship Id="rId157" Type="http://schemas.openxmlformats.org/officeDocument/2006/relationships/hyperlink" Target="https://drive.google.com/file/d/1EBhRX7tYWWX6kmEMheSBJncFOso_dKJA/view?usp=sharing" TargetMode="External"/><Relationship Id="rId156" Type="http://schemas.openxmlformats.org/officeDocument/2006/relationships/hyperlink" Target="https://drive.google.com/file/d/1EBhRX7tYWWX6kmEMheSBJncFOso_dKJA/view?usp=sharing" TargetMode="External"/><Relationship Id="rId155" Type="http://schemas.openxmlformats.org/officeDocument/2006/relationships/hyperlink" Target="https://drive.google.com/file/d/1EBhRX7tYWWX6kmEMheSBJncFOso_dKJA/view?usp=sharing" TargetMode="External"/><Relationship Id="rId107" Type="http://schemas.openxmlformats.org/officeDocument/2006/relationships/hyperlink" Target="https://rebusinessonline.com/sack-properties-belveron-partners-buy-164-unit-multifamily-property-in-san-jose-california/" TargetMode="External"/><Relationship Id="rId228" Type="http://schemas.openxmlformats.org/officeDocument/2006/relationships/hyperlink" Target="https://cscda.org/wp-content/uploads/2026/07/CSCDA-Agenda-Packet-7.16.26.pdf" TargetMode="External"/><Relationship Id="rId106" Type="http://schemas.openxmlformats.org/officeDocument/2006/relationships/hyperlink" Target="https://www.cmfa-ca.com/wp-content/uploads/2025/08/CMFA-Staff-Reports-8-8-25.pdf" TargetMode="External"/><Relationship Id="rId227" Type="http://schemas.openxmlformats.org/officeDocument/2006/relationships/hyperlink" Target="https://cscda.org/wp-content/uploads/2026/06/CSCDA-Agenda-Packet-7.2.26.pdf" TargetMode="External"/><Relationship Id="rId105" Type="http://schemas.openxmlformats.org/officeDocument/2006/relationships/hyperlink" Target="https://www.cmfa-ca.com/wp-content/uploads/2025/08/CMFA-Staff-Reports-8-8-25.pdf" TargetMode="External"/><Relationship Id="rId226" Type="http://schemas.openxmlformats.org/officeDocument/2006/relationships/hyperlink" Target="https://cscda.org/wp-content/uploads/2026/06/CSCDA-Agenda-Packet-7.2.26.pdf" TargetMode="External"/><Relationship Id="rId104" Type="http://schemas.openxmlformats.org/officeDocument/2006/relationships/hyperlink" Target="https://drive.google.com/file/d/1kcAB0teNw5ucC8FD5DfeQblRdoz3LmwL/view?usp=sharing" TargetMode="External"/><Relationship Id="rId225" Type="http://schemas.openxmlformats.org/officeDocument/2006/relationships/hyperlink" Target="https://www.cmfa-ca.com/wp-content/uploads/2026/06/CMFA-Staff-Reports-6-26-26.pdf" TargetMode="External"/><Relationship Id="rId109" Type="http://schemas.openxmlformats.org/officeDocument/2006/relationships/hyperlink" Target="https://drive.google.com/file/d/1kcAB0teNw5ucC8FD5DfeQblRdoz3LmwL/view?usp=sharing" TargetMode="External"/><Relationship Id="rId108" Type="http://schemas.openxmlformats.org/officeDocument/2006/relationships/hyperlink" Target="https://drive.google.com/file/d/1kcAB0teNw5ucC8FD5DfeQblRdoz3LmwL/view?usp=sharing" TargetMode="External"/><Relationship Id="rId229" Type="http://schemas.openxmlformats.org/officeDocument/2006/relationships/hyperlink" Target="https://cscda.org/wp-content/uploads/2026/07/CSCDA-Agenda-Packet-7.16.26.pdf" TargetMode="External"/><Relationship Id="rId220" Type="http://schemas.openxmlformats.org/officeDocument/2006/relationships/hyperlink" Target="https://cscda.org/wp-content/uploads/2026/06/CSCDA-Agenda-Packet-6.4.26.pdf" TargetMode="External"/><Relationship Id="rId103" Type="http://schemas.openxmlformats.org/officeDocument/2006/relationships/hyperlink" Target="https://drive.google.com/file/d/1sqWjnBVXjgeuXYHBMITqKMY1icV90Jj3/view?usp=sharing" TargetMode="External"/><Relationship Id="rId224" Type="http://schemas.openxmlformats.org/officeDocument/2006/relationships/hyperlink" Target="https://www.cmfa-ca.com/wp-content/uploads/2026/06/CMFA-Staff-Reports-6-26-26.pdf" TargetMode="External"/><Relationship Id="rId102" Type="http://schemas.openxmlformats.org/officeDocument/2006/relationships/hyperlink" Target="https://drive.google.com/file/d/1sqWjnBVXjgeuXYHBMITqKMY1icV90Jj3/view?usp=sharing" TargetMode="External"/><Relationship Id="rId223" Type="http://schemas.openxmlformats.org/officeDocument/2006/relationships/hyperlink" Target="https://vistria.com/vistria-real-estate-acquires-orange-county-apartment-community/" TargetMode="External"/><Relationship Id="rId101" Type="http://schemas.openxmlformats.org/officeDocument/2006/relationships/hyperlink" Target="https://www.cmfa-ca.com/wp-content/uploads/2025/07/CMFA-Staff-Reports-7-18-25.pdf" TargetMode="External"/><Relationship Id="rId222" Type="http://schemas.openxmlformats.org/officeDocument/2006/relationships/hyperlink" Target="https://cscda.org/wp-content/uploads/2026/06/CSCDA-Agenda-Packet-6.4.26.pdf" TargetMode="External"/><Relationship Id="rId100" Type="http://schemas.openxmlformats.org/officeDocument/2006/relationships/hyperlink" Target="https://drive.google.com/file/d/1sqWjnBVXjgeuXYHBMITqKMY1icV90Jj3/view?usp=sharing" TargetMode="External"/><Relationship Id="rId221" Type="http://schemas.openxmlformats.org/officeDocument/2006/relationships/hyperlink" Target="https://cscda.org/wp-content/uploads/2026/06/CSCDA-Agenda-Packet-6.4.26.pdf" TargetMode="External"/><Relationship Id="rId217" Type="http://schemas.openxmlformats.org/officeDocument/2006/relationships/hyperlink" Target="https://www.cmfa-ca.com/wp-content/uploads/2026/05/CMFA-Staff-Reports-5-29-26.pdf" TargetMode="External"/><Relationship Id="rId216" Type="http://schemas.openxmlformats.org/officeDocument/2006/relationships/hyperlink" Target="https://www.cmfa-ca.com/wp-content/uploads/2026/05/Staff-Reports-5-8-26.pdf" TargetMode="External"/><Relationship Id="rId215" Type="http://schemas.openxmlformats.org/officeDocument/2006/relationships/hyperlink" Target="https://www.cmfa-ca.com/wp-content/uploads/2026/05/Staff-Reports-5-8-26.pdf" TargetMode="External"/><Relationship Id="rId214" Type="http://schemas.openxmlformats.org/officeDocument/2006/relationships/hyperlink" Target="https://www.cmfa-ca.com/wp-content/uploads/2026/05/Staff-Reports-5-8-26.pdf" TargetMode="External"/><Relationship Id="rId219" Type="http://schemas.openxmlformats.org/officeDocument/2006/relationships/hyperlink" Target="https://cscda.org/wp-content/uploads/2026/06/CSCDA-Agenda-Packet-6.4.26.pdf" TargetMode="External"/><Relationship Id="rId218" Type="http://schemas.openxmlformats.org/officeDocument/2006/relationships/hyperlink" Target="https://www.cmfa-ca.com/wp-content/uploads/2026/05/CMFA-Staff-Reports-5-29-26.pdf" TargetMode="External"/><Relationship Id="rId213" Type="http://schemas.openxmlformats.org/officeDocument/2006/relationships/hyperlink" Target="https://cscda.org/wp-content/uploads/2026/05/CSCDA-Agenda-Packet-5.7.26.pdf" TargetMode="External"/><Relationship Id="rId212" Type="http://schemas.openxmlformats.org/officeDocument/2006/relationships/hyperlink" Target="https://www.cmfa-ca.com/wp-content/uploads/2026/04/4-17-26-CMFA-Staff-Reports.pdf" TargetMode="External"/><Relationship Id="rId211" Type="http://schemas.openxmlformats.org/officeDocument/2006/relationships/hyperlink" Target="https://www.cmfa-ca.com/wp-content/uploads/2026/04/1-CMFA-Agenda-04-17-26.pdf" TargetMode="External"/><Relationship Id="rId210" Type="http://schemas.openxmlformats.org/officeDocument/2006/relationships/hyperlink" Target="https://www.cmfa-ca.com/wp-content/uploads/2026/04/4-17-26-CMFA-Staff-Reports.pdf" TargetMode="External"/><Relationship Id="rId129" Type="http://schemas.openxmlformats.org/officeDocument/2006/relationships/hyperlink" Target="https://drive.google.com/file/d/1HMWbWaG9dai-MnUJQlBG4BlPczC1OaIy/view?usp=sharing" TargetMode="External"/><Relationship Id="rId128" Type="http://schemas.openxmlformats.org/officeDocument/2006/relationships/hyperlink" Target="https://drive.google.com/file/d/1HMWbWaG9dai-MnUJQlBG4BlPczC1OaIy/view?usp=sharing" TargetMode="External"/><Relationship Id="rId127" Type="http://schemas.openxmlformats.org/officeDocument/2006/relationships/hyperlink" Target="https://drive.google.com/file/d/1HMWbWaG9dai-MnUJQlBG4BlPczC1OaIy/view?usp=sharing" TargetMode="External"/><Relationship Id="rId126" Type="http://schemas.openxmlformats.org/officeDocument/2006/relationships/hyperlink" Target="https://drive.google.com/file/d/1HMWbWaG9dai-MnUJQlBG4BlPczC1OaIy/view?usp=sharing" TargetMode="External"/><Relationship Id="rId121" Type="http://schemas.openxmlformats.org/officeDocument/2006/relationships/hyperlink" Target="https://drive.google.com/file/d/1HMWbWaG9dai-MnUJQlBG4BlPczC1OaIy/view?usp=sharing" TargetMode="External"/><Relationship Id="rId120" Type="http://schemas.openxmlformats.org/officeDocument/2006/relationships/hyperlink" Target="https://drive.google.com/file/d/1HMWbWaG9dai-MnUJQlBG4BlPczC1OaIy/view?usp=sharing" TargetMode="External"/><Relationship Id="rId241" Type="http://schemas.openxmlformats.org/officeDocument/2006/relationships/vmlDrawing" Target="../drawings/vmlDrawing1.vml"/><Relationship Id="rId240" Type="http://schemas.openxmlformats.org/officeDocument/2006/relationships/drawing" Target="../drawings/drawing1.xml"/><Relationship Id="rId125" Type="http://schemas.openxmlformats.org/officeDocument/2006/relationships/hyperlink" Target="https://drive.google.com/file/d/1HMWbWaG9dai-MnUJQlBG4BlPczC1OaIy/view?usp=sharing" TargetMode="External"/><Relationship Id="rId124" Type="http://schemas.openxmlformats.org/officeDocument/2006/relationships/hyperlink" Target="https://drive.google.com/file/d/1HMWbWaG9dai-MnUJQlBG4BlPczC1OaIy/view?usp=sharing" TargetMode="External"/><Relationship Id="rId123" Type="http://schemas.openxmlformats.org/officeDocument/2006/relationships/hyperlink" Target="https://drive.google.com/file/d/1HMWbWaG9dai-MnUJQlBG4BlPczC1OaIy/view?usp=sharing" TargetMode="External"/><Relationship Id="rId122" Type="http://schemas.openxmlformats.org/officeDocument/2006/relationships/hyperlink" Target="https://drive.google.com/file/d/1HMWbWaG9dai-MnUJQlBG4BlPczC1OaIy/view?usp=sharing" TargetMode="External"/><Relationship Id="rId95" Type="http://schemas.openxmlformats.org/officeDocument/2006/relationships/hyperlink" Target="https://drive.google.com/file/d/1NxozO9TB9Hbne9DXqyKNhWg5cU8mG7dF/view?usp=sharing" TargetMode="External"/><Relationship Id="rId94" Type="http://schemas.openxmlformats.org/officeDocument/2006/relationships/hyperlink" Target="https://drive.google.com/file/d/1NxozO9TB9Hbne9DXqyKNhWg5cU8mG7dF/view?usp=sharing" TargetMode="External"/><Relationship Id="rId97" Type="http://schemas.openxmlformats.org/officeDocument/2006/relationships/hyperlink" Target="https://drive.google.com/file/d/1NxozO9TB9Hbne9DXqyKNhWg5cU8mG7dF/view?usp=sharing" TargetMode="External"/><Relationship Id="rId96" Type="http://schemas.openxmlformats.org/officeDocument/2006/relationships/hyperlink" Target="https://drive.google.com/file/d/1NxozO9TB9Hbne9DXqyKNhWg5cU8mG7dF/view?usp=sharing" TargetMode="External"/><Relationship Id="rId99" Type="http://schemas.openxmlformats.org/officeDocument/2006/relationships/hyperlink" Target="https://drive.google.com/file/d/1NxozO9TB9Hbne9DXqyKNhWg5cU8mG7dF/view?usp=sharing" TargetMode="External"/><Relationship Id="rId98" Type="http://schemas.openxmlformats.org/officeDocument/2006/relationships/hyperlink" Target="https://drive.google.com/file/d/1NxozO9TB9Hbne9DXqyKNhWg5cU8mG7dF/view?usp=sharing" TargetMode="External"/><Relationship Id="rId91" Type="http://schemas.openxmlformats.org/officeDocument/2006/relationships/hyperlink" Target="https://drive.google.com/file/d/1NxozO9TB9Hbne9DXqyKNhWg5cU8mG7dF/view?usp=sharing" TargetMode="External"/><Relationship Id="rId90" Type="http://schemas.openxmlformats.org/officeDocument/2006/relationships/hyperlink" Target="https://drive.google.com/file/d/1NxozO9TB9Hbne9DXqyKNhWg5cU8mG7dF/view?usp=sharing" TargetMode="External"/><Relationship Id="rId93" Type="http://schemas.openxmlformats.org/officeDocument/2006/relationships/hyperlink" Target="https://drive.google.com/file/d/1NxozO9TB9Hbne9DXqyKNhWg5cU8mG7dF/view?usp=sharing" TargetMode="External"/><Relationship Id="rId92" Type="http://schemas.openxmlformats.org/officeDocument/2006/relationships/hyperlink" Target="https://drive.google.com/file/d/1NxozO9TB9Hbne9DXqyKNhWg5cU8mG7dF/view?usp=sharing" TargetMode="External"/><Relationship Id="rId118" Type="http://schemas.openxmlformats.org/officeDocument/2006/relationships/hyperlink" Target="https://drive.google.com/file/d/1HMWbWaG9dai-MnUJQlBG4BlPczC1OaIy/view?usp=sharing" TargetMode="External"/><Relationship Id="rId239" Type="http://schemas.openxmlformats.org/officeDocument/2006/relationships/hyperlink" Target="https://drive.google.com/file/d/1Jfxim7CPdxDDERcffUyzSFy3Iimq8GK3/view?usp=drive_link" TargetMode="External"/><Relationship Id="rId117" Type="http://schemas.openxmlformats.org/officeDocument/2006/relationships/hyperlink" Target="https://drive.google.com/file/d/10L8F9eBWcEO9VcwAThJyknwDRR4aQfMG/view?usp=sharing" TargetMode="External"/><Relationship Id="rId238" Type="http://schemas.openxmlformats.org/officeDocument/2006/relationships/hyperlink" Target="https://drive.google.com/file/d/1Jfxim7CPdxDDERcffUyzSFy3Iimq8GK3/view?usp=drive_link" TargetMode="External"/><Relationship Id="rId116" Type="http://schemas.openxmlformats.org/officeDocument/2006/relationships/hyperlink" Target="https://drive.google.com/file/d/10L8F9eBWcEO9VcwAThJyknwDRR4aQfMG/view?usp=sharing" TargetMode="External"/><Relationship Id="rId237" Type="http://schemas.openxmlformats.org/officeDocument/2006/relationships/hyperlink" Target="https://drive.google.com/file/d/1Jfxim7CPdxDDERcffUyzSFy3Iimq8GK3/view?usp=drive_link" TargetMode="External"/><Relationship Id="rId115" Type="http://schemas.openxmlformats.org/officeDocument/2006/relationships/hyperlink" Target="https://drive.google.com/file/d/10L8F9eBWcEO9VcwAThJyknwDRR4aQfMG/view?usp=sharing" TargetMode="External"/><Relationship Id="rId236" Type="http://schemas.openxmlformats.org/officeDocument/2006/relationships/hyperlink" Target="https://drive.google.com/file/d/1Jfxim7CPdxDDERcffUyzSFy3Iimq8GK3/view?usp=drive_link" TargetMode="External"/><Relationship Id="rId119" Type="http://schemas.openxmlformats.org/officeDocument/2006/relationships/hyperlink" Target="https://drive.google.com/file/d/1HMWbWaG9dai-MnUJQlBG4BlPczC1OaIy/view?usp=sharing" TargetMode="External"/><Relationship Id="rId110" Type="http://schemas.openxmlformats.org/officeDocument/2006/relationships/hyperlink" Target="https://drive.google.com/file/d/1kcAB0teNw5ucC8FD5DfeQblRdoz3LmwL/view?usp=sharing" TargetMode="External"/><Relationship Id="rId231" Type="http://schemas.openxmlformats.org/officeDocument/2006/relationships/hyperlink" Target="https://cscda.org/wp-content/uploads/2026/07/CSCDA-Agenda-Packet-7.16.26.pdf" TargetMode="External"/><Relationship Id="rId230" Type="http://schemas.openxmlformats.org/officeDocument/2006/relationships/hyperlink" Target="https://cscda.org/wp-content/uploads/2026/07/CSCDA-Agenda-Packet-7.16.26.pdf" TargetMode="External"/><Relationship Id="rId114" Type="http://schemas.openxmlformats.org/officeDocument/2006/relationships/hyperlink" Target="https://drive.google.com/file/d/10L8F9eBWcEO9VcwAThJyknwDRR4aQfMG/view?usp=sharing" TargetMode="External"/><Relationship Id="rId235" Type="http://schemas.openxmlformats.org/officeDocument/2006/relationships/hyperlink" Target="https://drive.google.com/file/d/1Jfxim7CPdxDDERcffUyzSFy3Iimq8GK3/view?usp=drive_link" TargetMode="External"/><Relationship Id="rId113" Type="http://schemas.openxmlformats.org/officeDocument/2006/relationships/hyperlink" Target="https://www.camdenvillageapts.com/" TargetMode="External"/><Relationship Id="rId234" Type="http://schemas.openxmlformats.org/officeDocument/2006/relationships/hyperlink" Target="https://drive.google.com/file/d/1Jfxim7CPdxDDERcffUyzSFy3Iimq8GK3/view?usp=drive_link" TargetMode="External"/><Relationship Id="rId112" Type="http://schemas.openxmlformats.org/officeDocument/2006/relationships/hyperlink" Target="https://drive.google.com/file/d/10L8F9eBWcEO9VcwAThJyknwDRR4aQfMG/view?usp=sharing" TargetMode="External"/><Relationship Id="rId233" Type="http://schemas.openxmlformats.org/officeDocument/2006/relationships/hyperlink" Target="https://drive.google.com/file/d/1Jfxim7CPdxDDERcffUyzSFy3Iimq8GK3/view?usp=drive_link" TargetMode="External"/><Relationship Id="rId111" Type="http://schemas.openxmlformats.org/officeDocument/2006/relationships/hyperlink" Target="https://drive.google.com/file/d/1kcAB0teNw5ucC8FD5DfeQblRdoz3LmwL/view?usp=sharing" TargetMode="External"/><Relationship Id="rId232" Type="http://schemas.openxmlformats.org/officeDocument/2006/relationships/hyperlink" Target="https://www.cmfa-ca.com/wp-content/uploads/2026/07/CMFA-Staff-Reports-7-17-26.pdf" TargetMode="External"/><Relationship Id="rId206" Type="http://schemas.openxmlformats.org/officeDocument/2006/relationships/hyperlink" Target="https://www.cmfa-ca.com/wp-content/uploads/2026/03/3-13-26-CMFA-Staff-Reports.pdf" TargetMode="External"/><Relationship Id="rId205" Type="http://schemas.openxmlformats.org/officeDocument/2006/relationships/hyperlink" Target="https://www.cmfa-ca.com/wp-content/uploads/2026/03/3-13-26-CMFA-Staff-Reports.pdf" TargetMode="External"/><Relationship Id="rId204" Type="http://schemas.openxmlformats.org/officeDocument/2006/relationships/hyperlink" Target="https://www.cmfa-ca.com/wp-content/uploads/2026/03/3-13-26-CMFA-Staff-Reports.pdf" TargetMode="External"/><Relationship Id="rId203" Type="http://schemas.openxmlformats.org/officeDocument/2006/relationships/hyperlink" Target="https://www.cmfa-ca.com/wp-content/uploads/2026/03/3-13-26-CMFA-Staff-Reports.pdf" TargetMode="External"/><Relationship Id="rId209" Type="http://schemas.openxmlformats.org/officeDocument/2006/relationships/hyperlink" Target="https://cscda.org/wp-content/uploads/2026/03/CSCDA-Agenda-Packet-4.2.26.pdf" TargetMode="External"/><Relationship Id="rId208" Type="http://schemas.openxmlformats.org/officeDocument/2006/relationships/hyperlink" Target="https://cscda.org/wp-content/uploads/2026/03/CSCDA-Agenda-Packet-4.2.26.pdf" TargetMode="External"/><Relationship Id="rId207" Type="http://schemas.openxmlformats.org/officeDocument/2006/relationships/hyperlink" Target="https://www.cmfa-ca.com/wp-content/uploads/2026/03/Staff-Reports-3-27-26.pdf" TargetMode="External"/><Relationship Id="rId202" Type="http://schemas.openxmlformats.org/officeDocument/2006/relationships/hyperlink" Target="https://cscda.org/wp-content/uploads/2026/03/CSCDA-Agenda-Packet-3.5.26.pdf" TargetMode="External"/><Relationship Id="rId201" Type="http://schemas.openxmlformats.org/officeDocument/2006/relationships/hyperlink" Target="https://drive.google.com/file/d/13IxTZo_GC7XTVQhw4OkKk51hCOiu5Ama/view?usp=sharing" TargetMode="External"/><Relationship Id="rId200" Type="http://schemas.openxmlformats.org/officeDocument/2006/relationships/hyperlink" Target="https://drive.google.com/file/d/13IxTZo_GC7XTVQhw4OkKk51hCOiu5Ama/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drawing" Target="../drawings/drawing7.xml"/><Relationship Id="rId21" Type="http://schemas.openxmlformats.org/officeDocument/2006/relationships/vmlDrawing" Target="../drawings/vmlDrawing5.vml"/><Relationship Id="rId11" Type="http://schemas.openxmlformats.org/officeDocument/2006/relationships/hyperlink" Target="https://drive.google.com/file/d/1mZjQC0U5amylbQPVmyrckExndYFOkjpC/view?usp=sharing" TargetMode="External"/><Relationship Id="rId10" Type="http://schemas.openxmlformats.org/officeDocument/2006/relationships/hyperlink" Target="https://drive.google.com/file/d/1n3mF-bbF46tOD60UAn8kktDNkiQAOYRd/view?usp=sharing" TargetMode="External"/><Relationship Id="rId13" Type="http://schemas.openxmlformats.org/officeDocument/2006/relationships/hyperlink" Target="https://drive.google.com/file/d/1zqerQFXwqiBPFTCtXicNTk5JZefUvMLN/view?usp=sharing" TargetMode="External"/><Relationship Id="rId12" Type="http://schemas.openxmlformats.org/officeDocument/2006/relationships/hyperlink" Target="https://drive.google.com/file/d/14KMOiKavF9JcPIDDdA3UeA15onstNwCl/view?usp=sharing" TargetMode="External"/><Relationship Id="rId15" Type="http://schemas.openxmlformats.org/officeDocument/2006/relationships/hyperlink" Target="https://drive.google.com/file/d/1YlslUg7aj-H2wOLG3zl9jUkTRCd2q1AD/view?usp=sharing" TargetMode="External"/><Relationship Id="rId14" Type="http://schemas.openxmlformats.org/officeDocument/2006/relationships/hyperlink" Target="https://drive.google.com/file/d/1njoz0bdOYcNvvR7RNfyZCo0iF-Hfl_Eq/view?usp=sharing" TargetMode="External"/><Relationship Id="rId17" Type="http://schemas.openxmlformats.org/officeDocument/2006/relationships/hyperlink" Target="https://drive.google.com/file/d/1EfMogf7TveSflJKkxLPEFsXKl5VWbT_X/view?usp=drive_link" TargetMode="External"/><Relationship Id="rId16" Type="http://schemas.openxmlformats.org/officeDocument/2006/relationships/hyperlink" Target="https://drive.google.com/file/d/1j8SM45JvrPZx_u9B8_5Phiui93ExFfVp/view?usp=sharing" TargetMode="External"/><Relationship Id="rId19" Type="http://schemas.openxmlformats.org/officeDocument/2006/relationships/hyperlink" Target="https://drive.google.com/file/d/10bCss5M33rcQELY32CEkQtnUqSsMzaH2/view?usp=sharing" TargetMode="External"/><Relationship Id="rId18" Type="http://schemas.openxmlformats.org/officeDocument/2006/relationships/hyperlink" Target="https://drive.google.com/file/d/10_ZR-YRD6jGYn83CVThbFQvEAgqG62Ds/view?usp=sharing"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rive.google.com/file/d/15lB4l5mHevcnLeXuFL2HhMsSZropJ9l2/view?usp=sharing" TargetMode="External"/><Relationship Id="rId9" Type="http://schemas.openxmlformats.org/officeDocument/2006/relationships/hyperlink" Target="https://drive.google.com/file/d/1yfOV6B09g6cvKFoqnUyR9dznlQ1zdnTk/view?usp=sharing" TargetMode="External"/><Relationship Id="rId5" Type="http://schemas.openxmlformats.org/officeDocument/2006/relationships/hyperlink" Target="https://drive.google.com/file/d/17fFLrT9uha9SBrIzZ5iHmCSxk8MaQxbx/view?usp=drive_link" TargetMode="External"/><Relationship Id="rId6" Type="http://schemas.openxmlformats.org/officeDocument/2006/relationships/hyperlink" Target="https://drive.google.com/file/d/1JQymfwsAQ7YeZcovPr4FDCtsBZdHQKiy/view?usp=drive_link" TargetMode="External"/><Relationship Id="rId7" Type="http://schemas.openxmlformats.org/officeDocument/2006/relationships/hyperlink" Target="https://drive.google.com/file/d/1FU4b5oEuXGZbwGa15hQ9XmPDl6pjso9Z/view?usp=sharing" TargetMode="External"/><Relationship Id="rId8" Type="http://schemas.openxmlformats.org/officeDocument/2006/relationships/hyperlink" Target="https://drive.google.com/file/d/1m86sCGOXzrVTGklH-_y2717zYtkIUxRk/view?usp=sharing"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9.xml"/><Relationship Id="rId5"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1" Type="http://schemas.openxmlformats.org/officeDocument/2006/relationships/vmlDrawing" Target="../drawings/vmlDrawing7.vml"/><Relationship Id="rId30" Type="http://schemas.openxmlformats.org/officeDocument/2006/relationships/drawing" Target="../drawings/drawing12.xml"/><Relationship Id="rId20" Type="http://schemas.openxmlformats.org/officeDocument/2006/relationships/hyperlink" Target="https://www.sccassessor.org/index.php/all-situs-search?SFrom=all&amp;SType=all&amp;STab=address&amp;addValue=2130%20Southwest%20Expressway&amp;guid=3901f7e4-ad19-4bf2-9ca2-03134f319849" TargetMode="External"/><Relationship Id="rId22" Type="http://schemas.openxmlformats.org/officeDocument/2006/relationships/hyperlink" Target="https://latapi.estreamone.com/repos/LAT2-Main/docs/5725487.53114?token=eyJhbGciOiJBMTI4S1ciLCJlbmMiOiJBMTI4Q0JDLUhTMjU2IiwidHlwIjoiSldUIn0.-fePAe_XvhssDHywaqomrCZ_ZWzgEMzT_xI90-jWSwCdG3wr6LXLpw.34-VbasUsosiV7W5JorIXg.5uLIjKbZ7-E3YWOyWJz47FcvfQLqQTKhnQYmZIob8U9rp3AjJlEgHLGSCyhXpCRF1befY0-RCYURCpnD7qD0KeGep6hho01bBRLEB-ki9qurJFw6wmo2jJrR98HWX8HGZ3YCUyjK50mYvg9qiw5vErldbaGGKrJ7PXblw0pCggdA1mCFMstzyOU1mwB6js_nfe2TvrvLvKbSP3Tp_YkEWpQC9eIIq64M66Y_8BYr2AioeDiWhjx8uXPk0e0Erjk-bj0Mmmr3kuOeX4qxWyxBUELW1whFE4XTEXPcpYYCrkwJ9Rnu-NIYdK0IvBXCh9p7TouO24Z2UFXXx8Qtl3FXoykPHi5kqCIsT1QzD2arBkocv6QMP8tKCIdCxY3oxRXB9oxhZ5-7lPxV24dQCFUbcgShHperPioyDKcfLzvFDIePK-GVaBOTyMr6hFrWIuxx.BWhEqV6148s85GoQxRzBnw" TargetMode="External"/><Relationship Id="rId21" Type="http://schemas.openxmlformats.org/officeDocument/2006/relationships/hyperlink" Target="https://latapi.estreamone.com/repos/LAT2-Main/docs/5725148.168715?token=eyJhbGciOiJBMTI4S1ciLCJlbmMiOiJBMTI4Q0JDLUhTMjU2IiwidHlwIjoiSldUIn0.S2IId5IsWpJUdsryU0bYCmZLjrrWUAOS_EV5hYvHIP0uX7ydLXpGiA.jrQe3qzsCfOtm9ndOBeRTg.8KHBpQSlz73jhFhXWNXNi-cbIMEe1ouqTCK9nJUaSEv5BBTu1TPXewM4HMZVjrGTsZGVXpCyH9G5DfsKIghkopU1VYxhGsCUAHu1GBm0Gl4PHq19YkOY48aotHZRxJTL2HX-02LF0ByCCk5Bv3hk6ysHH8HDc0FZPhfLv7SYLdfONeFdU0Zbul7NxO8MeEFLvJJF4dS4eFrVFEW7-li_3Zq2gKbep7VWRrlDJNhARmm_o-flYLgAEL4zZQaMqAWs9v476nFd9fjat6Vey3sVFaBnzdEvXzqWE80MIJChiSbQ98XLmrpnHEgEpffZHXYE64ayhgMrT0kV9mbTqfX03gJAHCzOYYL-78Q_CQCBcBYRLpmK9Mb3psDhYXA50e1pZ_UchadN_aZIogAZOh9SNMbZRcTH1q0m9uzMCFuXH8A2VWdUJP9AwWquOOGF9OTQ.7CwC2lEttRPgP33mdjK0Sg" TargetMode="External"/><Relationship Id="rId24" Type="http://schemas.openxmlformats.org/officeDocument/2006/relationships/hyperlink" Target="https://latapi.estreamone.com/repos/LAT2-Main/docs/5724991.182024?token=eyJhbGciOiJBMTI4S1ciLCJlbmMiOiJBMTI4Q0JDLUhTMjU2IiwidHlwIjoiSldUIn0.I47yJk5zxB2W_vd8zr86VWdzYhP1U3Gh98p_GGywUarZovtiOhOd_Q.dIVICaGtXkOsCamrqfo67A.7bQ2S6-TdYPb3IUcqSKY2DgmURA2c1KYljiLq7uSecWQk3IyZqD8ln8l0WP9i1BMC_GsNzPw6yT48enaEqUqaSKRX15J8KpVEam6oB1Zj-pZkeTGk_SCHmXqqTj1UVun_AV7Np608-mMxq-2oTQ9WnOFsZPHY7RUiZTXeik6YF6yZZTlnOmAfSpBugdRSnwmq9KJD2Itdn5PvXzxDyKSzK4FJ079LGsYO2n6Yvb1KZShVyYerhqG7geoDex0JYHxREBecIXGt6MM1YZvBuF0YlS7fAOXABr4o612v0swQ8efMEu7PVHfiVYrTGiOChJrzMiQ4yNYyTjIf9jlf88Z00MSzRW6eiFPhCsuUEK7BqyhI4FQXFBnGpuo0bW8J3bo2XfO4zqsaLfUwwM9yJ4ZUUqEE459CcX-xZM5C7FA-ZW3xNIuPvbxxm1tg4Yq6usx.yoy3uAvUMHlDg9gpjAH0Bw" TargetMode="External"/><Relationship Id="rId23" Type="http://schemas.openxmlformats.org/officeDocument/2006/relationships/hyperlink" Target="https://latapi.estreamone.com/repos/LAT2-Main/docs/5724991.182017?token=eyJhbGciOiJBMTI4S1ciLCJlbmMiOiJBMTI4Q0JDLUhTMjU2IiwidHlwIjoiSldUIn0.ti8gjPWyXBWeUkbfRlbfBJhRRw9NdNDbkEV7a49Sc8QHvmhsdMjGmg.ZCxQ1U_aID2m9suuZ-gqbg.R_x36BqVC2aavAXgdBNh3rQKM_FMSPNdNoljEE1XZt96Hm34kK7gtKOQqWxtO89R6KwkiD9odTrhyYOb3f_5Ikgbhc5S3QQbwbRVZFdZUZvCqyHqLGzo6TvdK7zkSLLo095OSigooQsIoIzgB6VFtLcHsZQjfTWFWP7JNnm51K-7CGvcqM3wzZz8tTHjjkPFngSzVVvZkcXfekbNZQhVI2-jGQJwR6TurD4IqKH-PasqUoLvFMQ1W-KiIZrt1e3BxP9H26V7CBmbwM-z8UC5eAwJLXV77O_BFuzWaAkA43lf0OLuaC9fA1dQ0xT7nxwXoWWxz_lzw4ytzoMrqZ9fjNOQrrI3aGxdkvZ9YxhW8skvh_VwR6Yg0VMlSUANnDRh9TTajG4fEA6FdhVyHd8eI7knlY_LvoH2-fiR2Qw4MjxoV6z00b88gSDFOHKQgoKI.NHNqM63JzkoNDwtG8LEXiA" TargetMode="External"/><Relationship Id="rId26" Type="http://schemas.openxmlformats.org/officeDocument/2006/relationships/hyperlink" Target="https://latapi.estreamone.com/repos/LAT2-Main/docs/5184989.174074?token=eyJhbGciOiJBMTI4S1ciLCJlbmMiOiJBMTI4Q0JDLUhTMjU2IiwidHlwIjoiSldUIn0.SizjJIHC1hwbXSSb-xdQxEBidTxBSz0QB_Owod8GqqdS-19E0W9W4w.sZ90rYAGXpPRiRjY105dGA.uidfqlPopgae2wUSe-TFZA7WG77yyaNpv5jCWoU_-HL3iLzWc4eGx6SdYxJ464kRwyP_sUiMWq4ijdisUMFcINhlU4yQki55w-Bxu1Fsnq5DJrX3O-nMd4ZjuMWNQoWHnxoFmbVa1IHr74sudwXKgrAVeY0r3LBIcycG0KV9F4cFyLYy57CE9dVS-gM5l3r9ox_R5sNXM3FBrpDAHaUqJJufds9_N3vvrPyCbysrJ6-Kbf_5OojxH495_sBo5B9jOXmiM1r3Ox5IihXcjYnPe-QVGGRRqxB2BSQR1wpMF5XjuYAjI9lbwa7p5gpkE9D6bn_2NvoL_MmFP7BB0OMwR6u-JqZxDYf-l3llF09tERwG9A1i_KfoUZYtUNqtB3uxbvSxgWK2zZr35YjY79rvEy8H4-lr9F75q5nvhqDSOWIpMMFmMT0Gd6N1M-T17RoA.-eP4FFstl2DV156rJhnwAg" TargetMode="External"/><Relationship Id="rId25" Type="http://schemas.openxmlformats.org/officeDocument/2006/relationships/hyperlink" Target="https://latapi.estreamone.com/repos/LAT2-Main/docs/5724991.182033?token=eyJhbGciOiJBMTI4S1ciLCJlbmMiOiJBMTI4Q0JDLUhTMjU2IiwidHlwIjoiSldUIn0.hmfQ1pnLPazMP1Ftu7jadi_GbEMxBH_ORMshh23cl7Yf2euYz3QbZA.kgeQw0fzn55FVC-mUTn4Fw.E0v4YliWGtbpz3V0U_Y-gvDO59aRSyKuO1LaRQogiGhrHscN8wcflgKdpKDTG-yq5qkf9gM9RAh-r_sl-NDE3iZmUTyDRuHsIEMSGl9SXK2w4SlzI89YlO7sBmLKGiUlQPT1goSNGgAb2xqTo9NoONmd30Wer66MvnBF9lsY_yoKmw-Okiwt87wRXLY4RJ_05qNHzP-vRiKe9--i4BIMg4HF4GJBxuCq3scvMvCOQjaruW3jkyJ2yzGSh8KmZWZQiurL22YaB8YJpld7GrDMDGcFf83aOqTsM0zkhdOpj55Q8ytuasr3ELIrgXTLWCQHeGMObVR2StAIJBDkj45MVWMEIFPL4WJP4xhYuesPLkROCd5xnz_GaIF7uxKIYdXsgWU4zUgg4oxAIT8_1ry1RHuqMhAZ5lm2jqzH4KvTtWeXeRjQRaSkcFwdduQlPKuq.hUL0elcN0Zdas0xKoewMtQ" TargetMode="External"/><Relationship Id="rId28" Type="http://schemas.openxmlformats.org/officeDocument/2006/relationships/hyperlink" Target="https://rebusinessonline.com/sack-properties-belveron-partners-buy-164-unit-multifamily-property-in-san-jose-california/" TargetMode="External"/><Relationship Id="rId27" Type="http://schemas.openxmlformats.org/officeDocument/2006/relationships/hyperlink" Target="https://latapi.estreamone.com/repos/LAT2-Main/docs/5725325.65983?token=eyJhbGciOiJBMTI4S1ciLCJlbmMiOiJBMTI4Q0JDLUhTMjU2IiwidHlwIjoiSldUIn0.Ja7VMKCpswovv6yePmAVHo0LkqpLCIKCiQ09SMuH6001iQJATBvfAg.u-vQXs5ZeewsFT76nhK7pw.WQtVIcISWsJH83UUl9HjKnqSx2Fvx8tamjr_ofuLoNjy2av_MhBlhHVOPnfSbrvyXKLEZ4Z-LnnXKb7a4OgPUDZAfpKVuD9yABNVzPrsVHdtkqONY8f8gC-I6FaGNZTGS_trmbkjR3dMkZqdGXYEap7u4IkaLLSQSFhSaCmtX4uyMRAYE1iuAk9_UoFT_fDi_qwSCX2kGSuFLPrIv8EhCVe9NANU1G6nGMh4IOdCNlChQSTePwZalqwwxAm0feLLie2gjPdK4FXjHEdeZEO0QpIijJ3y9cPaYEvOodFo2r5R1j2j4O5gn8ow65LZEpwOB782NvkmKzJfxKInIx7mHSKLsG5RaUIswEUjrTRafB8LdimmNJ3NsQ37hJp6HbfU6CWMoYUbD0KxRerl6UVXx-X3g_6Z9CabjUVPIYOKEPBi0umLI92qDomt0PHcP0_E.DDJjlGYe2b4ArVeC50Zwog" TargetMode="External"/><Relationship Id="rId29" Type="http://schemas.openxmlformats.org/officeDocument/2006/relationships/hyperlink" Target="https://www.sccassessor.org/index.php/apn-redirect?ApnValue=29640005" TargetMode="External"/><Relationship Id="rId11" Type="http://schemas.openxmlformats.org/officeDocument/2006/relationships/hyperlink" Target="https://taxcolp.cccttc.us/PTS_TaxbillsPdfCY?APN=405490007" TargetMode="External"/><Relationship Id="rId10" Type="http://schemas.openxmlformats.org/officeDocument/2006/relationships/hyperlink" Target="https://www.cmfa-ca.com/wp-content/uploads/2025/01/CMFA-Staff-Reports-01-10-25.pdf" TargetMode="External"/><Relationship Id="rId13" Type="http://schemas.openxmlformats.org/officeDocument/2006/relationships/hyperlink" Target="https://latapi.estreamone.com/repos/LAT2-Main/docs/5725328.107531?token=eyJhbGciOiJBMTI4S1ciLCJlbmMiOiJBMTI4Q0JDLUhTMjU2IiwidHlwIjoiSldUIn0.WEN2nhiJUOEhEVOL9Fa4X7GaGwu1_0viKcxQZ38llzleC0T_nFqvTg.qb2kgfc3pjHbmBPhjTo8IA.l7Su58XyWdmsDok1Tw6EIIA6ePeHQaagHIuWoE8Y7PgCmW0og8gKPjhIzyxx_SgG8xBqNqePE1cZxiZIxN-ZCjTdaqyjKV7rm9KEZd8muz2ahsHblZFVUOlESLc5oRuX15d3k2M-05u27riGrDiA0SLB8e_Wwvd2Hf0DRMlb8VAV7ZF9sTkEziWzcdnbODoLoO6ih0v0FOWOYc4EVj-kYT3HxI3SsxBasMRWFcb87j1cwduG04_bZaKsi_XScnc_0kTomOptUpKJ6gybNlr4Ey9ayRfI6l92Ka2yohyx0GmL4RbyHdeQBiw4gsExdhAzf9pfno8vtgzQC9P_DU0Izv-yJF_MasPynigaVhOm0ZDXsQucPC53nB1EnSQ44fd6c_TkUWhWBPJwAumzZvmfFiOKPB6apRMQstJg3XbrkBJwN7h99KtyKliltv0KfElS.sdIUOyvEQGZY8UAFIHOCXg" TargetMode="External"/><Relationship Id="rId12" Type="http://schemas.openxmlformats.org/officeDocument/2006/relationships/hyperlink" Target="https://www.camdenvillageapts.com/" TargetMode="External"/><Relationship Id="rId15" Type="http://schemas.openxmlformats.org/officeDocument/2006/relationships/hyperlink" Target="https://latapi.estreamone.com/repos/LAT2-Main/docs/5724991.39841?token=eyJhbGciOiJBMTI4S1ciLCJlbmMiOiJBMTI4Q0JDLUhTMjU2IiwidHlwIjoiSldUIn0.NJuuwi2pZKwhay07oZi467iWJSI6qQqlIKU4mb8fb4EGrAzRojMtew.8I3ZUEJiaToU8wNvy9BPRQ.vimhwH1B4Lu63MGN7vNrVIx_kZKUx4wBqHINK3AUTS58DV5XUhusqDeQ_JABW9QsP9UqH5k1GiqFwC2Qr8liKRwu__U3HCThq2U0TTWDUoZybW6TaVyJOOihySQLGwnS7SIIPjsYBtm8OaJwQoFAq2PBdbJQpHfmbyYkTvV0kZs4TXs-ECfl_idMrr3AJ7alBm86c60JVNSYs_cZI1zfQDYySlJf1jHtDTfnRPn90qox38_mr5_B3Ij2uYsavvtRXDlRmCxFT4EGYBRBJo4z4riPGlLnCbtL3IWhYUu7iwOrzQvMlnr_gQ4Swv6P0gzV72REyP327qjoqAOZKLtuCtdPFOxT5c2nqMr3Nxa8RQfJChzITPTGjB2HfiX1g6H3wTpkYZtey05iz5aIGs0u7m5DkbGl63cg_GGE29CxSHFV5WTKY-WDr21hB7ukIyzZ.KJP_C9wHU2VVxy0Tpxl-4w" TargetMode="External"/><Relationship Id="rId14" Type="http://schemas.openxmlformats.org/officeDocument/2006/relationships/hyperlink" Target="https://latapi.estreamone.com/repos/LAT2-Main/docs/5725328.120414?token=eyJhbGciOiJBMTI4S1ciLCJlbmMiOiJBMTI4Q0JDLUhTMjU2IiwidHlwIjoiSldUIn0.YCr-CnwAzLJyPDPIxXdrUlhB0-sa6Y-llwHZn4wbsUurH1qABsFrHQ.Uv7E8rg3Fk8Eel3vycg4nQ.jhA2DFAjjSfG1cSWldzAcLlEP-ulexxjgWE5LYknrEeBvX5fpwjbA6xTlQ2IaSkf-GH-hrIaph9iOIiGQcY_Eiy0y38zavbdVjeVTX2AGofiQxWaIUcwx4JLbKL-6RYY3JlbHqGEQnw5zQCOs6c-FsMTArKY8nH30LG4waRosUqrbLtYfgBHbSPORfti-FmtrmEnYqCtpNqtxmhmZ5YCOtyQND1DPtXYlUxPz8zCViyL2bVDyjhC9yXObZyktyedV2i6LZ0OLasvQN-dX7fIt1k03EOn3psabz1RZ0jp7HwqX9z3nIuyQ-GC9cWARSSGdiM7VeafjUB2uspGTLAajIZnrrctXXkR_pWHAoafsYGSGSDrShK8l4YEhzMhWhieve0IbaIg2YYjHcQPGiL29SqDfAtzquJWfI1TauOeHiZChjG1mWUWh9Ma2N1My0b1.byLL61PqeIMcsJQItSxkXg" TargetMode="External"/><Relationship Id="rId17" Type="http://schemas.openxmlformats.org/officeDocument/2006/relationships/hyperlink" Target="https://propertytax.alamedacountyca.gov/view-bill?taxType=SEC&amp;tracer=14246000&amp;rollYear=2025" TargetMode="External"/><Relationship Id="rId16" Type="http://schemas.openxmlformats.org/officeDocument/2006/relationships/hyperlink" Target="https://bridgehousing.com/properties/viewpoint/" TargetMode="External"/><Relationship Id="rId19" Type="http://schemas.openxmlformats.org/officeDocument/2006/relationships/hyperlink" Target="https://www.losgatoslandingapts.com/" TargetMode="External"/><Relationship Id="rId18" Type="http://schemas.openxmlformats.org/officeDocument/2006/relationships/hyperlink" Target="https://www.ethos-re.com/news/sofi-at-los-gatos-creek-adam-siegman-comments-on-affordable-housing" TargetMode="External"/><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www.theheltsley.com/" TargetMode="External"/><Relationship Id="rId9" Type="http://schemas.openxmlformats.org/officeDocument/2006/relationships/hyperlink" Target="https://www.townhomesongadingapts.com/" TargetMode="External"/><Relationship Id="rId5" Type="http://schemas.openxmlformats.org/officeDocument/2006/relationships/hyperlink" Target="https://county-taxes.net/ca-sanmateo/services/property-tax/c2FubWF0ZW8tY2E6Z3NneF9wcm9wZXJ0eV90YXg6cGFyZW50czoxM2E3OTkwMy1kNzE2LTExZWMtOTZjMy0wMDUwNTZhNDQzNDc=" TargetMode="External"/><Relationship Id="rId6" Type="http://schemas.openxmlformats.org/officeDocument/2006/relationships/hyperlink" Target="https://www.1422on6th.com/" TargetMode="External"/><Relationship Id="rId7" Type="http://schemas.openxmlformats.org/officeDocument/2006/relationships/hyperlink" Target="https://www.electriclofts.com/" TargetMode="External"/><Relationship Id="rId8" Type="http://schemas.openxmlformats.org/officeDocument/2006/relationships/hyperlink" Target="https://propinfo.acgov.org/?PRINT_PARCEL=8-672-8-1" TargetMode="External"/></Relationships>
</file>

<file path=xl/worksheets/_rels/sheet13.xml.rels><?xml version="1.0" encoding="UTF-8" standalone="yes"?><Relationships xmlns="http://schemas.openxmlformats.org/package/2006/relationships"><Relationship Id="rId31" Type="http://schemas.openxmlformats.org/officeDocument/2006/relationships/drawing" Target="../drawings/drawing13.xml"/><Relationship Id="rId30" Type="http://schemas.openxmlformats.org/officeDocument/2006/relationships/hyperlink" Target="https://sbcassessor.com/Assessor/details.aspx?apn=123140021" TargetMode="External"/><Relationship Id="rId32" Type="http://schemas.openxmlformats.org/officeDocument/2006/relationships/vmlDrawing" Target="../drawings/vmlDrawing8.vml"/><Relationship Id="rId20" Type="http://schemas.openxmlformats.org/officeDocument/2006/relationships/hyperlink" Target="https://latapi.estreamone.com/repos/LAT2-Main/docs/5724991.182033?token=eyJhbGciOiJBMTI4S1ciLCJlbmMiOiJBMTI4Q0JDLUhTMjU2IiwidHlwIjoiSldUIn0.hmfQ1pnLPazMP1Ftu7jadi_GbEMxBH_ORMshh23cl7Yf2euYz3QbZA.kgeQw0fzn55FVC-mUTn4Fw.E0v4YliWGtbpz3V0U_Y-gvDO59aRSyKuO1LaRQogiGhrHscN8wcflgKdpKDTG-yq5qkf9gM9RAh-r_sl-NDE3iZmUTyDRuHsIEMSGl9SXK2w4SlzI89YlO7sBmLKGiUlQPT1goSNGgAb2xqTo9NoONmd30Wer66MvnBF9lsY_yoKmw-Okiwt87wRXLY4RJ_05qNHzP-vRiKe9--i4BIMg4HF4GJBxuCq3scvMvCOQjaruW3jkyJ2yzGSh8KmZWZQiurL22YaB8YJpld7GrDMDGcFf83aOqTsM0zkhdOpj55Q8ytuasr3ELIrgXTLWCQHeGMObVR2StAIJBDkj45MVWMEIFPL4WJP4xhYuesPLkROCd5xnz_GaIF7uxKIYdXsgWU4zUgg4oxAIT8_1ry1RHuqMhAZ5lm2jqzH4KvTtWeXeRjQRaSkcFwdduQlPKuq.hUL0elcN0Zdas0xKoewMtQ" TargetMode="External"/><Relationship Id="rId22" Type="http://schemas.openxmlformats.org/officeDocument/2006/relationships/hyperlink" Target="https://latapi.estreamone.com/repos/LAT2-Main/docs/5725325.65983?token=eyJhbGciOiJBMTI4S1ciLCJlbmMiOiJBMTI4Q0JDLUhTMjU2IiwidHlwIjoiSldUIn0.Ja7VMKCpswovv6yePmAVHo0LkqpLCIKCiQ09SMuH6001iQJATBvfAg.u-vQXs5ZeewsFT76nhK7pw.WQtVIcISWsJH83UUl9HjKnqSx2Fvx8tamjr_ofuLoNjy2av_MhBlhHVOPnfSbrvyXKLEZ4Z-LnnXKb7a4OgPUDZAfpKVuD9yABNVzPrsVHdtkqONY8f8gC-I6FaGNZTGS_trmbkjR3dMkZqdGXYEap7u4IkaLLSQSFhSaCmtX4uyMRAYE1iuAk9_UoFT_fDi_qwSCX2kGSuFLPrIv8EhCVe9NANU1G6nGMh4IOdCNlChQSTePwZalqwwxAm0feLLie2gjPdK4FXjHEdeZEO0QpIijJ3y9cPaYEvOodFo2r5R1j2j4O5gn8ow65LZEpwOB782NvkmKzJfxKInIx7mHSKLsG5RaUIswEUjrTRafB8LdimmNJ3NsQ37hJp6HbfU6CWMoYUbD0KxRerl6UVXx-X3g_6Z9CabjUVPIYOKEPBi0umLI92qDomt0PHcP0_E.DDJjlGYe2b4ArVeC50Zwog" TargetMode="External"/><Relationship Id="rId21" Type="http://schemas.openxmlformats.org/officeDocument/2006/relationships/hyperlink" Target="https://latapi.estreamone.com/repos/LAT2-Main/docs/5184989.174074?token=eyJhbGciOiJBMTI4S1ciLCJlbmMiOiJBMTI4Q0JDLUhTMjU2IiwidHlwIjoiSldUIn0.SizjJIHC1hwbXSSb-xdQxEBidTxBSz0QB_Owod8GqqdS-19E0W9W4w.sZ90rYAGXpPRiRjY105dGA.uidfqlPopgae2wUSe-TFZA7WG77yyaNpv5jCWoU_-HL3iLzWc4eGx6SdYxJ464kRwyP_sUiMWq4ijdisUMFcINhlU4yQki55w-Bxu1Fsnq5DJrX3O-nMd4ZjuMWNQoWHnxoFmbVa1IHr74sudwXKgrAVeY0r3LBIcycG0KV9F4cFyLYy57CE9dVS-gM5l3r9ox_R5sNXM3FBrpDAHaUqJJufds9_N3vvrPyCbysrJ6-Kbf_5OojxH495_sBo5B9jOXmiM1r3Ox5IihXcjYnPe-QVGGRRqxB2BSQR1wpMF5XjuYAjI9lbwa7p5gpkE9D6bn_2NvoL_MmFP7BB0OMwR6u-JqZxDYf-l3llF09tERwG9A1i_KfoUZYtUNqtB3uxbvSxgWK2zZr35YjY79rvEy8H4-lr9F75q5nvhqDSOWIpMMFmMT0Gd6N1M-T17RoA.-eP4FFstl2DV156rJhnwAg" TargetMode="External"/><Relationship Id="rId24" Type="http://schemas.openxmlformats.org/officeDocument/2006/relationships/hyperlink" Target="https://www.sccassessor.org/index.php/apn-redirect?ApnValue=29640003" TargetMode="External"/><Relationship Id="rId23" Type="http://schemas.openxmlformats.org/officeDocument/2006/relationships/hyperlink" Target="https://www.sccassessor.org/index.php/apn-redirect?ApnValue=37226016" TargetMode="External"/><Relationship Id="rId26" Type="http://schemas.openxmlformats.org/officeDocument/2006/relationships/hyperlink" Target="https://sonant.fresnocountyca.gov/paymentapplication/SecuredDetails.aspx?id=152101&amp;PropertyType=1&amp;hmat=492A97A9520CD762FC9ECCD02546E6D6" TargetMode="External"/><Relationship Id="rId25" Type="http://schemas.openxmlformats.org/officeDocument/2006/relationships/hyperlink" Target="https://www.sccassessor.org/index.php/apn-redirect?ApnValue=68428078" TargetMode="External"/><Relationship Id="rId28" Type="http://schemas.openxmlformats.org/officeDocument/2006/relationships/hyperlink" Target="https://sbcassessor.com/Assessor/details.aspx?apn=123140019" TargetMode="External"/><Relationship Id="rId27" Type="http://schemas.openxmlformats.org/officeDocument/2006/relationships/hyperlink" Target="https://sbcassessor.com/Assessor/details.aspx?apn=123140018" TargetMode="External"/><Relationship Id="rId29" Type="http://schemas.openxmlformats.org/officeDocument/2006/relationships/hyperlink" Target="https://sbcassessor.com/Assessor/details.aspx?apn=123140020" TargetMode="External"/><Relationship Id="rId11" Type="http://schemas.openxmlformats.org/officeDocument/2006/relationships/hyperlink" Target="https://ca-solano.publicaccessnow.com/Assessor/PropertySearch/Detail.aspx?p=0128101080" TargetMode="External"/><Relationship Id="rId10" Type="http://schemas.openxmlformats.org/officeDocument/2006/relationships/hyperlink" Target="https://ca-solano.publicaccessnow.com/Assessor/PropertySearch/Detail.aspx?p=0128101120" TargetMode="External"/><Relationship Id="rId13" Type="http://schemas.openxmlformats.org/officeDocument/2006/relationships/hyperlink" Target="https://latapi.estreamone.com/repos/LAT2-Main/docs/5725328.107531?token=eyJhbGciOiJBMTI4S1ciLCJlbmMiOiJBMTI4Q0JDLUhTMjU2IiwidHlwIjoiSldUIn0.WEN2nhiJUOEhEVOL9Fa4X7GaGwu1_0viKcxQZ38llzleC0T_nFqvTg.qb2kgfc3pjHbmBPhjTo8IA.l7Su58XyWdmsDok1Tw6EIIA6ePeHQaagHIuWoE8Y7PgCmW0og8gKPjhIzyxx_SgG8xBqNqePE1cZxiZIxN-ZCjTdaqyjKV7rm9KEZd8muz2ahsHblZFVUOlESLc5oRuX15d3k2M-05u27riGrDiA0SLB8e_Wwvd2Hf0DRMlb8VAV7ZF9sTkEziWzcdnbODoLoO6ih0v0FOWOYc4EVj-kYT3HxI3SsxBasMRWFcb87j1cwduG04_bZaKsi_XScnc_0kTomOptUpKJ6gybNlr4Ey9ayRfI6l92Ka2yohyx0GmL4RbyHdeQBiw4gsExdhAzf9pfno8vtgzQC9P_DU0Izv-yJF_MasPynigaVhOm0ZDXsQucPC53nB1EnSQ44fd6c_TkUWhWBPJwAumzZvmfFiOKPB6apRMQstJg3XbrkBJwN7h99KtyKliltv0KfElS.sdIUOyvEQGZY8UAFIHOCXg" TargetMode="External"/><Relationship Id="rId12" Type="http://schemas.openxmlformats.org/officeDocument/2006/relationships/hyperlink" Target="https://ca-solano.publicaccessnow.com/Assessor/PropertySearch/Detail.aspx?p=0128101030" TargetMode="External"/><Relationship Id="rId15" Type="http://schemas.openxmlformats.org/officeDocument/2006/relationships/hyperlink" Target="https://latapi.estreamone.com/repos/LAT2-Main/docs/5724991.39841?token=eyJhbGciOiJBMTI4S1ciLCJlbmMiOiJBMTI4Q0JDLUhTMjU2IiwidHlwIjoiSldUIn0.NJuuwi2pZKwhay07oZi467iWJSI6qQqlIKU4mb8fb4EGrAzRojMtew.8I3ZUEJiaToU8wNvy9BPRQ.vimhwH1B4Lu63MGN7vNrVIx_kZKUx4wBqHINK3AUTS58DV5XUhusqDeQ_JABW9QsP9UqH5k1GiqFwC2Qr8liKRwu__U3HCThq2U0TTWDUoZybW6TaVyJOOihySQLGwnS7SIIPjsYBtm8OaJwQoFAq2PBdbJQpHfmbyYkTvV0kZs4TXs-ECfl_idMrr3AJ7alBm86c60JVNSYs_cZI1zfQDYySlJf1jHtDTfnRPn90qox38_mr5_B3Ij2uYsavvtRXDlRmCxFT4EGYBRBJo4z4riPGlLnCbtL3IWhYUu7iwOrzQvMlnr_gQ4Swv6P0gzV72REyP327qjoqAOZKLtuCtdPFOxT5c2nqMr3Nxa8RQfJChzITPTGjB2HfiX1g6H3wTpkYZtey05iz5aIGs0u7m5DkbGl63cg_GGE29CxSHFV5WTKY-WDr21hB7ukIyzZ.KJP_C9wHU2VVxy0Tpxl-4w" TargetMode="External"/><Relationship Id="rId14" Type="http://schemas.openxmlformats.org/officeDocument/2006/relationships/hyperlink" Target="https://latapi.estreamone.com/repos/LAT2-Main/docs/5725328.120414?token=eyJhbGciOiJBMTI4S1ciLCJlbmMiOiJBMTI4Q0JDLUhTMjU2IiwidHlwIjoiSldUIn0.YCr-CnwAzLJyPDPIxXdrUlhB0-sa6Y-llwHZn4wbsUurH1qABsFrHQ.Uv7E8rg3Fk8Eel3vycg4nQ.jhA2DFAjjSfG1cSWldzAcLlEP-ulexxjgWE5LYknrEeBvX5fpwjbA6xTlQ2IaSkf-GH-hrIaph9iOIiGQcY_Eiy0y38zavbdVjeVTX2AGofiQxWaIUcwx4JLbKL-6RYY3JlbHqGEQnw5zQCOs6c-FsMTArKY8nH30LG4waRosUqrbLtYfgBHbSPORfti-FmtrmEnYqCtpNqtxmhmZ5YCOtyQND1DPtXYlUxPz8zCViyL2bVDyjhC9yXObZyktyedV2i6LZ0OLasvQN-dX7fIt1k03EOn3psabz1RZ0jp7HwqX9z3nIuyQ-GC9cWARSSGdiM7VeafjUB2uspGTLAajIZnrrctXXkR_pWHAoafsYGSGSDrShK8l4YEhzMhWhieve0IbaIg2YYjHcQPGiL29SqDfAtzquJWfI1TauOeHiZChjG1mWUWh9Ma2N1My0b1.byLL61PqeIMcsJQItSxkXg" TargetMode="External"/><Relationship Id="rId17" Type="http://schemas.openxmlformats.org/officeDocument/2006/relationships/hyperlink" Target="https://latapi.estreamone.com/repos/LAT2-Main/docs/5725487.53114?token=eyJhbGciOiJBMTI4S1ciLCJlbmMiOiJBMTI4Q0JDLUhTMjU2IiwidHlwIjoiSldUIn0.-fePAe_XvhssDHywaqomrCZ_ZWzgEMzT_xI90-jWSwCdG3wr6LXLpw.34-VbasUsosiV7W5JorIXg.5uLIjKbZ7-E3YWOyWJz47FcvfQLqQTKhnQYmZIob8U9rp3AjJlEgHLGSCyhXpCRF1befY0-RCYURCpnD7qD0KeGep6hho01bBRLEB-ki9qurJFw6wmo2jJrR98HWX8HGZ3YCUyjK50mYvg9qiw5vErldbaGGKrJ7PXblw0pCggdA1mCFMstzyOU1mwB6js_nfe2TvrvLvKbSP3Tp_YkEWpQC9eIIq64M66Y_8BYr2AioeDiWhjx8uXPk0e0Erjk-bj0Mmmr3kuOeX4qxWyxBUELW1whFE4XTEXPcpYYCrkwJ9Rnu-NIYdK0IvBXCh9p7TouO24Z2UFXXx8Qtl3FXoykPHi5kqCIsT1QzD2arBkocv6QMP8tKCIdCxY3oxRXB9oxhZ5-7lPxV24dQCFUbcgShHperPioyDKcfLzvFDIePK-GVaBOTyMr6hFrWIuxx.BWhEqV6148s85GoQxRzBnw" TargetMode="External"/><Relationship Id="rId16" Type="http://schemas.openxmlformats.org/officeDocument/2006/relationships/hyperlink" Target="https://oct.estreamone.com/Show.aspx?parcel=26324146&amp;year=2025" TargetMode="External"/><Relationship Id="rId19" Type="http://schemas.openxmlformats.org/officeDocument/2006/relationships/hyperlink" Target="https://latapi.estreamone.com/repos/LAT2-Main/docs/5724991.182024?token=eyJhbGciOiJBMTI4S1ciLCJlbmMiOiJBMTI4Q0JDLUhTMjU2IiwidHlwIjoiSldUIn0.I47yJk5zxB2W_vd8zr86VWdzYhP1U3Gh98p_GGywUarZovtiOhOd_Q.dIVICaGtXkOsCamrqfo67A.7bQ2S6-TdYPb3IUcqSKY2DgmURA2c1KYljiLq7uSecWQk3IyZqD8ln8l0WP9i1BMC_GsNzPw6yT48enaEqUqaSKRX15J8KpVEam6oB1Zj-pZkeTGk_SCHmXqqTj1UVun_AV7Np608-mMxq-2oTQ9WnOFsZPHY7RUiZTXeik6YF6yZZTlnOmAfSpBugdRSnwmq9KJD2Itdn5PvXzxDyKSzK4FJ079LGsYO2n6Yvb1KZShVyYerhqG7geoDex0JYHxREBecIXGt6MM1YZvBuF0YlS7fAOXABr4o612v0swQ8efMEu7PVHfiVYrTGiOChJrzMiQ4yNYyTjIf9jlf88Z00MSzRW6eiFPhCsuUEK7BqyhI4FQXFBnGpuo0bW8J3bo2XfO4zqsaLfUwwM9yJ4ZUUqEE459CcX-xZM5C7FA-ZW3xNIuPvbxxm1tg4Yq6usx.yoy3uAvUMHlDg9gpjAH0Bw" TargetMode="External"/><Relationship Id="rId18" Type="http://schemas.openxmlformats.org/officeDocument/2006/relationships/hyperlink" Target="https://latapi.estreamone.com/repos/LAT2-Main/docs/5724991.182017?token=eyJhbGciOiJBMTI4S1ciLCJlbmMiOiJBMTI4Q0JDLUhTMjU2IiwidHlwIjoiSldUIn0.ti8gjPWyXBWeUkbfRlbfBJhRRw9NdNDbkEV7a49Sc8QHvmhsdMjGmg.ZCxQ1U_aID2m9suuZ-gqbg.R_x36BqVC2aavAXgdBNh3rQKM_FMSPNdNoljEE1XZt96Hm34kK7gtKOQqWxtO89R6KwkiD9odTrhyYOb3f_5Ikgbhc5S3QQbwbRVZFdZUZvCqyHqLGzo6TvdK7zkSLLo095OSigooQsIoIzgB6VFtLcHsZQjfTWFWP7JNnm51K-7CGvcqM3wzZz8tTHjjkPFngSzVVvZkcXfekbNZQhVI2-jGQJwR6TurD4IqKH-PasqUoLvFMQ1W-KiIZrt1e3BxP9H26V7CBmbwM-z8UC5eAwJLXV77O_BFuzWaAkA43lf0OLuaC9fA1dQ0xT7nxwXoWWxz_lzw4ytzoMrqZ9fjNOQrrI3aGxdkvZ9YxhW8skvh_VwR6Yg0VMlSUANnDRh9TTajG4fEA6FdhVyHd8eI7knlY_LvoH2-fiR2Qw4MjxoV6z00b88gSDFOHKQgoKI.NHNqM63JzkoNDwtG8LEXiA" TargetMode="External"/><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https://taxbill.octreasurer.gov/secured/apn?apn=12918108" TargetMode="External"/><Relationship Id="rId9" Type="http://schemas.openxmlformats.org/officeDocument/2006/relationships/hyperlink" Target="https://ca-solano.publicaccessnow.com/Assessor/PropertySearch/Detail.aspx?p=0128101130" TargetMode="External"/><Relationship Id="rId5" Type="http://schemas.openxmlformats.org/officeDocument/2006/relationships/hyperlink" Target="https://taxbill.octreasurer.gov/secured/apn?apn=39626156" TargetMode="External"/><Relationship Id="rId6" Type="http://schemas.openxmlformats.org/officeDocument/2006/relationships/hyperlink" Target="https://apps.marincounty.gov/TaxBillOnline/Bill?BillNumber=25-1035087" TargetMode="External"/><Relationship Id="rId7" Type="http://schemas.openxmlformats.org/officeDocument/2006/relationships/hyperlink" Target="https://ca-solano.publicaccessnow.com/Assessor/PropertySearch/Detail.aspx?p=0128101150&amp;a=376162&amp;m=0128101150" TargetMode="External"/><Relationship Id="rId8" Type="http://schemas.openxmlformats.org/officeDocument/2006/relationships/hyperlink" Target="https://ca-solano.publicaccessnow.com/Assessor/PropertySearch/Detail.aspx?p=0128101140" TargetMode="External"/></Relationships>
</file>

<file path=xl/worksheets/_rels/sheet14.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hyperlink" Target="https://latapi.estreamone.com/repos/LAT2-Main/docs/5725692.92548?token=eyJhbGciOiJBMTI4S1ciLCJlbmMiOiJBMTI4Q0JDLUhTMjU2IiwidHlwIjoiSldUIn0.YuXjMtIV47uoxckQiHD6r4Uk4CCoAr0LcTscDD5uzRknOAomRAPocA._yIN0bwYErxfOj8PVVf4yg.vzbhdcz4iYRrmK5fJiUN48YQaYFSOd64FfS0xzbPBz0Rnx0J0wwBpbVRZEQ3hbxxT4TLo7yIzSSuBMc7F14rHDpyMevcODBe2XFyBfPKPnrz4CUgor-3yIznjcKa9nJci9sCAGNl7Bll8N8EaGfbXEY7sfdlkL8v7XyFS412KnBoMggmpkvVqhym5hY8k6MXATYn05h1RFL7kd7pMT9-f5zYTVv35dRvwJRcnfFEciM-68XZTInW_927wKKLlDh5fPuKoTe_dL99HBM4lrgSR0g-inH7dAb2ooxXuDWwvumChLKsvZ-r_ZtiSFbovqHWmwoE2DgosB_LMxIr6mLgK9vwiNtAiIJA4gRLvslkUocrixlrD-KXmZTe69FfCFpkMNoe68gv45MvZ3oAeadauI7D9a5Omjqwmhbcd1HvLoCJt4esdBCLn64taW_rLNlW.bl9ps_CoTX4xTtThNMOgNQ" TargetMode="External"/><Relationship Id="rId9" Type="http://schemas.openxmlformats.org/officeDocument/2006/relationships/vmlDrawing" Target="../drawings/vmlDrawing9.vml"/><Relationship Id="rId5" Type="http://schemas.openxmlformats.org/officeDocument/2006/relationships/hyperlink" Target="https://santaclaracounty.telleronline.net/search/1/details?APN=15434025" TargetMode="External"/><Relationship Id="rId6" Type="http://schemas.openxmlformats.org/officeDocument/2006/relationships/hyperlink" Target="https://latapi.estreamone.com/repos/LAT2-Main/docs/5725328.101316?token=eyJhbGciOiJBMTI4S1ciLCJlbmMiOiJBMTI4Q0JDLUhTMjU2IiwidHlwIjoiSldUIn0.F_433L4RTX8DDITFZxhyB_nTyZIwf3d3ZlOjgOehfH-NvgJD0eg6_Q.NCBWcv6tP94RvSsfWE7F4w.z4M-GT4X0XdROv4w2f4ow9cTLENKy4KGQvEFEmPVTLOMipWOPcERpc7f28g2CzWAwMxQbv5EImc3pUlJpIbMovekTX8BdTzYSj469ZAqW-cfqZKKK3DEbyJXUQMjcRk85ve7Z2jUeMzY3gHvGHL61GPM3dRuy9fJW53S1Bh6Jphux0xr6vljgMZNmw6doIB-iJw3Pn0Z-nw9Zu-2SU3kVT069wv50-4TViBwF48SqL6SAJYi87lL7fepoYG0DLorofgHKDMnzdmq99ZaQ4y_eBpt_tUcUSNa5S6hzZ1RvgCZC1SYCICkxEZv6UHdj0ICUa08qQETCzOrsTe6SYhfVbeftJioNjBVRJysPHRQYYvtPK2fw5bVJ-MdXzR_B8dvryEvIgAvFTLzpKkwsKppxjX-ATXMrPNa_A6LaQbIzMzYR_8FtmCHPQkrRa7ZRBs7.MY-S9j22ISNvslg5AvqyUg" TargetMode="External"/><Relationship Id="rId7" Type="http://schemas.openxmlformats.org/officeDocument/2006/relationships/hyperlink" Target="https://latapi.estreamone.com/repos/LAT2-Main/docs/5725738.216192?token=eyJhbGciOiJBMTI4S1ciLCJlbmMiOiJBMTI4Q0JDLUhTMjU2IiwidHlwIjoiSldUIn0.dHPb9H07h9gswdjuIM_xLZevhxce5qcq-IdaKWs42lBb-AUnfXJl7w.oB6eI9Ai_AisXLBYQ46X-g.paPBhu1Y4vANFJp64Ml7YO-EdymxTwjfT6c73sXl3rH-U06SDdMdCBPJfLnETzX3sz9FcxZbveEyfVLJmJPz6YlR4D4dGBQZgThxV1WpS9IespaB-i_Pw3q5P-TTmUdESGDDJsJmuno-WGyHA6yjahWTWxTDJzm9hx3AhIFQ_AUDkkP2hlkxaimGwDf-RFps_9C5AcluHjPijpROuEquGYMNNMfPYj0ioBmeudkJzHh3GjpCgka1aAHjTGi70HvZuNdyMHr5_8G0gJYI3pRrIyaUjq0HrIEBxBUSWYk5tqbQDZqo5uGSmQvpd3aUcZy65jEYxFOGeqOTzNyIrMk-u3t6wMSK1KNCMxKiz7hH1s-AUmWTKg09pRy0oa6MwvbhjLFWYKFd6dSP-M0XGTdqEctU2Yq0ICHRvLx3sz3x13olQCCRKtzt4Mgm1V1ciljR.1qFO80Ezbhad3mRA96mghg" TargetMode="External"/><Relationship Id="rId8"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29.5"/>
    <col customWidth="1" min="3" max="3" width="27.75"/>
    <col customWidth="1" min="4" max="4" width="15.63"/>
    <col customWidth="1" min="5" max="5" width="13.75"/>
    <col customWidth="1" min="6" max="6" width="14.13"/>
    <col customWidth="1" min="7" max="7" width="7.75"/>
    <col customWidth="1" min="8" max="8" width="6.25"/>
    <col customWidth="1" min="9" max="10" width="9.88"/>
    <col customWidth="1" min="11" max="11" width="16.25"/>
    <col customWidth="1" min="12" max="12" width="10.38"/>
    <col customWidth="1" min="13" max="13" width="21.75"/>
    <col customWidth="1" min="14" max="14" width="9.38"/>
    <col customWidth="1" min="15" max="15" width="7.25"/>
    <col customWidth="1" min="16" max="16" width="6.13"/>
    <col customWidth="1" min="17" max="17" width="8.5"/>
    <col customWidth="1" min="18" max="18" width="34.0"/>
    <col customWidth="1" min="19" max="19" width="10.88"/>
    <col customWidth="1" min="20" max="20" width="15.63"/>
    <col customWidth="1" min="21" max="21" width="30.88"/>
    <col customWidth="1" min="22" max="23" width="19.88"/>
    <col customWidth="1" min="24" max="24" width="27.0"/>
    <col customWidth="1" min="25" max="25" width="33.5"/>
    <col customWidth="1" min="26" max="26" width="14.25"/>
    <col customWidth="1" min="27" max="27" width="33.63"/>
    <col customWidth="1" min="28" max="28" width="32.88"/>
    <col customWidth="1" min="29" max="29" width="12.38"/>
    <col customWidth="1" min="30" max="30" width="13.0"/>
    <col customWidth="1" min="31" max="31" width="12.63"/>
    <col customWidth="1" min="32" max="32" width="11.38"/>
    <col customWidth="1" min="33" max="33" width="18.5"/>
    <col customWidth="1" min="34" max="40" width="15.5"/>
  </cols>
  <sheetData>
    <row r="1">
      <c r="A1" s="2" t="s">
        <v>1</v>
      </c>
      <c r="B1" s="2" t="s">
        <v>8</v>
      </c>
      <c r="C1" s="2" t="s">
        <v>9</v>
      </c>
      <c r="D1" s="2" t="s">
        <v>10</v>
      </c>
      <c r="E1" s="2" t="s">
        <v>11</v>
      </c>
      <c r="F1" s="2" t="s">
        <v>12</v>
      </c>
      <c r="G1" s="2" t="s">
        <v>13</v>
      </c>
      <c r="H1" s="1" t="s">
        <v>14</v>
      </c>
      <c r="I1" s="5" t="s">
        <v>15</v>
      </c>
      <c r="J1" s="1" t="s">
        <v>18</v>
      </c>
      <c r="K1" s="1" t="s">
        <v>19</v>
      </c>
      <c r="L1" s="1" t="s">
        <v>21</v>
      </c>
      <c r="M1" s="1" t="s">
        <v>23</v>
      </c>
      <c r="N1" s="1" t="s">
        <v>24</v>
      </c>
      <c r="O1" s="1" t="s">
        <v>27</v>
      </c>
      <c r="P1" s="1" t="s">
        <v>28</v>
      </c>
      <c r="Q1" s="7" t="s">
        <v>31</v>
      </c>
      <c r="R1" s="1" t="s">
        <v>35</v>
      </c>
      <c r="S1" s="9" t="s">
        <v>37</v>
      </c>
      <c r="T1" s="1" t="s">
        <v>41</v>
      </c>
      <c r="U1" s="1" t="s">
        <v>43</v>
      </c>
      <c r="V1" s="1" t="s">
        <v>45</v>
      </c>
      <c r="W1" s="1" t="s">
        <v>47</v>
      </c>
      <c r="X1" s="11" t="s">
        <v>49</v>
      </c>
      <c r="Y1" s="11" t="s">
        <v>54</v>
      </c>
      <c r="Z1" s="11" t="s">
        <v>56</v>
      </c>
      <c r="AA1" s="11" t="s">
        <v>58</v>
      </c>
      <c r="AB1" s="11" t="s">
        <v>60</v>
      </c>
      <c r="AC1" s="11" t="s">
        <v>62</v>
      </c>
      <c r="AD1" s="11" t="s">
        <v>64</v>
      </c>
      <c r="AE1" s="1" t="s">
        <v>65</v>
      </c>
      <c r="AF1" s="1" t="s">
        <v>67</v>
      </c>
      <c r="AG1" s="1" t="s">
        <v>69</v>
      </c>
      <c r="AH1" s="1" t="s">
        <v>71</v>
      </c>
      <c r="AI1" s="1" t="s">
        <v>73</v>
      </c>
      <c r="AJ1" s="9" t="s">
        <v>75</v>
      </c>
      <c r="AK1" s="9" t="s">
        <v>77</v>
      </c>
      <c r="AL1" s="1" t="s">
        <v>79</v>
      </c>
      <c r="AM1" s="1" t="s">
        <v>81</v>
      </c>
      <c r="AN1" s="1" t="s">
        <v>82</v>
      </c>
    </row>
    <row r="2">
      <c r="A2" s="6">
        <v>238.0</v>
      </c>
      <c r="B2" s="6" t="s">
        <v>83</v>
      </c>
      <c r="C2" s="6" t="s">
        <v>84</v>
      </c>
      <c r="D2" s="6" t="s">
        <v>85</v>
      </c>
      <c r="E2" s="6" t="s">
        <v>86</v>
      </c>
      <c r="F2" s="6" t="s">
        <v>87</v>
      </c>
      <c r="G2" s="6" t="s">
        <v>88</v>
      </c>
      <c r="I2" s="13">
        <v>44659.0</v>
      </c>
      <c r="K2" s="6" t="s">
        <v>89</v>
      </c>
      <c r="M2" s="6" t="s">
        <v>90</v>
      </c>
      <c r="N2" s="6" t="b">
        <v>0</v>
      </c>
      <c r="O2" s="6">
        <v>167.0</v>
      </c>
      <c r="P2" s="6">
        <v>125.0</v>
      </c>
      <c r="Q2" s="10"/>
      <c r="R2" s="6" t="s">
        <v>91</v>
      </c>
      <c r="S2" s="14"/>
      <c r="X2" s="15"/>
      <c r="Y2" s="15"/>
      <c r="Z2" s="15"/>
      <c r="AA2" s="15"/>
      <c r="AB2" s="15"/>
      <c r="AC2" s="15"/>
      <c r="AD2" s="15"/>
      <c r="AE2" s="6" t="s">
        <v>92</v>
      </c>
      <c r="AF2" s="6">
        <v>1988.0</v>
      </c>
      <c r="AJ2" s="14">
        <f t="shared" ref="AJ2:AJ33" si="1">if(F2="CMFA", if(O2&lt;16,10000,O2*600),if(F2="CSCDA",if(33&lt;O2&lt;300, O2*600,if(O2&gt;300,(180000+(O2-300)*300),20000))))</f>
        <v>100200</v>
      </c>
      <c r="AK2" s="14">
        <f t="shared" ref="AK2:AK33" si="2">if(F2="CMFA", if(O2&lt;26,4000,O2*150),if(F2="CSCDA",if(33&lt;O2&lt;300, O2*150,if(O2&gt;300,(45000+(O2-300)*75),5000))))</f>
        <v>25050</v>
      </c>
      <c r="AL2" s="19" t="str">
        <f t="shared" ref="AL2:AL33" si="3">if(AE2="YES",0,IF(AND(I2&gt;=DATE(2022,7,1),I2&lt;=DATE(2023,6,30)),3,IF(AND(I2&gt;=DATE(2023,7,1),I2&lt;=DATE(2024,6,30)),2,IF(AND(I2&gt;=DATE(2024,7,1),I2&lt;=DATE(2025,6,30)),1,IF(AND(I2&gt;=DATE(2025,7,1),I2&lt;=DATE(2026,6,30)),0,"-")))))</f>
        <v>-</v>
      </c>
      <c r="AM2" s="19" t="str">
        <f t="shared" ref="AM2:AM135" si="4">AK2*AL2</f>
        <v>#VALUE!</v>
      </c>
      <c r="AN2" s="6" t="b">
        <v>1</v>
      </c>
    </row>
    <row r="3">
      <c r="A3" s="6">
        <v>192.0</v>
      </c>
      <c r="B3" s="6" t="s">
        <v>125</v>
      </c>
      <c r="C3" s="6" t="s">
        <v>127</v>
      </c>
      <c r="D3" s="6" t="s">
        <v>128</v>
      </c>
      <c r="E3" s="6" t="s">
        <v>119</v>
      </c>
      <c r="F3" s="6" t="s">
        <v>87</v>
      </c>
      <c r="G3" s="6" t="s">
        <v>88</v>
      </c>
      <c r="H3" s="16"/>
      <c r="I3" s="21">
        <v>44666.0</v>
      </c>
      <c r="J3" s="23"/>
      <c r="K3" s="6" t="s">
        <v>89</v>
      </c>
      <c r="L3" s="16"/>
      <c r="M3" s="6" t="s">
        <v>90</v>
      </c>
      <c r="N3" s="6" t="b">
        <v>0</v>
      </c>
      <c r="O3" s="6">
        <v>196.0</v>
      </c>
      <c r="P3" s="6">
        <v>157.0</v>
      </c>
      <c r="Q3" s="20">
        <f t="shared" ref="Q3:Q5" si="5">P3/O3</f>
        <v>0.8010204082</v>
      </c>
      <c r="R3" s="6" t="s">
        <v>148</v>
      </c>
      <c r="S3" s="25">
        <v>16850.0</v>
      </c>
      <c r="T3" s="16" t="b">
        <f>COUNTIF(Parcels!A:A, A3) &gt; 0</f>
        <v>1</v>
      </c>
      <c r="U3" s="16" t="b">
        <f>MAXIFS(Parcels!AC:AC, Parcels!A:A, A3) &gt; 0</f>
        <v>1</v>
      </c>
      <c r="V3" s="17">
        <f>SUMIF(Parcels!A:A,
       A3,
       Parcels!Z:Z)</f>
        <v>67860998</v>
      </c>
      <c r="W3" s="17">
        <f>SUMIF(Parcels!$A:$A,
       $A3,
       Parcels!AC:AC)</f>
        <v>67860998</v>
      </c>
      <c r="X3" s="26">
        <f t="shared" ref="X3:X238" si="6">V3*P3/O3*0.9</f>
        <v>48922239.88</v>
      </c>
      <c r="Y3" s="26">
        <f t="shared" ref="Y3:Y237" si="7">IF(W3=0, X3, W3)</f>
        <v>67860998</v>
      </c>
      <c r="Z3" s="15" t="str">
        <f t="array" ref="Z3">_xlfn.XLOOKUP(
  A3,
  Parcels!A:A,
Parcels!AL:AL)</f>
        <v/>
      </c>
      <c r="AA3" s="26">
        <f t="shared" ref="AA3:AA49" si="8">W3*Z3</f>
        <v>0</v>
      </c>
      <c r="AB3" s="26">
        <f>Y3*Z3</f>
        <v>0</v>
      </c>
      <c r="AC3" s="15"/>
      <c r="AD3" s="15"/>
      <c r="AE3" s="16"/>
      <c r="AF3" s="16"/>
      <c r="AG3" s="16"/>
      <c r="AH3" s="16"/>
      <c r="AI3" s="16"/>
      <c r="AJ3" s="14">
        <f t="shared" si="1"/>
        <v>117600</v>
      </c>
      <c r="AK3" s="14">
        <f t="shared" si="2"/>
        <v>29400</v>
      </c>
      <c r="AL3" s="19" t="str">
        <f t="shared" si="3"/>
        <v>-</v>
      </c>
      <c r="AM3" s="19" t="str">
        <f t="shared" si="4"/>
        <v>#VALUE!</v>
      </c>
      <c r="AN3" s="6" t="b">
        <v>1</v>
      </c>
    </row>
    <row r="4">
      <c r="A4" s="6">
        <v>193.0</v>
      </c>
      <c r="B4" s="6" t="s">
        <v>170</v>
      </c>
      <c r="C4" s="6" t="s">
        <v>171</v>
      </c>
      <c r="D4" s="6" t="s">
        <v>172</v>
      </c>
      <c r="E4" s="6" t="s">
        <v>122</v>
      </c>
      <c r="F4" s="6" t="s">
        <v>87</v>
      </c>
      <c r="G4" s="6" t="s">
        <v>88</v>
      </c>
      <c r="H4" s="16"/>
      <c r="I4" s="21">
        <v>44666.0</v>
      </c>
      <c r="J4" s="27"/>
      <c r="K4" s="6" t="s">
        <v>89</v>
      </c>
      <c r="L4" s="16"/>
      <c r="M4" s="6" t="s">
        <v>90</v>
      </c>
      <c r="N4" s="6" t="b">
        <v>0</v>
      </c>
      <c r="O4" s="6">
        <v>196.0</v>
      </c>
      <c r="P4" s="6">
        <v>157.0</v>
      </c>
      <c r="Q4" s="20">
        <f t="shared" si="5"/>
        <v>0.8010204082</v>
      </c>
      <c r="R4" s="6" t="s">
        <v>176</v>
      </c>
      <c r="S4" s="25">
        <v>15766.0</v>
      </c>
      <c r="T4" s="16" t="b">
        <f>COUNTIF(Parcels!A:A, A4) &gt; 0</f>
        <v>1</v>
      </c>
      <c r="U4" s="16" t="b">
        <f>MAXIFS(Parcels!AC:AC, Parcels!A:A, A4) &gt; 0</f>
        <v>1</v>
      </c>
      <c r="V4" s="17">
        <f>SUMIF(Parcels!A:A,
       A4,
       Parcels!Z:Z)</f>
        <v>49668778</v>
      </c>
      <c r="W4" s="17">
        <f>SUMIF(Parcels!$A:$A,
       $A4,
       Parcels!AC:AC)</f>
        <v>49157189</v>
      </c>
      <c r="X4" s="26">
        <f t="shared" si="6"/>
        <v>35807134.34</v>
      </c>
      <c r="Y4" s="26">
        <f t="shared" si="7"/>
        <v>49157189</v>
      </c>
      <c r="Z4" s="15" t="str">
        <f t="array" ref="Z4">_xlfn.XLOOKUP(
  A4,
  Parcels!A:A,
Parcels!AL:AL)</f>
        <v/>
      </c>
      <c r="AA4" s="26">
        <f t="shared" si="8"/>
        <v>0</v>
      </c>
      <c r="AB4" s="15"/>
      <c r="AC4" s="15"/>
      <c r="AD4" s="15"/>
      <c r="AE4" s="16"/>
      <c r="AF4" s="16"/>
      <c r="AG4" s="16"/>
      <c r="AH4" s="16"/>
      <c r="AI4" s="16"/>
      <c r="AJ4" s="14">
        <f t="shared" si="1"/>
        <v>117600</v>
      </c>
      <c r="AK4" s="14">
        <f t="shared" si="2"/>
        <v>29400</v>
      </c>
      <c r="AL4" s="19" t="str">
        <f t="shared" si="3"/>
        <v>-</v>
      </c>
      <c r="AM4" s="19" t="str">
        <f t="shared" si="4"/>
        <v>#VALUE!</v>
      </c>
      <c r="AN4" s="19" t="str">
        <f t="array" ref="AN4">_xlfn.xlookup(C4,'SCC Certificate Review'!C:C,'SCC Certificate Review'!F:F)</f>
        <v>#N/A</v>
      </c>
    </row>
    <row r="5">
      <c r="A5" s="6">
        <v>1.0</v>
      </c>
      <c r="B5" s="6" t="s">
        <v>108</v>
      </c>
      <c r="C5" s="6" t="s">
        <v>191</v>
      </c>
      <c r="D5" s="6" t="s">
        <v>114</v>
      </c>
      <c r="E5" s="6" t="s">
        <v>114</v>
      </c>
      <c r="F5" s="6" t="s">
        <v>87</v>
      </c>
      <c r="G5" s="6" t="s">
        <v>192</v>
      </c>
      <c r="H5" s="6" t="s">
        <v>194</v>
      </c>
      <c r="I5" s="21">
        <v>45121.0</v>
      </c>
      <c r="J5" s="29"/>
      <c r="K5" s="6" t="s">
        <v>201</v>
      </c>
      <c r="L5" s="16"/>
      <c r="M5" s="6" t="s">
        <v>203</v>
      </c>
      <c r="N5" s="6" t="b">
        <v>0</v>
      </c>
      <c r="O5" s="6">
        <v>24.0</v>
      </c>
      <c r="P5" s="6">
        <v>24.0</v>
      </c>
      <c r="Q5" s="20">
        <f t="shared" si="5"/>
        <v>1</v>
      </c>
      <c r="R5" s="6" t="s">
        <v>107</v>
      </c>
      <c r="S5" s="25">
        <v>3600.0</v>
      </c>
      <c r="T5" s="16" t="b">
        <f>COUNTIF(Parcels!A:A, A5) &gt; 0</f>
        <v>1</v>
      </c>
      <c r="U5" s="16" t="b">
        <f>MAXIFS(Parcels!AC:AC, Parcels!A:A, A5) &gt; 0</f>
        <v>1</v>
      </c>
      <c r="V5" s="17">
        <f>SUMIF(Parcels!A:A,
       A5,
       Parcels!Z:Z)</f>
        <v>4447710</v>
      </c>
      <c r="W5" s="17">
        <f>SUMIF(Parcels!$A:$A,
       $A5,
       Parcels!AC:AC)</f>
        <v>4262686</v>
      </c>
      <c r="X5" s="26">
        <f t="shared" si="6"/>
        <v>4002939</v>
      </c>
      <c r="Y5" s="26">
        <f t="shared" si="7"/>
        <v>4262686</v>
      </c>
      <c r="Z5" s="32">
        <f t="array" ref="Z5">_xlfn.XLOOKUP(
  A5,
  Parcels!A:A,
Parcels!AL:AL)</f>
        <v>0.0118738</v>
      </c>
      <c r="AA5" s="26">
        <f t="shared" si="8"/>
        <v>50614.28103</v>
      </c>
      <c r="AB5" s="26">
        <f t="shared" ref="AB5:AB160" si="9">Y5*Z5</f>
        <v>50614.28103</v>
      </c>
      <c r="AC5" s="15"/>
      <c r="AD5" s="15"/>
      <c r="AE5" s="16"/>
      <c r="AF5" s="16"/>
      <c r="AG5" s="16"/>
      <c r="AH5" s="16"/>
      <c r="AI5" s="16"/>
      <c r="AJ5" s="14">
        <f t="shared" si="1"/>
        <v>14400</v>
      </c>
      <c r="AK5" s="14">
        <f t="shared" si="2"/>
        <v>4000</v>
      </c>
      <c r="AL5" s="19">
        <f t="shared" si="3"/>
        <v>2</v>
      </c>
      <c r="AM5" s="14">
        <f t="shared" si="4"/>
        <v>8000</v>
      </c>
      <c r="AN5" s="19" t="b">
        <f t="array" ref="AN5">_xlfn.xlookup(C5,'SCC Certificate Review'!C:C,'SCC Certificate Review'!F:F)</f>
        <v>1</v>
      </c>
    </row>
    <row r="6" ht="16.5" customHeight="1">
      <c r="A6" s="6">
        <v>4.0</v>
      </c>
      <c r="B6" s="6" t="s">
        <v>227</v>
      </c>
      <c r="C6" s="6" t="s">
        <v>228</v>
      </c>
      <c r="D6" s="6" t="s">
        <v>121</v>
      </c>
      <c r="E6" s="6" t="s">
        <v>121</v>
      </c>
      <c r="F6" s="6" t="s">
        <v>87</v>
      </c>
      <c r="G6" s="6" t="s">
        <v>192</v>
      </c>
      <c r="H6" s="6" t="s">
        <v>229</v>
      </c>
      <c r="I6" s="21">
        <v>45142.0</v>
      </c>
      <c r="J6" s="29"/>
      <c r="K6" s="6" t="s">
        <v>238</v>
      </c>
      <c r="L6" s="16"/>
      <c r="M6" s="6" t="s">
        <v>239</v>
      </c>
      <c r="N6" s="6" t="b">
        <v>0</v>
      </c>
      <c r="O6" s="6">
        <v>71.0</v>
      </c>
      <c r="P6" s="6">
        <v>70.0</v>
      </c>
      <c r="Q6" s="20"/>
      <c r="R6" s="6" t="s">
        <v>241</v>
      </c>
      <c r="S6" s="25">
        <v>10650.0</v>
      </c>
      <c r="T6" s="16" t="b">
        <f>COUNTIF(Parcels!A:A, A6) &gt; 0</f>
        <v>1</v>
      </c>
      <c r="U6" s="16" t="b">
        <f>MAXIFS(Parcels!AC:AC, Parcels!A:A, A6) &gt; 0</f>
        <v>1</v>
      </c>
      <c r="V6" s="17">
        <f>SUMIF(Parcels!A:A,
       A6,
       Parcels!Z:Z)</f>
        <v>4156500</v>
      </c>
      <c r="W6" s="17">
        <f>SUMIF(Parcels!$A:$A,
       $A6,
       Parcels!AC:AC)</f>
        <v>4156500</v>
      </c>
      <c r="X6" s="26">
        <f t="shared" si="6"/>
        <v>3688161.972</v>
      </c>
      <c r="Y6" s="26">
        <f t="shared" si="7"/>
        <v>4156500</v>
      </c>
      <c r="Z6" s="34">
        <f t="array" ref="Z6">_xlfn.XLOOKUP(
  A6,
  Parcels!A:A,
Parcels!AL:AL)</f>
        <v>0.0113</v>
      </c>
      <c r="AA6" s="26">
        <f t="shared" si="8"/>
        <v>46968.45</v>
      </c>
      <c r="AB6" s="26">
        <f t="shared" si="9"/>
        <v>46968.45</v>
      </c>
      <c r="AC6" s="16"/>
      <c r="AD6" s="16"/>
      <c r="AE6" s="16"/>
      <c r="AF6" s="16"/>
      <c r="AG6" s="16"/>
      <c r="AH6" s="16"/>
      <c r="AI6" s="16"/>
      <c r="AJ6" s="14">
        <f t="shared" si="1"/>
        <v>42600</v>
      </c>
      <c r="AK6" s="14">
        <f t="shared" si="2"/>
        <v>10650</v>
      </c>
      <c r="AL6" s="19">
        <f t="shared" si="3"/>
        <v>2</v>
      </c>
      <c r="AM6" s="14">
        <f t="shared" si="4"/>
        <v>21300</v>
      </c>
      <c r="AN6" s="19" t="b">
        <f t="array" ref="AN6">_xlfn.xlookup(C6,'SCC Certificate Review'!C:C,'SCC Certificate Review'!F:F)</f>
        <v>1</v>
      </c>
    </row>
    <row r="7">
      <c r="A7" s="6">
        <v>2.0</v>
      </c>
      <c r="B7" s="6" t="s">
        <v>136</v>
      </c>
      <c r="C7" s="6" t="s">
        <v>257</v>
      </c>
      <c r="D7" s="6" t="s">
        <v>114</v>
      </c>
      <c r="E7" s="6" t="s">
        <v>114</v>
      </c>
      <c r="F7" s="6" t="s">
        <v>87</v>
      </c>
      <c r="G7" s="6" t="s">
        <v>192</v>
      </c>
      <c r="H7" s="6" t="s">
        <v>260</v>
      </c>
      <c r="I7" s="21">
        <v>45142.0</v>
      </c>
      <c r="J7" s="29"/>
      <c r="K7" s="6" t="s">
        <v>263</v>
      </c>
      <c r="L7" s="16"/>
      <c r="M7" s="6" t="s">
        <v>264</v>
      </c>
      <c r="N7" s="6" t="b">
        <v>0</v>
      </c>
      <c r="O7" s="6">
        <v>15.0</v>
      </c>
      <c r="P7" s="6">
        <v>14.0</v>
      </c>
      <c r="Q7" s="20">
        <f>P7/O7</f>
        <v>0.9333333333</v>
      </c>
      <c r="R7" s="6" t="s">
        <v>135</v>
      </c>
      <c r="S7" s="25">
        <v>2250.0</v>
      </c>
      <c r="T7" s="16" t="b">
        <f>COUNTIF(Parcels!A:A, A7) &gt; 0</f>
        <v>1</v>
      </c>
      <c r="U7" s="16" t="b">
        <f>MAXIFS(Parcels!AC:AC, Parcels!A:A, A7) &gt; 0</f>
        <v>1</v>
      </c>
      <c r="V7" s="17">
        <f>SUMIF(Parcels!A:A,
       A7,
       Parcels!Z:Z)</f>
        <v>527950</v>
      </c>
      <c r="W7" s="17">
        <f>SUMIF(Parcels!$A:$A,
       $A7,
       Parcels!AC:AC)</f>
        <v>527950</v>
      </c>
      <c r="X7" s="26">
        <f t="shared" si="6"/>
        <v>443478</v>
      </c>
      <c r="Y7" s="26">
        <f t="shared" si="7"/>
        <v>527950</v>
      </c>
      <c r="Z7" s="32">
        <f t="array" ref="Z7">_xlfn.XLOOKUP(
  A7,
  Parcels!A:A,
Parcels!AL:AL)</f>
        <v>0.0118738</v>
      </c>
      <c r="AA7" s="26">
        <f t="shared" si="8"/>
        <v>6268.77271</v>
      </c>
      <c r="AB7" s="26">
        <f t="shared" si="9"/>
        <v>6268.77271</v>
      </c>
      <c r="AC7" s="15"/>
      <c r="AD7" s="15"/>
      <c r="AE7" s="16"/>
      <c r="AF7" s="6">
        <v>2023.0</v>
      </c>
      <c r="AG7" s="16"/>
      <c r="AH7" s="16"/>
      <c r="AI7" s="16"/>
      <c r="AJ7" s="14">
        <f t="shared" si="1"/>
        <v>10000</v>
      </c>
      <c r="AK7" s="14">
        <f t="shared" si="2"/>
        <v>4000</v>
      </c>
      <c r="AL7" s="19">
        <f t="shared" si="3"/>
        <v>2</v>
      </c>
      <c r="AM7" s="14">
        <f t="shared" si="4"/>
        <v>8000</v>
      </c>
      <c r="AN7" s="19" t="b">
        <f t="array" ref="AN7">_xlfn.xlookup(C7,'SCC Certificate Review'!C:C,'SCC Certificate Review'!F:F)</f>
        <v>1</v>
      </c>
    </row>
    <row r="8">
      <c r="A8" s="6">
        <v>3.0</v>
      </c>
      <c r="B8" s="6" t="s">
        <v>288</v>
      </c>
      <c r="C8" s="6" t="s">
        <v>289</v>
      </c>
      <c r="D8" s="6" t="s">
        <v>149</v>
      </c>
      <c r="E8" s="6" t="s">
        <v>129</v>
      </c>
      <c r="F8" s="6" t="s">
        <v>87</v>
      </c>
      <c r="G8" s="6" t="s">
        <v>192</v>
      </c>
      <c r="H8" s="6" t="s">
        <v>290</v>
      </c>
      <c r="I8" s="21">
        <v>45142.0</v>
      </c>
      <c r="J8" s="29"/>
      <c r="K8" s="6" t="s">
        <v>296</v>
      </c>
      <c r="L8" s="16"/>
      <c r="M8" s="6" t="s">
        <v>299</v>
      </c>
      <c r="N8" s="6" t="b">
        <v>0</v>
      </c>
      <c r="O8" s="6">
        <v>48.0</v>
      </c>
      <c r="P8" s="6">
        <v>48.0</v>
      </c>
      <c r="Q8" s="20"/>
      <c r="R8" s="6" t="s">
        <v>301</v>
      </c>
      <c r="S8" s="25">
        <v>7500.0</v>
      </c>
      <c r="T8" s="16" t="b">
        <f>COUNTIF(Parcels!A:A, A8) &gt; 0</f>
        <v>1</v>
      </c>
      <c r="U8" s="16" t="b">
        <f>MAXIFS(Parcels!AC:AC, Parcels!A:A, A8) &gt; 0</f>
        <v>1</v>
      </c>
      <c r="V8" s="17">
        <f>SUMIF(Parcels!A:A,
       A8,
       Parcels!Z:Z)</f>
        <v>17059601</v>
      </c>
      <c r="W8" s="17">
        <f>SUMIF(Parcels!$A:$A,
       $A8,
       Parcels!AC:AC)</f>
        <v>16718409</v>
      </c>
      <c r="X8" s="26">
        <f t="shared" si="6"/>
        <v>15353640.9</v>
      </c>
      <c r="Y8" s="26">
        <f t="shared" si="7"/>
        <v>16718409</v>
      </c>
      <c r="Z8" s="34">
        <f t="array" ref="Z8">_xlfn.XLOOKUP(
  A8,
  Parcels!A:A,
Parcels!AL:AL)</f>
        <v>0.011211</v>
      </c>
      <c r="AA8" s="26">
        <f t="shared" si="8"/>
        <v>187430.0833</v>
      </c>
      <c r="AB8" s="26">
        <f t="shared" si="9"/>
        <v>187430.0833</v>
      </c>
      <c r="AC8" s="16"/>
      <c r="AD8" s="16"/>
      <c r="AE8" s="16"/>
      <c r="AF8" s="16"/>
      <c r="AG8" s="16"/>
      <c r="AH8" s="16"/>
      <c r="AI8" s="16"/>
      <c r="AJ8" s="14">
        <f t="shared" si="1"/>
        <v>28800</v>
      </c>
      <c r="AK8" s="14">
        <f t="shared" si="2"/>
        <v>7200</v>
      </c>
      <c r="AL8" s="19">
        <f t="shared" si="3"/>
        <v>2</v>
      </c>
      <c r="AM8" s="14">
        <f t="shared" si="4"/>
        <v>14400</v>
      </c>
      <c r="AN8" s="19" t="b">
        <f t="array" ref="AN8">_xlfn.xlookup(C8,'SCC Certificate Review'!C:C,'SCC Certificate Review'!F:F)</f>
        <v>1</v>
      </c>
    </row>
    <row r="9">
      <c r="A9" s="6">
        <v>5.0</v>
      </c>
      <c r="B9" s="6" t="s">
        <v>318</v>
      </c>
      <c r="C9" s="6" t="s">
        <v>319</v>
      </c>
      <c r="D9" s="6" t="s">
        <v>122</v>
      </c>
      <c r="E9" s="6" t="s">
        <v>122</v>
      </c>
      <c r="F9" s="6" t="s">
        <v>87</v>
      </c>
      <c r="G9" s="6" t="s">
        <v>192</v>
      </c>
      <c r="H9" s="6" t="s">
        <v>321</v>
      </c>
      <c r="I9" s="21">
        <v>45163.0</v>
      </c>
      <c r="J9" s="37"/>
      <c r="K9" s="6" t="s">
        <v>334</v>
      </c>
      <c r="M9" s="6" t="s">
        <v>335</v>
      </c>
      <c r="N9" s="6" t="b">
        <v>0</v>
      </c>
      <c r="O9" s="6">
        <v>56.0</v>
      </c>
      <c r="P9" s="6">
        <v>23.0</v>
      </c>
      <c r="Q9" s="20"/>
      <c r="R9" s="6" t="s">
        <v>337</v>
      </c>
      <c r="S9" s="25">
        <v>8400.0</v>
      </c>
      <c r="T9" s="16" t="b">
        <f>COUNTIF(Parcels!A:A, A9) &gt; 0</f>
        <v>1</v>
      </c>
      <c r="U9" s="16" t="b">
        <f>MAXIFS(Parcels!AC:AC, Parcels!A:A, A9) &gt; 0</f>
        <v>0</v>
      </c>
      <c r="V9" s="17">
        <f>SUMIF(Parcels!A:A,
       A9,
       Parcels!Z:Z)</f>
        <v>9316117</v>
      </c>
      <c r="W9" s="17">
        <f>SUMIF(Parcels!$A:$A,
       $A9,
       Parcels!AC:AC)</f>
        <v>0</v>
      </c>
      <c r="X9" s="26">
        <f t="shared" si="6"/>
        <v>3443636.105</v>
      </c>
      <c r="Y9" s="26">
        <f t="shared" si="7"/>
        <v>3443636.105</v>
      </c>
      <c r="Z9" s="34">
        <f t="array" ref="Z9">_xlfn.XLOOKUP(
  A9,
  Parcels!A:A,
Parcels!AL:AL)</f>
        <v>0.0125114</v>
      </c>
      <c r="AA9" s="26">
        <f t="shared" si="8"/>
        <v>0</v>
      </c>
      <c r="AB9" s="26">
        <f t="shared" si="9"/>
        <v>43084.70877</v>
      </c>
      <c r="AJ9" s="14">
        <f t="shared" si="1"/>
        <v>33600</v>
      </c>
      <c r="AK9" s="14">
        <f t="shared" si="2"/>
        <v>8400</v>
      </c>
      <c r="AL9" s="19">
        <f t="shared" si="3"/>
        <v>2</v>
      </c>
      <c r="AM9" s="14">
        <f t="shared" si="4"/>
        <v>16800</v>
      </c>
      <c r="AN9" s="19" t="b">
        <f t="array" ref="AN9">_xlfn.xlookup(C9,'SCC Certificate Review'!C:C,'SCC Certificate Review'!F:F)</f>
        <v>1</v>
      </c>
    </row>
    <row r="10">
      <c r="A10" s="6">
        <v>6.0</v>
      </c>
      <c r="B10" s="6" t="s">
        <v>358</v>
      </c>
      <c r="C10" s="6" t="s">
        <v>360</v>
      </c>
      <c r="D10" s="6" t="s">
        <v>123</v>
      </c>
      <c r="E10" s="6" t="s">
        <v>123</v>
      </c>
      <c r="F10" s="6" t="s">
        <v>87</v>
      </c>
      <c r="G10" s="6" t="s">
        <v>192</v>
      </c>
      <c r="H10" s="6" t="s">
        <v>361</v>
      </c>
      <c r="I10" s="21">
        <v>45184.0</v>
      </c>
      <c r="J10" s="38" t="b">
        <v>1</v>
      </c>
      <c r="K10" s="6" t="s">
        <v>367</v>
      </c>
      <c r="M10" s="6" t="s">
        <v>203</v>
      </c>
      <c r="N10" s="6" t="b">
        <v>0</v>
      </c>
      <c r="O10" s="6">
        <v>32.0</v>
      </c>
      <c r="P10" s="6">
        <v>13.0</v>
      </c>
      <c r="Q10" s="20"/>
      <c r="R10" s="6" t="s">
        <v>371</v>
      </c>
      <c r="S10" s="25">
        <v>4800.0</v>
      </c>
      <c r="T10" s="16" t="b">
        <f>COUNTIF(Parcels!A:A, A10) &gt; 0</f>
        <v>1</v>
      </c>
      <c r="U10" s="16" t="b">
        <f>MAXIFS(Parcels!AC:AC, Parcels!A:A, A10) &gt; 0</f>
        <v>0</v>
      </c>
      <c r="V10" s="17">
        <f>SUMIF(Parcels!A:A,
       A10,
       Parcels!Z:Z)</f>
        <v>7398189</v>
      </c>
      <c r="W10" s="17">
        <f>SUMIF(Parcels!$A:$A,
       $A10,
       Parcels!AC:AC)</f>
        <v>0</v>
      </c>
      <c r="X10" s="26">
        <f t="shared" si="6"/>
        <v>2704962.853</v>
      </c>
      <c r="Y10" s="26">
        <f t="shared" si="7"/>
        <v>2704962.853</v>
      </c>
      <c r="Z10" s="34">
        <f t="array" ref="Z10">_xlfn.XLOOKUP(
  A10,
  Parcels!A:A,
Parcels!AL:AL)</f>
        <v>0.012</v>
      </c>
      <c r="AA10" s="26">
        <f t="shared" si="8"/>
        <v>0</v>
      </c>
      <c r="AB10" s="26">
        <f t="shared" si="9"/>
        <v>32459.55424</v>
      </c>
      <c r="AJ10" s="14">
        <f t="shared" si="1"/>
        <v>19200</v>
      </c>
      <c r="AK10" s="14">
        <f t="shared" si="2"/>
        <v>4800</v>
      </c>
      <c r="AL10" s="19">
        <f t="shared" si="3"/>
        <v>2</v>
      </c>
      <c r="AM10" s="14">
        <f t="shared" si="4"/>
        <v>9600</v>
      </c>
      <c r="AN10" s="19" t="str">
        <f t="array" ref="AN10">_xlfn.xlookup(C10,'SCC Certificate Review'!C:C,'SCC Certificate Review'!F:F)</f>
        <v/>
      </c>
    </row>
    <row r="11">
      <c r="A11" s="16">
        <v>7.0</v>
      </c>
      <c r="B11" s="6" t="s">
        <v>382</v>
      </c>
      <c r="C11" s="6" t="s">
        <v>383</v>
      </c>
      <c r="D11" s="6" t="s">
        <v>188</v>
      </c>
      <c r="E11" s="6" t="s">
        <v>86</v>
      </c>
      <c r="F11" s="6" t="s">
        <v>87</v>
      </c>
      <c r="G11" s="6" t="s">
        <v>192</v>
      </c>
      <c r="H11" s="6" t="s">
        <v>384</v>
      </c>
      <c r="I11" s="21">
        <v>45268.0</v>
      </c>
      <c r="J11" s="27"/>
      <c r="K11" s="6" t="s">
        <v>391</v>
      </c>
      <c r="M11" s="6" t="s">
        <v>392</v>
      </c>
      <c r="N11" s="6" t="b">
        <v>0</v>
      </c>
      <c r="O11" s="6">
        <v>61.0</v>
      </c>
      <c r="P11" s="6">
        <v>61.0</v>
      </c>
      <c r="Q11" s="20"/>
      <c r="R11" s="6" t="s">
        <v>393</v>
      </c>
      <c r="S11" s="25">
        <v>9150.0</v>
      </c>
      <c r="T11" s="16" t="b">
        <f>COUNTIF(Parcels!A:A, A11) &gt; 0</f>
        <v>1</v>
      </c>
      <c r="U11" s="16" t="b">
        <f>MAXIFS(Parcels!AC:AC, Parcels!A:A, A11) &gt; 0</f>
        <v>0</v>
      </c>
      <c r="V11" s="17">
        <f>SUMIF(Parcels!A:A,
       A11,
       Parcels!Z:Z)</f>
        <v>17313480</v>
      </c>
      <c r="W11" s="17">
        <f>SUMIF(Parcels!$A:$A,
       $A11,
       Parcels!AC:AC)</f>
        <v>0</v>
      </c>
      <c r="X11" s="26">
        <f t="shared" si="6"/>
        <v>15582132</v>
      </c>
      <c r="Y11" s="26">
        <f t="shared" si="7"/>
        <v>15582132</v>
      </c>
      <c r="Z11" s="34">
        <f t="array" ref="Z11">_xlfn.XLOOKUP(
  A11,
  Parcels!A:A,
Parcels!AL:AL)</f>
        <v>0.011724</v>
      </c>
      <c r="AA11" s="26">
        <f t="shared" si="8"/>
        <v>0</v>
      </c>
      <c r="AB11" s="26">
        <f t="shared" si="9"/>
        <v>182684.9156</v>
      </c>
      <c r="AD11" s="39" t="s">
        <v>399</v>
      </c>
      <c r="AJ11" s="14">
        <f t="shared" si="1"/>
        <v>36600</v>
      </c>
      <c r="AK11" s="14">
        <f t="shared" si="2"/>
        <v>9150</v>
      </c>
      <c r="AL11" s="19">
        <f t="shared" si="3"/>
        <v>2</v>
      </c>
      <c r="AM11" s="14">
        <f t="shared" si="4"/>
        <v>18300</v>
      </c>
      <c r="AN11" s="19" t="str">
        <f t="array" ref="AN11">_xlfn.xlookup(C11,'SCC Certificate Review'!C:C,'SCC Certificate Review'!F:F)</f>
        <v/>
      </c>
    </row>
    <row r="12">
      <c r="A12" s="16">
        <v>8.0</v>
      </c>
      <c r="B12" s="40" t="s">
        <v>202</v>
      </c>
      <c r="C12" s="40" t="s">
        <v>409</v>
      </c>
      <c r="D12" s="6" t="s">
        <v>114</v>
      </c>
      <c r="E12" s="6" t="s">
        <v>114</v>
      </c>
      <c r="F12" s="6" t="s">
        <v>87</v>
      </c>
      <c r="G12" s="6"/>
      <c r="H12" s="6" t="s">
        <v>410</v>
      </c>
      <c r="I12" s="21">
        <v>45268.0</v>
      </c>
      <c r="J12" s="37"/>
      <c r="K12" s="6" t="s">
        <v>411</v>
      </c>
      <c r="L12" s="6"/>
      <c r="M12" s="6" t="s">
        <v>412</v>
      </c>
      <c r="N12" s="6" t="b">
        <v>0</v>
      </c>
      <c r="O12" s="6">
        <v>147.0</v>
      </c>
      <c r="P12" s="6">
        <v>147.0</v>
      </c>
      <c r="Q12" s="20">
        <f t="shared" ref="Q12:Q14" si="10">P12/O12</f>
        <v>1</v>
      </c>
      <c r="R12" s="6" t="s">
        <v>200</v>
      </c>
      <c r="S12" s="25">
        <v>22050.0</v>
      </c>
      <c r="T12" s="16" t="b">
        <f>COUNTIF(Parcels!A:A, A12) &gt; 0</f>
        <v>1</v>
      </c>
      <c r="U12" s="16" t="b">
        <f>MAXIFS(Parcels!AC:AC, Parcels!A:A, A12) &gt; 0</f>
        <v>0</v>
      </c>
      <c r="V12" s="17">
        <f>SUMIF(Parcels!A:A,
       A12,
       Parcels!Z:Z)</f>
        <v>11783947</v>
      </c>
      <c r="W12" s="17">
        <f>SUMIF(Parcels!$A:$A,
       $A12,
       Parcels!AC:AC)</f>
        <v>0</v>
      </c>
      <c r="X12" s="26">
        <f t="shared" si="6"/>
        <v>10605552.3</v>
      </c>
      <c r="Y12" s="26">
        <f t="shared" si="7"/>
        <v>10605552.3</v>
      </c>
      <c r="Z12" s="32">
        <f t="array" ref="Z12">_xlfn.XLOOKUP(
  A12,
  Parcels!A:A,
Parcels!AL:AL)</f>
        <v>0.0118738</v>
      </c>
      <c r="AA12" s="26">
        <f t="shared" si="8"/>
        <v>0</v>
      </c>
      <c r="AB12" s="26">
        <f t="shared" si="9"/>
        <v>125928.2069</v>
      </c>
      <c r="AC12" s="15"/>
      <c r="AD12" s="15"/>
      <c r="AJ12" s="14">
        <f t="shared" si="1"/>
        <v>88200</v>
      </c>
      <c r="AK12" s="14">
        <f t="shared" si="2"/>
        <v>22050</v>
      </c>
      <c r="AL12" s="19">
        <f t="shared" si="3"/>
        <v>2</v>
      </c>
      <c r="AM12" s="14">
        <f t="shared" si="4"/>
        <v>44100</v>
      </c>
      <c r="AN12" s="19" t="b">
        <f t="array" ref="AN12">_xlfn.xlookup(C12,'SCC Certificate Review'!C:C,'SCC Certificate Review'!F:F)</f>
        <v>1</v>
      </c>
    </row>
    <row r="13">
      <c r="A13" s="16">
        <v>9.0</v>
      </c>
      <c r="B13" s="40" t="s">
        <v>220</v>
      </c>
      <c r="C13" s="40" t="s">
        <v>428</v>
      </c>
      <c r="D13" s="6" t="s">
        <v>114</v>
      </c>
      <c r="E13" s="6" t="s">
        <v>114</v>
      </c>
      <c r="F13" s="6" t="s">
        <v>87</v>
      </c>
      <c r="G13" s="6"/>
      <c r="H13" s="6" t="s">
        <v>429</v>
      </c>
      <c r="I13" s="21">
        <v>45268.0</v>
      </c>
      <c r="J13" s="37"/>
      <c r="K13" s="6" t="s">
        <v>411</v>
      </c>
      <c r="L13" s="6" t="s">
        <v>430</v>
      </c>
      <c r="M13" s="6" t="s">
        <v>412</v>
      </c>
      <c r="N13" s="6" t="b">
        <v>0</v>
      </c>
      <c r="O13" s="6">
        <v>227.0</v>
      </c>
      <c r="P13" s="6">
        <v>227.0</v>
      </c>
      <c r="Q13" s="20">
        <f t="shared" si="10"/>
        <v>1</v>
      </c>
      <c r="R13" s="6" t="s">
        <v>219</v>
      </c>
      <c r="S13" s="25">
        <v>34050.0</v>
      </c>
      <c r="T13" s="16" t="b">
        <f>COUNTIF(Parcels!A:A, A13) &gt; 0</f>
        <v>1</v>
      </c>
      <c r="U13" s="16" t="b">
        <f>MAXIFS(Parcels!AC:AC, Parcels!A:A, A13) &gt; 0</f>
        <v>0</v>
      </c>
      <c r="V13" s="17">
        <f>SUMIF(Parcels!A:A,
       A13,
       Parcels!Z:Z)</f>
        <v>9142457</v>
      </c>
      <c r="W13" s="17">
        <f>SUMIF(Parcels!$A:$A,
       $A13,
       Parcels!AC:AC)</f>
        <v>0</v>
      </c>
      <c r="X13" s="26">
        <f t="shared" si="6"/>
        <v>8228211.3</v>
      </c>
      <c r="Y13" s="26">
        <f t="shared" si="7"/>
        <v>8228211.3</v>
      </c>
      <c r="Z13" s="32">
        <f t="array" ref="Z13">_xlfn.XLOOKUP(
  A13,
  Parcels!A:A,
Parcels!AL:AL)</f>
        <v>0.0118738</v>
      </c>
      <c r="AA13" s="26">
        <f t="shared" si="8"/>
        <v>0</v>
      </c>
      <c r="AB13" s="26">
        <f t="shared" si="9"/>
        <v>97700.13533</v>
      </c>
      <c r="AC13" s="15"/>
      <c r="AD13" s="15"/>
      <c r="AJ13" s="14">
        <f t="shared" si="1"/>
        <v>136200</v>
      </c>
      <c r="AK13" s="14">
        <f t="shared" si="2"/>
        <v>34050</v>
      </c>
      <c r="AL13" s="19">
        <f t="shared" si="3"/>
        <v>2</v>
      </c>
      <c r="AM13" s="14">
        <f t="shared" si="4"/>
        <v>68100</v>
      </c>
      <c r="AN13" s="19" t="str">
        <f t="array" ref="AN13">_xlfn.xlookup(C13,'SCC Certificate Review'!C:C,'SCC Certificate Review'!F:F)</f>
        <v/>
      </c>
    </row>
    <row r="14">
      <c r="A14" s="16">
        <v>10.0</v>
      </c>
      <c r="B14" s="6" t="s">
        <v>249</v>
      </c>
      <c r="C14" s="6" t="s">
        <v>437</v>
      </c>
      <c r="D14" s="6" t="s">
        <v>114</v>
      </c>
      <c r="E14" s="6" t="s">
        <v>114</v>
      </c>
      <c r="F14" s="6" t="s">
        <v>87</v>
      </c>
      <c r="G14" s="6" t="s">
        <v>192</v>
      </c>
      <c r="H14" s="6" t="s">
        <v>438</v>
      </c>
      <c r="I14" s="21">
        <v>45324.0</v>
      </c>
      <c r="J14" s="37"/>
      <c r="K14" s="6" t="s">
        <v>445</v>
      </c>
      <c r="L14" s="6" t="s">
        <v>446</v>
      </c>
      <c r="M14" s="6" t="s">
        <v>90</v>
      </c>
      <c r="N14" s="6" t="b">
        <v>0</v>
      </c>
      <c r="O14" s="6">
        <v>79.0</v>
      </c>
      <c r="P14" s="6">
        <v>48.0</v>
      </c>
      <c r="Q14" s="20">
        <f t="shared" si="10"/>
        <v>0.6075949367</v>
      </c>
      <c r="R14" s="6" t="s">
        <v>248</v>
      </c>
      <c r="S14" s="25">
        <v>11850.0</v>
      </c>
      <c r="T14" s="16" t="b">
        <f>COUNTIF(Parcels!A:A, A14) &gt; 0</f>
        <v>1</v>
      </c>
      <c r="U14" s="16" t="b">
        <f>MAXIFS(Parcels!AC:AC, Parcels!A:A, A14) &gt; 0</f>
        <v>0</v>
      </c>
      <c r="V14" s="17">
        <f>SUMIF(Parcels!A:A,
       A14,
       Parcels!Z:Z)</f>
        <v>2856000</v>
      </c>
      <c r="W14" s="17">
        <f>SUMIF(Parcels!$A:$A,
       $A14,
       Parcels!AC:AC)</f>
        <v>0</v>
      </c>
      <c r="X14" s="26">
        <f t="shared" si="6"/>
        <v>1561762.025</v>
      </c>
      <c r="Y14" s="26">
        <f t="shared" si="7"/>
        <v>1561762.025</v>
      </c>
      <c r="Z14" s="32">
        <f t="array" ref="Z14">_xlfn.XLOOKUP(
  A14,
  Parcels!A:A,
Parcels!AL:AL)</f>
        <v>0.0118738</v>
      </c>
      <c r="AA14" s="26">
        <f t="shared" si="8"/>
        <v>0</v>
      </c>
      <c r="AB14" s="26">
        <f t="shared" si="9"/>
        <v>18544.04994</v>
      </c>
      <c r="AC14" s="15"/>
      <c r="AD14" s="15"/>
      <c r="AJ14" s="14">
        <f t="shared" si="1"/>
        <v>47400</v>
      </c>
      <c r="AK14" s="14">
        <f t="shared" si="2"/>
        <v>11850</v>
      </c>
      <c r="AL14" s="19">
        <f t="shared" si="3"/>
        <v>2</v>
      </c>
      <c r="AM14" s="14">
        <f t="shared" si="4"/>
        <v>23700</v>
      </c>
      <c r="AN14" s="19" t="b">
        <f t="array" ref="AN14">_xlfn.xlookup(C14,'SCC Certificate Review'!C:C,'SCC Certificate Review'!F:F)</f>
        <v>1</v>
      </c>
    </row>
    <row r="15">
      <c r="A15" s="16">
        <v>11.0</v>
      </c>
      <c r="B15" s="6" t="s">
        <v>457</v>
      </c>
      <c r="C15" s="6" t="s">
        <v>458</v>
      </c>
      <c r="D15" s="6" t="s">
        <v>210</v>
      </c>
      <c r="E15" s="6" t="s">
        <v>86</v>
      </c>
      <c r="F15" s="6" t="s">
        <v>87</v>
      </c>
      <c r="G15" s="6" t="s">
        <v>192</v>
      </c>
      <c r="H15" s="6" t="s">
        <v>462</v>
      </c>
      <c r="I15" s="21">
        <v>45345.0</v>
      </c>
      <c r="J15" s="37"/>
      <c r="K15" s="6" t="s">
        <v>464</v>
      </c>
      <c r="L15" s="16"/>
      <c r="M15" s="6" t="s">
        <v>465</v>
      </c>
      <c r="N15" s="6" t="b">
        <v>0</v>
      </c>
      <c r="O15" s="6">
        <v>166.0</v>
      </c>
      <c r="P15" s="6">
        <v>166.0</v>
      </c>
      <c r="Q15" s="20"/>
      <c r="R15" s="6" t="s">
        <v>466</v>
      </c>
      <c r="S15" s="25">
        <v>24900.0</v>
      </c>
      <c r="T15" s="16" t="b">
        <f>COUNTIF(Parcels!A:A, A15) &gt; 0</f>
        <v>1</v>
      </c>
      <c r="U15" s="16" t="b">
        <f>MAXIFS(Parcels!AC:AC, Parcels!A:A, A15) &gt; 0</f>
        <v>1</v>
      </c>
      <c r="V15" s="17">
        <f>SUMIF(Parcels!A:A,
       A15,
       Parcels!Z:Z)</f>
        <v>2013882</v>
      </c>
      <c r="W15" s="17">
        <f>SUMIF(Parcels!$A:$A,
       $A15,
       Parcels!AC:AC)</f>
        <v>7089890</v>
      </c>
      <c r="X15" s="26">
        <f t="shared" si="6"/>
        <v>1812493.8</v>
      </c>
      <c r="Y15" s="26">
        <f t="shared" si="7"/>
        <v>7089890</v>
      </c>
      <c r="Z15" s="34">
        <f t="array" ref="Z15">_xlfn.XLOOKUP(
  A15,
  Parcels!A:A,
Parcels!AL:AL)</f>
        <v>0.012779</v>
      </c>
      <c r="AA15" s="26">
        <f t="shared" si="8"/>
        <v>90601.70431</v>
      </c>
      <c r="AB15" s="26">
        <f t="shared" si="9"/>
        <v>90601.70431</v>
      </c>
      <c r="AC15" s="16"/>
      <c r="AD15" s="16"/>
      <c r="AE15" s="6" t="s">
        <v>474</v>
      </c>
      <c r="AF15" s="16"/>
      <c r="AG15" s="16"/>
      <c r="AH15" s="16"/>
      <c r="AI15" s="16"/>
      <c r="AJ15" s="14">
        <f t="shared" si="1"/>
        <v>99600</v>
      </c>
      <c r="AK15" s="14">
        <f t="shared" si="2"/>
        <v>24900</v>
      </c>
      <c r="AL15" s="19">
        <f t="shared" si="3"/>
        <v>0</v>
      </c>
      <c r="AM15" s="14">
        <f t="shared" si="4"/>
        <v>0</v>
      </c>
      <c r="AN15" s="19" t="b">
        <f t="array" ref="AN15">_xlfn.xlookup(C15,'SCC Certificate Review'!C:C,'SCC Certificate Review'!F:F)</f>
        <v>1</v>
      </c>
    </row>
    <row r="16">
      <c r="A16" s="16">
        <v>12.0</v>
      </c>
      <c r="B16" s="6" t="s">
        <v>282</v>
      </c>
      <c r="C16" s="6" t="s">
        <v>476</v>
      </c>
      <c r="D16" s="6" t="s">
        <v>114</v>
      </c>
      <c r="E16" s="6" t="s">
        <v>114</v>
      </c>
      <c r="F16" s="6" t="s">
        <v>87</v>
      </c>
      <c r="G16" s="6" t="s">
        <v>192</v>
      </c>
      <c r="H16" s="6" t="s">
        <v>479</v>
      </c>
      <c r="I16" s="21">
        <v>45345.0</v>
      </c>
      <c r="J16" s="37"/>
      <c r="K16" s="6" t="s">
        <v>481</v>
      </c>
      <c r="M16" s="6" t="s">
        <v>203</v>
      </c>
      <c r="N16" s="6" t="b">
        <v>0</v>
      </c>
      <c r="O16" s="6">
        <v>154.0</v>
      </c>
      <c r="P16" s="6">
        <v>154.0</v>
      </c>
      <c r="Q16" s="20">
        <f>P16/O16</f>
        <v>1</v>
      </c>
      <c r="R16" s="6" t="s">
        <v>280</v>
      </c>
      <c r="S16" s="25">
        <v>23250.0</v>
      </c>
      <c r="T16" s="16" t="b">
        <f>COUNTIF(Parcels!A:A, A16) &gt; 0</f>
        <v>1</v>
      </c>
      <c r="U16" s="16" t="b">
        <f>MAXIFS(Parcels!AC:AC, Parcels!A:A, A16) &gt; 0</f>
        <v>0</v>
      </c>
      <c r="V16" s="17">
        <f>SUMIF(Parcels!A:A,
       A16,
       Parcels!Z:Z)</f>
        <v>1360000</v>
      </c>
      <c r="W16" s="17">
        <f>SUMIF(Parcels!$A:$A,
       $A16,
       Parcels!AC:AC)</f>
        <v>0</v>
      </c>
      <c r="X16" s="26">
        <f t="shared" si="6"/>
        <v>1224000</v>
      </c>
      <c r="Y16" s="26">
        <f t="shared" si="7"/>
        <v>1224000</v>
      </c>
      <c r="Z16" s="32">
        <f t="array" ref="Z16">_xlfn.XLOOKUP(
  A16,
  Parcels!A:A,
Parcels!AL:AL)</f>
        <v>0.0118738</v>
      </c>
      <c r="AA16" s="26">
        <f t="shared" si="8"/>
        <v>0</v>
      </c>
      <c r="AB16" s="26">
        <f t="shared" si="9"/>
        <v>14533.5312</v>
      </c>
      <c r="AC16" s="15"/>
      <c r="AD16" s="15"/>
      <c r="AJ16" s="14">
        <f t="shared" si="1"/>
        <v>92400</v>
      </c>
      <c r="AK16" s="14">
        <f t="shared" si="2"/>
        <v>23100</v>
      </c>
      <c r="AL16" s="19">
        <f t="shared" si="3"/>
        <v>2</v>
      </c>
      <c r="AM16" s="14">
        <f t="shared" si="4"/>
        <v>46200</v>
      </c>
      <c r="AN16" s="19" t="b">
        <f t="array" ref="AN16">_xlfn.xlookup(C16,'SCC Certificate Review'!C:C,'SCC Certificate Review'!F:F)</f>
        <v>1</v>
      </c>
    </row>
    <row r="17">
      <c r="A17" s="16">
        <v>14.0</v>
      </c>
      <c r="B17" s="6" t="s">
        <v>486</v>
      </c>
      <c r="C17" s="6" t="s">
        <v>487</v>
      </c>
      <c r="D17" s="6" t="s">
        <v>210</v>
      </c>
      <c r="E17" s="6" t="s">
        <v>86</v>
      </c>
      <c r="F17" s="6" t="s">
        <v>87</v>
      </c>
      <c r="G17" s="6" t="s">
        <v>192</v>
      </c>
      <c r="H17" s="6" t="s">
        <v>488</v>
      </c>
      <c r="I17" s="21">
        <v>45366.0</v>
      </c>
      <c r="J17" s="37"/>
      <c r="K17" s="6" t="s">
        <v>495</v>
      </c>
      <c r="M17" s="6" t="s">
        <v>496</v>
      </c>
      <c r="N17" s="6" t="b">
        <v>0</v>
      </c>
      <c r="O17" s="6">
        <v>89.0</v>
      </c>
      <c r="P17" s="6">
        <v>40.0</v>
      </c>
      <c r="Q17" s="20"/>
      <c r="R17" s="6" t="s">
        <v>497</v>
      </c>
      <c r="S17" s="25">
        <v>13350.0</v>
      </c>
      <c r="T17" s="16" t="b">
        <f>COUNTIF(Parcels!A:A, A17) &gt; 0</f>
        <v>1</v>
      </c>
      <c r="U17" s="16" t="b">
        <f>MAXIFS(Parcels!AC:AC, Parcels!A:A, A17) &gt; 0</f>
        <v>0</v>
      </c>
      <c r="V17" s="17">
        <f>SUMIF(Parcels!A:A,
       A17,
       Parcels!Z:Z)</f>
        <v>24257157</v>
      </c>
      <c r="W17" s="17">
        <f>SUMIF(Parcels!$A:$A,
       $A17,
       Parcels!AC:AC)</f>
        <v>0</v>
      </c>
      <c r="X17" s="26">
        <f t="shared" si="6"/>
        <v>9811883.73</v>
      </c>
      <c r="Y17" s="26">
        <f t="shared" si="7"/>
        <v>9811883.73</v>
      </c>
      <c r="Z17" s="34">
        <f t="array" ref="Z17">_xlfn.XLOOKUP(
  A17,
  Parcels!A:A,
Parcels!AL:AL)</f>
        <v>0.012779</v>
      </c>
      <c r="AA17" s="26">
        <f t="shared" si="8"/>
        <v>0</v>
      </c>
      <c r="AB17" s="26">
        <f t="shared" si="9"/>
        <v>125386.0622</v>
      </c>
      <c r="AD17" s="39" t="s">
        <v>502</v>
      </c>
      <c r="AJ17" s="14">
        <f t="shared" si="1"/>
        <v>53400</v>
      </c>
      <c r="AK17" s="14">
        <f t="shared" si="2"/>
        <v>13350</v>
      </c>
      <c r="AL17" s="19">
        <f t="shared" si="3"/>
        <v>2</v>
      </c>
      <c r="AM17" s="14">
        <f t="shared" si="4"/>
        <v>26700</v>
      </c>
      <c r="AN17" s="19" t="b">
        <f t="array" ref="AN17">_xlfn.xlookup(C17,'SCC Certificate Review'!C:C,'SCC Certificate Review'!F:F)</f>
        <v>1</v>
      </c>
    </row>
    <row r="18">
      <c r="A18" s="16">
        <v>13.0</v>
      </c>
      <c r="B18" s="6" t="s">
        <v>509</v>
      </c>
      <c r="C18" s="6" t="s">
        <v>510</v>
      </c>
      <c r="D18" s="6" t="s">
        <v>123</v>
      </c>
      <c r="E18" s="6" t="s">
        <v>123</v>
      </c>
      <c r="F18" s="6" t="s">
        <v>87</v>
      </c>
      <c r="G18" s="6" t="s">
        <v>192</v>
      </c>
      <c r="H18" s="6" t="s">
        <v>511</v>
      </c>
      <c r="I18" s="21">
        <v>45366.0</v>
      </c>
      <c r="J18" s="38" t="b">
        <v>1</v>
      </c>
      <c r="K18" s="6" t="s">
        <v>367</v>
      </c>
      <c r="L18" s="6" t="s">
        <v>517</v>
      </c>
      <c r="M18" s="6" t="s">
        <v>203</v>
      </c>
      <c r="N18" s="6" t="b">
        <v>0</v>
      </c>
      <c r="O18" s="6">
        <v>66.0</v>
      </c>
      <c r="P18" s="6">
        <v>27.0</v>
      </c>
      <c r="Q18" s="20"/>
      <c r="R18" s="6" t="s">
        <v>519</v>
      </c>
      <c r="S18" s="25">
        <v>9900.0</v>
      </c>
      <c r="T18" s="16" t="b">
        <f>COUNTIF(Parcels!A:A, A18) &gt; 0</f>
        <v>1</v>
      </c>
      <c r="U18" s="16" t="b">
        <f>MAXIFS(Parcels!AC:AC, Parcels!A:A, A18) &gt; 0</f>
        <v>0</v>
      </c>
      <c r="V18" s="17">
        <f>SUMIF(Parcels!A:A,
       A18,
       Parcels!Z:Z)</f>
        <v>17116303</v>
      </c>
      <c r="W18" s="17">
        <f>SUMIF(Parcels!$A:$A,
       $A18,
       Parcels!AC:AC)</f>
        <v>0</v>
      </c>
      <c r="X18" s="26">
        <f t="shared" si="6"/>
        <v>6301911.559</v>
      </c>
      <c r="Y18" s="26">
        <f t="shared" si="7"/>
        <v>6301911.559</v>
      </c>
      <c r="Z18" s="34">
        <f t="array" ref="Z18">_xlfn.XLOOKUP(
  A18,
  Parcels!A:A,
Parcels!AL:AL)</f>
        <v>0.012</v>
      </c>
      <c r="AA18" s="26">
        <f t="shared" si="8"/>
        <v>0</v>
      </c>
      <c r="AB18" s="26">
        <f t="shared" si="9"/>
        <v>75622.93871</v>
      </c>
      <c r="AJ18" s="14">
        <f t="shared" si="1"/>
        <v>39600</v>
      </c>
      <c r="AK18" s="14">
        <f t="shared" si="2"/>
        <v>9900</v>
      </c>
      <c r="AL18" s="19">
        <f t="shared" si="3"/>
        <v>2</v>
      </c>
      <c r="AM18" s="14">
        <f t="shared" si="4"/>
        <v>19800</v>
      </c>
      <c r="AN18" s="19" t="str">
        <f t="array" ref="AN18">_xlfn.xlookup(C18,'SCC Certificate Review'!C:C,'SCC Certificate Review'!F:F)</f>
        <v/>
      </c>
    </row>
    <row r="19">
      <c r="A19" s="16">
        <v>15.0</v>
      </c>
      <c r="B19" s="6" t="s">
        <v>328</v>
      </c>
      <c r="C19" s="6" t="s">
        <v>526</v>
      </c>
      <c r="D19" s="6" t="s">
        <v>114</v>
      </c>
      <c r="E19" s="6" t="s">
        <v>114</v>
      </c>
      <c r="F19" s="6" t="s">
        <v>87</v>
      </c>
      <c r="G19" s="6" t="s">
        <v>192</v>
      </c>
      <c r="H19" s="6" t="s">
        <v>527</v>
      </c>
      <c r="I19" s="21">
        <v>45408.0</v>
      </c>
      <c r="J19" s="38" t="b">
        <v>1</v>
      </c>
      <c r="K19" s="6" t="s">
        <v>411</v>
      </c>
      <c r="M19" s="6" t="s">
        <v>412</v>
      </c>
      <c r="N19" s="6" t="b">
        <v>0</v>
      </c>
      <c r="O19" s="6">
        <v>69.0</v>
      </c>
      <c r="P19" s="6">
        <v>69.0</v>
      </c>
      <c r="Q19" s="20">
        <f t="shared" ref="Q19:Q20" si="11">P19/O19</f>
        <v>1</v>
      </c>
      <c r="R19" s="6" t="s">
        <v>327</v>
      </c>
      <c r="S19" s="25">
        <v>10350.0</v>
      </c>
      <c r="T19" s="16" t="b">
        <f>COUNTIF(Parcels!A:A, A19) &gt; 0</f>
        <v>1</v>
      </c>
      <c r="U19" s="16" t="b">
        <f>MAXIFS(Parcels!AC:AC, Parcels!A:A, A19) &gt; 0</f>
        <v>0</v>
      </c>
      <c r="V19" s="17">
        <f>SUMIF(Parcels!A:A,
       A19,
       Parcels!Z:Z)</f>
        <v>8706757</v>
      </c>
      <c r="W19" s="17">
        <f>SUMIF(Parcels!$A:$A,
       $A19,
       Parcels!AC:AC)</f>
        <v>0</v>
      </c>
      <c r="X19" s="26">
        <f t="shared" si="6"/>
        <v>7836081.3</v>
      </c>
      <c r="Y19" s="26">
        <f t="shared" si="7"/>
        <v>7836081.3</v>
      </c>
      <c r="Z19" s="32">
        <f t="array" ref="Z19">_xlfn.XLOOKUP(
  A19,
  Parcels!A:A,
Parcels!AL:AL)</f>
        <v>0.0118738</v>
      </c>
      <c r="AA19" s="26">
        <f t="shared" si="8"/>
        <v>0</v>
      </c>
      <c r="AB19" s="26">
        <f t="shared" si="9"/>
        <v>93044.06214</v>
      </c>
      <c r="AC19" s="15"/>
      <c r="AD19" s="15"/>
      <c r="AF19" s="6">
        <v>2023.0</v>
      </c>
      <c r="AH19" s="41"/>
      <c r="AJ19" s="14">
        <f t="shared" si="1"/>
        <v>41400</v>
      </c>
      <c r="AK19" s="14">
        <f t="shared" si="2"/>
        <v>10350</v>
      </c>
      <c r="AL19" s="19">
        <f t="shared" si="3"/>
        <v>2</v>
      </c>
      <c r="AM19" s="14">
        <f t="shared" si="4"/>
        <v>20700</v>
      </c>
      <c r="AN19" s="19" t="str">
        <f t="array" ref="AN19">_xlfn.xlookup(C19,'SCC Certificate Review'!C:C,'SCC Certificate Review'!F:F)</f>
        <v/>
      </c>
    </row>
    <row r="20">
      <c r="A20" s="16">
        <v>17.0</v>
      </c>
      <c r="B20" s="6" t="s">
        <v>343</v>
      </c>
      <c r="C20" s="6" t="s">
        <v>538</v>
      </c>
      <c r="D20" s="6" t="s">
        <v>114</v>
      </c>
      <c r="E20" s="6" t="s">
        <v>114</v>
      </c>
      <c r="F20" s="6" t="s">
        <v>87</v>
      </c>
      <c r="G20" s="6" t="s">
        <v>192</v>
      </c>
      <c r="H20" s="6" t="s">
        <v>539</v>
      </c>
      <c r="I20" s="21">
        <v>45429.0</v>
      </c>
      <c r="J20" s="37"/>
      <c r="K20" s="6" t="s">
        <v>540</v>
      </c>
      <c r="L20" s="6" t="s">
        <v>541</v>
      </c>
      <c r="M20" s="6" t="s">
        <v>203</v>
      </c>
      <c r="N20" s="6" t="b">
        <v>0</v>
      </c>
      <c r="O20" s="6">
        <v>111.0</v>
      </c>
      <c r="P20" s="6">
        <v>111.0</v>
      </c>
      <c r="Q20" s="20">
        <f t="shared" si="11"/>
        <v>1</v>
      </c>
      <c r="R20" s="6" t="s">
        <v>342</v>
      </c>
      <c r="S20" s="25">
        <v>16650.0</v>
      </c>
      <c r="T20" s="16" t="b">
        <f>COUNTIF(Parcels!A:A, A20) &gt; 0</f>
        <v>1</v>
      </c>
      <c r="U20" s="16" t="b">
        <f>MAXIFS(Parcels!AC:AC, Parcels!A:A, A20) &gt; 0</f>
        <v>1</v>
      </c>
      <c r="V20" s="17">
        <f>SUMIF(Parcels!A:A,
       A20,
       Parcels!Z:Z)</f>
        <v>26914860</v>
      </c>
      <c r="W20" s="17">
        <f>SUMIF(Parcels!$A:$A,
       $A20,
       Parcels!AC:AC)</f>
        <v>26914860</v>
      </c>
      <c r="X20" s="26">
        <f t="shared" si="6"/>
        <v>24223374</v>
      </c>
      <c r="Y20" s="26">
        <f t="shared" si="7"/>
        <v>26914860</v>
      </c>
      <c r="Z20" s="32">
        <f t="array" ref="Z20">_xlfn.XLOOKUP(
  A20,
  Parcels!A:A,
Parcels!AL:AL)</f>
        <v>0.0118738</v>
      </c>
      <c r="AA20" s="26">
        <f t="shared" si="8"/>
        <v>319581.6647</v>
      </c>
      <c r="AB20" s="26">
        <f t="shared" si="9"/>
        <v>319581.6647</v>
      </c>
      <c r="AC20" s="15"/>
      <c r="AD20" s="15"/>
      <c r="AE20" s="6" t="s">
        <v>92</v>
      </c>
      <c r="AF20" s="6">
        <v>2020.0</v>
      </c>
      <c r="AG20" s="16"/>
      <c r="AH20" s="16"/>
      <c r="AI20" s="16"/>
      <c r="AJ20" s="14">
        <f t="shared" si="1"/>
        <v>66600</v>
      </c>
      <c r="AK20" s="14">
        <f t="shared" si="2"/>
        <v>16650</v>
      </c>
      <c r="AL20" s="19">
        <f t="shared" si="3"/>
        <v>2</v>
      </c>
      <c r="AM20" s="14">
        <f t="shared" si="4"/>
        <v>33300</v>
      </c>
      <c r="AN20" s="19" t="b">
        <f t="array" ref="AN20">_xlfn.xlookup(C20,'SCC Certificate Review'!C:C,'SCC Certificate Review'!F:F)</f>
        <v>1</v>
      </c>
    </row>
    <row r="21">
      <c r="A21" s="16">
        <v>16.0</v>
      </c>
      <c r="B21" s="6" t="s">
        <v>556</v>
      </c>
      <c r="C21" s="6" t="s">
        <v>557</v>
      </c>
      <c r="D21" s="6" t="s">
        <v>152</v>
      </c>
      <c r="E21" s="6" t="s">
        <v>138</v>
      </c>
      <c r="F21" s="6" t="s">
        <v>87</v>
      </c>
      <c r="G21" s="6" t="s">
        <v>192</v>
      </c>
      <c r="H21" s="6" t="s">
        <v>558</v>
      </c>
      <c r="I21" s="21">
        <v>45429.0</v>
      </c>
      <c r="J21" s="37"/>
      <c r="K21" s="6" t="s">
        <v>559</v>
      </c>
      <c r="M21" s="6" t="s">
        <v>560</v>
      </c>
      <c r="N21" s="6" t="b">
        <v>0</v>
      </c>
      <c r="O21" s="6">
        <v>169.0</v>
      </c>
      <c r="P21" s="6">
        <v>58.0</v>
      </c>
      <c r="Q21" s="20"/>
      <c r="R21" s="6" t="s">
        <v>561</v>
      </c>
      <c r="S21" s="25">
        <v>8700.0</v>
      </c>
      <c r="T21" s="16" t="b">
        <f>COUNTIF(Parcels!A:A, A21) &gt; 0</f>
        <v>1</v>
      </c>
      <c r="U21" s="16" t="b">
        <f>MAXIFS(Parcels!AC:AC, Parcels!A:A, A21) &gt; 0</f>
        <v>0</v>
      </c>
      <c r="V21" s="17">
        <f>SUMIF(Parcels!A:A,
       A21,
       Parcels!Z:Z)</f>
        <v>1333447</v>
      </c>
      <c r="W21" s="17">
        <f>SUMIF(Parcels!$A:$A,
       $A21,
       Parcels!AC:AC)</f>
        <v>0</v>
      </c>
      <c r="X21" s="26">
        <f t="shared" si="6"/>
        <v>411869.4284</v>
      </c>
      <c r="Y21" s="26">
        <f t="shared" si="7"/>
        <v>411869.4284</v>
      </c>
      <c r="Z21" s="34">
        <f t="array" ref="Z21">_xlfn.XLOOKUP(
  A21,
  Parcels!A:A,
Parcels!AL:AL)</f>
        <v>0.0117033</v>
      </c>
      <c r="AA21" s="26">
        <f t="shared" si="8"/>
        <v>0</v>
      </c>
      <c r="AB21" s="26">
        <f t="shared" si="9"/>
        <v>4820.231481</v>
      </c>
      <c r="AE21" s="6" t="s">
        <v>474</v>
      </c>
      <c r="AI21" s="42"/>
      <c r="AJ21" s="14">
        <f t="shared" si="1"/>
        <v>101400</v>
      </c>
      <c r="AK21" s="14">
        <f t="shared" si="2"/>
        <v>25350</v>
      </c>
      <c r="AL21" s="19">
        <f t="shared" si="3"/>
        <v>0</v>
      </c>
      <c r="AM21" s="14">
        <f t="shared" si="4"/>
        <v>0</v>
      </c>
      <c r="AN21" s="19" t="str">
        <f t="array" ref="AN21">_xlfn.xlookup(C21,'SCC Certificate Review'!C:C,'SCC Certificate Review'!F:F)</f>
        <v/>
      </c>
    </row>
    <row r="22">
      <c r="A22" s="16">
        <v>18.0</v>
      </c>
      <c r="B22" s="6" t="s">
        <v>569</v>
      </c>
      <c r="C22" s="6" t="s">
        <v>570</v>
      </c>
      <c r="D22" s="6" t="s">
        <v>122</v>
      </c>
      <c r="E22" s="6" t="s">
        <v>122</v>
      </c>
      <c r="F22" s="6" t="s">
        <v>87</v>
      </c>
      <c r="G22" s="6" t="s">
        <v>192</v>
      </c>
      <c r="H22" s="6" t="s">
        <v>571</v>
      </c>
      <c r="I22" s="21">
        <v>45450.0</v>
      </c>
      <c r="J22" s="27"/>
      <c r="K22" s="6" t="s">
        <v>573</v>
      </c>
      <c r="L22" s="6" t="s">
        <v>574</v>
      </c>
      <c r="M22" s="6" t="s">
        <v>574</v>
      </c>
      <c r="N22" s="6" t="b">
        <v>0</v>
      </c>
      <c r="O22" s="6">
        <v>103.0</v>
      </c>
      <c r="P22" s="6">
        <v>102.0</v>
      </c>
      <c r="Q22" s="20"/>
      <c r="R22" s="6" t="s">
        <v>575</v>
      </c>
      <c r="S22" s="25">
        <v>15300.0</v>
      </c>
      <c r="T22" s="16" t="b">
        <f>COUNTIF(Parcels!A:A, A22) &gt; 0</f>
        <v>1</v>
      </c>
      <c r="U22" s="16" t="b">
        <f>MAXIFS(Parcels!AC:AC, Parcels!A:A, A22) &gt; 0</f>
        <v>0</v>
      </c>
      <c r="V22" s="17">
        <f>SUMIF(Parcels!A:A,
       A22,
       Parcels!Z:Z)</f>
        <v>32460480</v>
      </c>
      <c r="W22" s="17">
        <f>SUMIF(Parcels!$A:$A,
       $A22,
       Parcels!AC:AC)</f>
        <v>0</v>
      </c>
      <c r="X22" s="26">
        <f t="shared" si="6"/>
        <v>28930796.74</v>
      </c>
      <c r="Y22" s="26">
        <f t="shared" si="7"/>
        <v>28930796.74</v>
      </c>
      <c r="Z22" s="34">
        <f t="array" ref="Z22">_xlfn.XLOOKUP(
  A22,
  Parcels!A:A,
Parcels!AL:AL)</f>
        <v>0.010783</v>
      </c>
      <c r="AA22" s="26">
        <f t="shared" si="8"/>
        <v>0</v>
      </c>
      <c r="AB22" s="26">
        <f t="shared" si="9"/>
        <v>311960.7812</v>
      </c>
      <c r="AF22" s="6">
        <v>2021.0</v>
      </c>
      <c r="AI22" s="42"/>
      <c r="AJ22" s="14">
        <f t="shared" si="1"/>
        <v>61800</v>
      </c>
      <c r="AK22" s="14">
        <f t="shared" si="2"/>
        <v>15450</v>
      </c>
      <c r="AL22" s="19">
        <f t="shared" si="3"/>
        <v>2</v>
      </c>
      <c r="AM22" s="14">
        <f t="shared" si="4"/>
        <v>30900</v>
      </c>
      <c r="AN22" s="19" t="b">
        <f t="array" ref="AN22">_xlfn.xlookup(C22,'SCC Certificate Review'!C:C,'SCC Certificate Review'!F:F)</f>
        <v>1</v>
      </c>
    </row>
    <row r="23">
      <c r="A23" s="16">
        <v>20.0</v>
      </c>
      <c r="B23" s="6" t="s">
        <v>389</v>
      </c>
      <c r="C23" s="6" t="s">
        <v>583</v>
      </c>
      <c r="D23" s="6" t="s">
        <v>114</v>
      </c>
      <c r="E23" s="6" t="s">
        <v>114</v>
      </c>
      <c r="F23" s="6" t="s">
        <v>87</v>
      </c>
      <c r="G23" s="6" t="s">
        <v>192</v>
      </c>
      <c r="H23" s="6" t="s">
        <v>584</v>
      </c>
      <c r="I23" s="21">
        <v>45450.0</v>
      </c>
      <c r="J23" s="27"/>
      <c r="K23" s="6" t="s">
        <v>586</v>
      </c>
      <c r="L23" s="16"/>
      <c r="M23" s="6" t="s">
        <v>587</v>
      </c>
      <c r="N23" s="6" t="b">
        <v>0</v>
      </c>
      <c r="O23" s="6">
        <v>58.0</v>
      </c>
      <c r="P23" s="6">
        <v>58.0</v>
      </c>
      <c r="Q23" s="20">
        <f t="shared" ref="Q23:Q24" si="12">P23/O23</f>
        <v>1</v>
      </c>
      <c r="R23" s="43" t="s">
        <v>388</v>
      </c>
      <c r="S23" s="25">
        <v>8700.0</v>
      </c>
      <c r="T23" s="16" t="b">
        <f>COUNTIF(Parcels!A:A, A23) &gt; 0</f>
        <v>1</v>
      </c>
      <c r="U23" s="16" t="b">
        <f>MAXIFS(Parcels!AC:AC, Parcels!A:A, A23) &gt; 0</f>
        <v>1</v>
      </c>
      <c r="V23" s="17">
        <f>SUMIF(Parcels!A:A,
       A23,
       Parcels!Z:Z)</f>
        <v>17952000</v>
      </c>
      <c r="W23" s="17">
        <f>SUMIF(Parcels!$A:$A,
       $A23,
       Parcels!AC:AC)</f>
        <v>15786989</v>
      </c>
      <c r="X23" s="26">
        <f t="shared" si="6"/>
        <v>16156800</v>
      </c>
      <c r="Y23" s="26">
        <f t="shared" si="7"/>
        <v>15786989</v>
      </c>
      <c r="Z23" s="32">
        <f t="array" ref="Z23">_xlfn.XLOOKUP(
  A23,
  Parcels!A:A,
Parcels!AL:AL)</f>
        <v>0.0118738</v>
      </c>
      <c r="AA23" s="26">
        <f t="shared" si="8"/>
        <v>187451.55</v>
      </c>
      <c r="AB23" s="26">
        <f t="shared" si="9"/>
        <v>187451.55</v>
      </c>
      <c r="AC23" s="15"/>
      <c r="AD23" s="15"/>
      <c r="AE23" s="16"/>
      <c r="AF23" s="16"/>
      <c r="AG23" s="44">
        <v>1.76E7</v>
      </c>
      <c r="AH23" s="42">
        <v>45471.0</v>
      </c>
      <c r="AI23" s="16"/>
      <c r="AJ23" s="14">
        <f t="shared" si="1"/>
        <v>34800</v>
      </c>
      <c r="AK23" s="14">
        <f t="shared" si="2"/>
        <v>8700</v>
      </c>
      <c r="AL23" s="19">
        <f t="shared" si="3"/>
        <v>2</v>
      </c>
      <c r="AM23" s="14">
        <f t="shared" si="4"/>
        <v>17400</v>
      </c>
      <c r="AN23" s="19" t="b">
        <f t="array" ref="AN23">_xlfn.xlookup(C23,'SCC Certificate Review'!C:C,'SCC Certificate Review'!F:F)</f>
        <v>1</v>
      </c>
    </row>
    <row r="24">
      <c r="A24" s="16">
        <v>21.0</v>
      </c>
      <c r="B24" s="6" t="s">
        <v>398</v>
      </c>
      <c r="C24" s="6" t="s">
        <v>583</v>
      </c>
      <c r="D24" s="6" t="s">
        <v>114</v>
      </c>
      <c r="E24" s="6" t="s">
        <v>114</v>
      </c>
      <c r="F24" s="6" t="s">
        <v>87</v>
      </c>
      <c r="G24" s="6" t="s">
        <v>192</v>
      </c>
      <c r="H24" s="6" t="s">
        <v>592</v>
      </c>
      <c r="I24" s="21">
        <v>45450.0</v>
      </c>
      <c r="J24" s="27"/>
      <c r="K24" s="6" t="s">
        <v>586</v>
      </c>
      <c r="L24" s="16"/>
      <c r="M24" s="6" t="s">
        <v>587</v>
      </c>
      <c r="N24" s="6" t="b">
        <v>0</v>
      </c>
      <c r="O24" s="6">
        <v>52.0</v>
      </c>
      <c r="P24" s="6">
        <v>52.0</v>
      </c>
      <c r="Q24" s="20">
        <f t="shared" si="12"/>
        <v>1</v>
      </c>
      <c r="R24" s="45" t="s">
        <v>397</v>
      </c>
      <c r="S24" s="25">
        <v>7800.0</v>
      </c>
      <c r="T24" s="16" t="b">
        <f>COUNTIF(Parcels!A:A, A24) &gt; 0</f>
        <v>1</v>
      </c>
      <c r="U24" s="16" t="b">
        <f>MAXIFS(Parcels!AC:AC, Parcels!A:A, A24) &gt; 0</f>
        <v>1</v>
      </c>
      <c r="V24" s="17">
        <f>SUMIF(Parcels!A:A,
       A24,
       Parcels!Z:Z)</f>
        <v>16626000</v>
      </c>
      <c r="W24" s="17">
        <f>SUMIF(Parcels!$A:$A,
       $A24,
       Parcels!AC:AC)</f>
        <v>16306781</v>
      </c>
      <c r="X24" s="26">
        <f t="shared" si="6"/>
        <v>14963400</v>
      </c>
      <c r="Y24" s="26">
        <f t="shared" si="7"/>
        <v>16306781</v>
      </c>
      <c r="Z24" s="32">
        <f t="array" ref="Z24">_xlfn.XLOOKUP(
  A24,
  Parcels!A:A,
Parcels!AL:AL)</f>
        <v>0.0118738</v>
      </c>
      <c r="AA24" s="26">
        <f t="shared" si="8"/>
        <v>193623.4562</v>
      </c>
      <c r="AB24" s="26">
        <f t="shared" si="9"/>
        <v>193623.4562</v>
      </c>
      <c r="AC24" s="15"/>
      <c r="AD24" s="15"/>
      <c r="AE24" s="16"/>
      <c r="AF24" s="16"/>
      <c r="AG24" s="25">
        <v>1.63E7</v>
      </c>
      <c r="AH24" s="42">
        <v>45456.0</v>
      </c>
      <c r="AI24" s="16"/>
      <c r="AJ24" s="14">
        <f t="shared" si="1"/>
        <v>31200</v>
      </c>
      <c r="AK24" s="14">
        <f t="shared" si="2"/>
        <v>7800</v>
      </c>
      <c r="AL24" s="19">
        <f t="shared" si="3"/>
        <v>2</v>
      </c>
      <c r="AM24" s="14">
        <f t="shared" si="4"/>
        <v>15600</v>
      </c>
      <c r="AN24" s="19" t="b">
        <f t="array" ref="AN24">_xlfn.xlookup(C24,'SCC Certificate Review'!C:C,'SCC Certificate Review'!F:F)</f>
        <v>1</v>
      </c>
    </row>
    <row r="25">
      <c r="A25" s="16">
        <v>19.0</v>
      </c>
      <c r="B25" s="6" t="s">
        <v>617</v>
      </c>
      <c r="C25" s="6" t="s">
        <v>618</v>
      </c>
      <c r="D25" s="6" t="s">
        <v>268</v>
      </c>
      <c r="E25" s="6" t="s">
        <v>119</v>
      </c>
      <c r="F25" s="6" t="s">
        <v>87</v>
      </c>
      <c r="G25" s="6" t="s">
        <v>192</v>
      </c>
      <c r="H25" s="6" t="s">
        <v>621</v>
      </c>
      <c r="I25" s="21">
        <v>45450.0</v>
      </c>
      <c r="J25" s="27"/>
      <c r="K25" s="6" t="s">
        <v>559</v>
      </c>
      <c r="L25" s="6" t="s">
        <v>622</v>
      </c>
      <c r="M25" s="6" t="s">
        <v>560</v>
      </c>
      <c r="N25" s="6" t="b">
        <v>0</v>
      </c>
      <c r="O25" s="6">
        <v>160.0</v>
      </c>
      <c r="P25" s="6">
        <v>160.0</v>
      </c>
      <c r="Q25" s="20"/>
      <c r="R25" s="6" t="s">
        <v>626</v>
      </c>
      <c r="S25" s="25">
        <v>24000.0</v>
      </c>
      <c r="T25" s="16" t="b">
        <f>COUNTIF(Parcels!A:A, A25) &gt; 0</f>
        <v>1</v>
      </c>
      <c r="U25" s="16" t="b">
        <f>MAXIFS(Parcels!AC:AC, Parcels!A:A, A25) &gt; 0</f>
        <v>0</v>
      </c>
      <c r="V25" s="17">
        <f>SUMIF(Parcels!A:A,
       A25,
       Parcels!Z:Z)</f>
        <v>40750000</v>
      </c>
      <c r="W25" s="17">
        <f>SUMIF(Parcels!$A:$A,
       $A25,
       Parcels!AC:AC)</f>
        <v>0</v>
      </c>
      <c r="X25" s="26">
        <f t="shared" si="6"/>
        <v>36675000</v>
      </c>
      <c r="Y25" s="26">
        <f t="shared" si="7"/>
        <v>36675000</v>
      </c>
      <c r="Z25" s="34">
        <f t="array" ref="Z25">_xlfn.XLOOKUP(
  A25,
  Parcels!A:A,
Parcels!AL:AL)</f>
        <v>0.011195</v>
      </c>
      <c r="AA25" s="26">
        <f t="shared" si="8"/>
        <v>0</v>
      </c>
      <c r="AB25" s="26">
        <f t="shared" si="9"/>
        <v>410576.625</v>
      </c>
      <c r="AF25" s="6">
        <v>1969.0</v>
      </c>
      <c r="AJ25" s="14">
        <f t="shared" si="1"/>
        <v>96000</v>
      </c>
      <c r="AK25" s="14">
        <f t="shared" si="2"/>
        <v>24000</v>
      </c>
      <c r="AL25" s="19">
        <f t="shared" si="3"/>
        <v>2</v>
      </c>
      <c r="AM25" s="14">
        <f t="shared" si="4"/>
        <v>48000</v>
      </c>
      <c r="AN25" s="19" t="b">
        <f t="array" ref="AN25">_xlfn.xlookup(C25,'SCC Certificate Review'!C:C,'SCC Certificate Review'!F:F)</f>
        <v>1</v>
      </c>
    </row>
    <row r="26">
      <c r="A26" s="16">
        <v>22.0</v>
      </c>
      <c r="B26" s="6" t="s">
        <v>406</v>
      </c>
      <c r="C26" s="6" t="s">
        <v>640</v>
      </c>
      <c r="D26" s="6" t="s">
        <v>641</v>
      </c>
      <c r="E26" s="6" t="s">
        <v>114</v>
      </c>
      <c r="F26" s="6" t="s">
        <v>87</v>
      </c>
      <c r="G26" s="6" t="s">
        <v>192</v>
      </c>
      <c r="H26" s="6" t="s">
        <v>642</v>
      </c>
      <c r="I26" s="21">
        <v>45450.0</v>
      </c>
      <c r="J26" s="27"/>
      <c r="K26" s="6" t="s">
        <v>586</v>
      </c>
      <c r="L26" s="16"/>
      <c r="M26" s="6" t="s">
        <v>587</v>
      </c>
      <c r="N26" s="6" t="b">
        <v>0</v>
      </c>
      <c r="O26" s="6">
        <v>225.0</v>
      </c>
      <c r="P26" s="6">
        <v>225.0</v>
      </c>
      <c r="Q26" s="20">
        <f t="shared" ref="Q26:Q29" si="13">P26/O26</f>
        <v>1</v>
      </c>
      <c r="R26" s="6" t="s">
        <v>405</v>
      </c>
      <c r="S26" s="25">
        <v>33750.0</v>
      </c>
      <c r="T26" s="16" t="b">
        <f>COUNTIF(Parcels!A:A, A26) &gt; 0</f>
        <v>1</v>
      </c>
      <c r="U26" s="16" t="b">
        <f>MAXIFS(Parcels!AC:AC, Parcels!A:A, A26) &gt; 0</f>
        <v>1</v>
      </c>
      <c r="V26" s="17">
        <f>SUMIF(Parcels!A:A,
       A26,
       Parcels!Z:Z)</f>
        <v>34425000</v>
      </c>
      <c r="W26" s="17">
        <f>SUMIF(Parcels!$A:$A,
       $A26,
       Parcels!AC:AC)</f>
        <v>31825913</v>
      </c>
      <c r="X26" s="26">
        <f t="shared" si="6"/>
        <v>30982500</v>
      </c>
      <c r="Y26" s="26">
        <f t="shared" si="7"/>
        <v>31825913</v>
      </c>
      <c r="Z26" s="32">
        <f t="array" ref="Z26">_xlfn.XLOOKUP(
  A26,
  Parcels!A:A,
Parcels!AL:AL)</f>
        <v>0.01385148</v>
      </c>
      <c r="AA26" s="26">
        <f t="shared" si="8"/>
        <v>440835.9974</v>
      </c>
      <c r="AB26" s="26">
        <f t="shared" si="9"/>
        <v>440835.9974</v>
      </c>
      <c r="AC26" s="15"/>
      <c r="AD26" s="15"/>
      <c r="AE26" s="16"/>
      <c r="AF26" s="6">
        <v>1989.0</v>
      </c>
      <c r="AG26" s="46"/>
      <c r="AH26" s="16"/>
      <c r="AI26" s="16"/>
      <c r="AJ26" s="14">
        <f t="shared" si="1"/>
        <v>135000</v>
      </c>
      <c r="AK26" s="14">
        <f t="shared" si="2"/>
        <v>33750</v>
      </c>
      <c r="AL26" s="19">
        <f t="shared" si="3"/>
        <v>2</v>
      </c>
      <c r="AM26" s="14">
        <f t="shared" si="4"/>
        <v>67500</v>
      </c>
      <c r="AN26" s="19" t="b">
        <f t="array" ref="AN26">_xlfn.xlookup(C26,'SCC Certificate Review'!C:C,'SCC Certificate Review'!F:F)</f>
        <v>1</v>
      </c>
    </row>
    <row r="27">
      <c r="A27" s="16">
        <v>23.0</v>
      </c>
      <c r="B27" s="6" t="s">
        <v>417</v>
      </c>
      <c r="C27" s="6" t="s">
        <v>650</v>
      </c>
      <c r="D27" s="6" t="s">
        <v>114</v>
      </c>
      <c r="E27" s="6" t="s">
        <v>114</v>
      </c>
      <c r="F27" s="6" t="s">
        <v>87</v>
      </c>
      <c r="G27" s="6" t="s">
        <v>192</v>
      </c>
      <c r="H27" s="6" t="s">
        <v>651</v>
      </c>
      <c r="I27" s="21">
        <v>45492.0</v>
      </c>
      <c r="J27" s="38" t="b">
        <v>1</v>
      </c>
      <c r="K27" s="6" t="s">
        <v>653</v>
      </c>
      <c r="M27" s="6" t="s">
        <v>654</v>
      </c>
      <c r="N27" s="6" t="b">
        <v>0</v>
      </c>
      <c r="O27" s="6">
        <v>74.0</v>
      </c>
      <c r="P27" s="6">
        <v>74.0</v>
      </c>
      <c r="Q27" s="20">
        <f t="shared" si="13"/>
        <v>1</v>
      </c>
      <c r="R27" s="6" t="s">
        <v>416</v>
      </c>
      <c r="S27" s="25">
        <v>11100.0</v>
      </c>
      <c r="T27" s="16" t="b">
        <f>COUNTIF(Parcels!A:A, A27) &gt; 0</f>
        <v>1</v>
      </c>
      <c r="U27" s="16" t="b">
        <f>MAXIFS(Parcels!AC:AC, Parcels!A:A, A27) &gt; 0</f>
        <v>0</v>
      </c>
      <c r="V27" s="17">
        <f>SUMIF(Parcels!A:A,
       A27,
       Parcels!Z:Z)</f>
        <v>8899678</v>
      </c>
      <c r="W27" s="17">
        <f>SUMIF(Parcels!$A:$A,
       $A27,
       Parcels!AC:AC)</f>
        <v>0</v>
      </c>
      <c r="X27" s="26">
        <f t="shared" si="6"/>
        <v>8009710.2</v>
      </c>
      <c r="Y27" s="26">
        <f t="shared" si="7"/>
        <v>8009710.2</v>
      </c>
      <c r="Z27" s="32">
        <f t="array" ref="Z27">_xlfn.XLOOKUP(
  A27,
  Parcels!A:A,
Parcels!AL:AL)</f>
        <v>0.0118738</v>
      </c>
      <c r="AA27" s="26">
        <f t="shared" si="8"/>
        <v>0</v>
      </c>
      <c r="AB27" s="26">
        <f t="shared" si="9"/>
        <v>95105.69697</v>
      </c>
      <c r="AC27" s="15"/>
      <c r="AD27" s="15"/>
      <c r="AE27" s="6" t="s">
        <v>474</v>
      </c>
      <c r="AJ27" s="14">
        <f t="shared" si="1"/>
        <v>44400</v>
      </c>
      <c r="AK27" s="14">
        <f t="shared" si="2"/>
        <v>11100</v>
      </c>
      <c r="AL27" s="19">
        <f t="shared" si="3"/>
        <v>0</v>
      </c>
      <c r="AM27" s="14">
        <f t="shared" si="4"/>
        <v>0</v>
      </c>
      <c r="AN27" s="19" t="str">
        <f t="array" ref="AN27">_xlfn.xlookup(C27,'SCC Certificate Review'!C:C,'SCC Certificate Review'!F:F)</f>
        <v/>
      </c>
    </row>
    <row r="28">
      <c r="A28" s="16">
        <v>24.0</v>
      </c>
      <c r="B28" s="6" t="s">
        <v>425</v>
      </c>
      <c r="C28" s="6" t="s">
        <v>662</v>
      </c>
      <c r="D28" s="6" t="s">
        <v>114</v>
      </c>
      <c r="E28" s="6" t="s">
        <v>114</v>
      </c>
      <c r="F28" s="6" t="s">
        <v>87</v>
      </c>
      <c r="G28" s="6" t="s">
        <v>192</v>
      </c>
      <c r="H28" s="6" t="s">
        <v>663</v>
      </c>
      <c r="I28" s="21">
        <v>45492.0</v>
      </c>
      <c r="J28" s="27"/>
      <c r="K28" s="6" t="s">
        <v>445</v>
      </c>
      <c r="L28" s="16"/>
      <c r="M28" s="6" t="s">
        <v>90</v>
      </c>
      <c r="N28" s="6" t="b">
        <v>0</v>
      </c>
      <c r="O28" s="6">
        <v>25.0</v>
      </c>
      <c r="P28" s="6">
        <v>24.0</v>
      </c>
      <c r="Q28" s="20">
        <f t="shared" si="13"/>
        <v>0.96</v>
      </c>
      <c r="R28" s="6" t="s">
        <v>424</v>
      </c>
      <c r="S28" s="25">
        <v>3600.0</v>
      </c>
      <c r="T28" s="16" t="b">
        <f>COUNTIF(Parcels!A:A, A28) &gt; 0</f>
        <v>1</v>
      </c>
      <c r="U28" s="16" t="b">
        <f>MAXIFS(Parcels!AC:AC, Parcels!A:A, A28) &gt; 0</f>
        <v>1</v>
      </c>
      <c r="V28" s="17">
        <f>SUMIF(Parcels!A:A,
       A28,
       Parcels!Z:Z)</f>
        <v>10924200</v>
      </c>
      <c r="W28" s="17">
        <f>SUMIF(Parcels!$A:$A,
       $A28,
       Parcels!AC:AC)</f>
        <v>10903361</v>
      </c>
      <c r="X28" s="26">
        <f t="shared" si="6"/>
        <v>9438508.8</v>
      </c>
      <c r="Y28" s="26">
        <f t="shared" si="7"/>
        <v>10903361</v>
      </c>
      <c r="Z28" s="32">
        <f t="array" ref="Z28">_xlfn.XLOOKUP(
  A28,
  Parcels!A:A,
Parcels!AL:AL)</f>
        <v>0.0118738</v>
      </c>
      <c r="AA28" s="26">
        <f t="shared" si="8"/>
        <v>129464.3278</v>
      </c>
      <c r="AB28" s="26">
        <f t="shared" si="9"/>
        <v>129464.3278</v>
      </c>
      <c r="AC28" s="15"/>
      <c r="AD28" s="15"/>
      <c r="AE28" s="16"/>
      <c r="AF28" s="16"/>
      <c r="AG28" s="16"/>
      <c r="AH28" s="16"/>
      <c r="AI28" s="42"/>
      <c r="AJ28" s="14">
        <f t="shared" si="1"/>
        <v>15000</v>
      </c>
      <c r="AK28" s="14">
        <f t="shared" si="2"/>
        <v>4000</v>
      </c>
      <c r="AL28" s="19">
        <f t="shared" si="3"/>
        <v>1</v>
      </c>
      <c r="AM28" s="14">
        <f t="shared" si="4"/>
        <v>4000</v>
      </c>
      <c r="AN28" s="19" t="b">
        <f t="array" ref="AN28">_xlfn.xlookup(C28,'SCC Certificate Review'!C:C,'SCC Certificate Review'!F:F)</f>
        <v>1</v>
      </c>
    </row>
    <row r="29">
      <c r="A29" s="16">
        <v>25.0</v>
      </c>
      <c r="B29" s="6" t="s">
        <v>435</v>
      </c>
      <c r="C29" s="6" t="s">
        <v>669</v>
      </c>
      <c r="D29" s="6" t="s">
        <v>114</v>
      </c>
      <c r="E29" s="6" t="s">
        <v>114</v>
      </c>
      <c r="F29" s="6" t="s">
        <v>87</v>
      </c>
      <c r="G29" s="6"/>
      <c r="H29" s="6" t="s">
        <v>670</v>
      </c>
      <c r="I29" s="21">
        <v>45492.0</v>
      </c>
      <c r="J29" s="27"/>
      <c r="K29" s="6" t="s">
        <v>445</v>
      </c>
      <c r="L29" s="16"/>
      <c r="M29" s="6" t="s">
        <v>90</v>
      </c>
      <c r="N29" s="6" t="b">
        <v>0</v>
      </c>
      <c r="O29" s="6">
        <v>29.0</v>
      </c>
      <c r="P29" s="6">
        <v>28.0</v>
      </c>
      <c r="Q29" s="20">
        <f t="shared" si="13"/>
        <v>0.9655172414</v>
      </c>
      <c r="R29" s="6" t="s">
        <v>434</v>
      </c>
      <c r="S29" s="25">
        <v>4200.0</v>
      </c>
      <c r="T29" s="16" t="b">
        <f>COUNTIF(Parcels!A:A, A29) &gt; 0</f>
        <v>1</v>
      </c>
      <c r="U29" s="16" t="b">
        <f>MAXIFS(Parcels!AC:AC, Parcels!A:A, A29) &gt; 0</f>
        <v>1</v>
      </c>
      <c r="V29" s="17">
        <f>SUMIF(Parcels!A:A,
       A29,
       Parcels!Z:Z)</f>
        <v>12796920</v>
      </c>
      <c r="W29" s="17">
        <f>SUMIF(Parcels!$A:$A,
       $A29,
       Parcels!AC:AC)</f>
        <v>12776081</v>
      </c>
      <c r="X29" s="26">
        <f t="shared" si="6"/>
        <v>11120082.21</v>
      </c>
      <c r="Y29" s="26">
        <f t="shared" si="7"/>
        <v>12776081</v>
      </c>
      <c r="Z29" s="32">
        <f t="array" ref="Z29">_xlfn.XLOOKUP(
  A29,
  Parcels!A:A,
Parcels!AL:AL)</f>
        <v>0.0118738</v>
      </c>
      <c r="AA29" s="26">
        <f t="shared" si="8"/>
        <v>151700.6306</v>
      </c>
      <c r="AB29" s="26">
        <f t="shared" si="9"/>
        <v>151700.6306</v>
      </c>
      <c r="AC29" s="15"/>
      <c r="AD29" s="15"/>
      <c r="AE29" s="16"/>
      <c r="AF29" s="16"/>
      <c r="AG29" s="16"/>
      <c r="AH29" s="16"/>
      <c r="AI29" s="16"/>
      <c r="AJ29" s="14">
        <f t="shared" si="1"/>
        <v>17400</v>
      </c>
      <c r="AK29" s="14">
        <f t="shared" si="2"/>
        <v>4350</v>
      </c>
      <c r="AL29" s="19">
        <f t="shared" si="3"/>
        <v>1</v>
      </c>
      <c r="AM29" s="14">
        <f t="shared" si="4"/>
        <v>4350</v>
      </c>
      <c r="AN29" s="19" t="b">
        <f t="array" ref="AN29">_xlfn.xlookup(C29,'SCC Certificate Review'!C:C,'SCC Certificate Review'!F:F)</f>
        <v>1</v>
      </c>
    </row>
    <row r="30">
      <c r="A30" s="16">
        <v>34.0</v>
      </c>
      <c r="B30" s="6" t="s">
        <v>679</v>
      </c>
      <c r="C30" s="6" t="s">
        <v>680</v>
      </c>
      <c r="D30" s="6" t="s">
        <v>366</v>
      </c>
      <c r="E30" s="6" t="s">
        <v>111</v>
      </c>
      <c r="F30" s="6" t="s">
        <v>87</v>
      </c>
      <c r="G30" s="6" t="s">
        <v>192</v>
      </c>
      <c r="H30" s="6" t="s">
        <v>681</v>
      </c>
      <c r="I30" s="21">
        <v>45513.0</v>
      </c>
      <c r="J30" s="27"/>
      <c r="K30" s="6" t="s">
        <v>682</v>
      </c>
      <c r="M30" s="6" t="s">
        <v>90</v>
      </c>
      <c r="N30" s="6" t="b">
        <v>0</v>
      </c>
      <c r="O30" s="6">
        <v>41.0</v>
      </c>
      <c r="P30" s="6">
        <v>41.0</v>
      </c>
      <c r="Q30" s="20"/>
      <c r="R30" s="6" t="s">
        <v>683</v>
      </c>
      <c r="S30" s="25">
        <v>6150.0</v>
      </c>
      <c r="T30" s="16" t="b">
        <f>COUNTIF(Parcels!A:A, A30) &gt; 0</f>
        <v>1</v>
      </c>
      <c r="U30" s="16" t="b">
        <f>MAXIFS(Parcels!AC:AC, Parcels!A:A, A30) &gt; 0</f>
        <v>0</v>
      </c>
      <c r="V30" s="17">
        <f>SUMIF(Parcels!A:A,
       A30,
       Parcels!Z:Z)</f>
        <v>9977564</v>
      </c>
      <c r="W30" s="17">
        <f>SUMIF(Parcels!$A:$A,
       $A30,
       Parcels!AC:AC)</f>
        <v>0</v>
      </c>
      <c r="X30" s="26">
        <f t="shared" si="6"/>
        <v>8979807.6</v>
      </c>
      <c r="Y30" s="26">
        <f t="shared" si="7"/>
        <v>8979807.6</v>
      </c>
      <c r="Z30" s="34">
        <f t="array" ref="Z30">_xlfn.XLOOKUP(
  A30,
  Parcels!A:A,
Parcels!AL:AL)</f>
        <v>0.012792</v>
      </c>
      <c r="AA30" s="26">
        <f t="shared" si="8"/>
        <v>0</v>
      </c>
      <c r="AB30" s="26">
        <f t="shared" si="9"/>
        <v>114869.6988</v>
      </c>
      <c r="AJ30" s="14">
        <f t="shared" si="1"/>
        <v>24600</v>
      </c>
      <c r="AK30" s="14">
        <f t="shared" si="2"/>
        <v>6150</v>
      </c>
      <c r="AL30" s="19">
        <f t="shared" si="3"/>
        <v>1</v>
      </c>
      <c r="AM30" s="14">
        <f t="shared" si="4"/>
        <v>6150</v>
      </c>
      <c r="AN30" s="19" t="b">
        <f t="array" ref="AN30">_xlfn.xlookup(C30,'SCC Certificate Review'!C:C,'SCC Certificate Review'!F:F)</f>
        <v>1</v>
      </c>
    </row>
    <row r="31">
      <c r="A31" s="16">
        <v>35.0</v>
      </c>
      <c r="B31" s="6" t="s">
        <v>692</v>
      </c>
      <c r="C31" s="6" t="s">
        <v>693</v>
      </c>
      <c r="D31" s="6" t="s">
        <v>694</v>
      </c>
      <c r="E31" s="6" t="s">
        <v>120</v>
      </c>
      <c r="F31" s="6" t="s">
        <v>87</v>
      </c>
      <c r="G31" s="6" t="s">
        <v>192</v>
      </c>
      <c r="H31" s="6" t="s">
        <v>695</v>
      </c>
      <c r="I31" s="21">
        <v>45513.0</v>
      </c>
      <c r="J31" s="27"/>
      <c r="K31" s="6" t="s">
        <v>682</v>
      </c>
      <c r="L31" s="16"/>
      <c r="M31" s="6" t="s">
        <v>90</v>
      </c>
      <c r="N31" s="6" t="b">
        <v>0</v>
      </c>
      <c r="O31" s="6">
        <v>104.0</v>
      </c>
      <c r="P31" s="6">
        <v>104.0</v>
      </c>
      <c r="Q31" s="20"/>
      <c r="R31" s="6" t="s">
        <v>696</v>
      </c>
      <c r="S31" s="25">
        <v>15600.0</v>
      </c>
      <c r="T31" s="16" t="b">
        <f>COUNTIF(Parcels!A:A, A31) &gt; 0</f>
        <v>1</v>
      </c>
      <c r="U31" s="16" t="b">
        <f>MAXIFS(Parcels!AC:AC, Parcels!A:A, A31) &gt; 0</f>
        <v>1</v>
      </c>
      <c r="V31" s="17">
        <f>SUMIF(Parcels!A:A,
       A31,
       Parcels!Z:Z)</f>
        <v>25646900</v>
      </c>
      <c r="W31" s="17">
        <f>SUMIF(Parcels!$A:$A,
       $A31,
       Parcels!AC:AC)</f>
        <v>23179668</v>
      </c>
      <c r="X31" s="26">
        <f t="shared" si="6"/>
        <v>23082210</v>
      </c>
      <c r="Y31" s="26">
        <f t="shared" si="7"/>
        <v>23179668</v>
      </c>
      <c r="Z31" s="34">
        <f t="array" ref="Z31">_xlfn.XLOOKUP(
  A31,
  Parcels!A:A,
Parcels!AL:AL)</f>
        <v>0.011785</v>
      </c>
      <c r="AA31" s="26">
        <f t="shared" si="8"/>
        <v>273172.3874</v>
      </c>
      <c r="AB31" s="26">
        <f t="shared" si="9"/>
        <v>273172.3874</v>
      </c>
      <c r="AC31" s="16"/>
      <c r="AD31" s="16"/>
      <c r="AE31" s="16"/>
      <c r="AF31" s="16"/>
      <c r="AG31" s="16"/>
      <c r="AH31" s="16"/>
      <c r="AI31" s="16"/>
      <c r="AJ31" s="14">
        <f t="shared" si="1"/>
        <v>62400</v>
      </c>
      <c r="AK31" s="14">
        <f t="shared" si="2"/>
        <v>15600</v>
      </c>
      <c r="AL31" s="19">
        <f t="shared" si="3"/>
        <v>1</v>
      </c>
      <c r="AM31" s="14">
        <f t="shared" si="4"/>
        <v>15600</v>
      </c>
      <c r="AN31" s="19" t="b">
        <f t="array" ref="AN31">_xlfn.xlookup(C31,'SCC Certificate Review'!C:C,'SCC Certificate Review'!F:F)</f>
        <v>1</v>
      </c>
    </row>
    <row r="32" ht="16.5" customHeight="1">
      <c r="A32" s="16">
        <v>33.0</v>
      </c>
      <c r="B32" s="6" t="s">
        <v>533</v>
      </c>
      <c r="C32" s="6" t="s">
        <v>701</v>
      </c>
      <c r="D32" s="6" t="s">
        <v>114</v>
      </c>
      <c r="E32" s="6" t="s">
        <v>114</v>
      </c>
      <c r="F32" s="6" t="s">
        <v>87</v>
      </c>
      <c r="G32" s="6" t="s">
        <v>192</v>
      </c>
      <c r="H32" s="6" t="s">
        <v>702</v>
      </c>
      <c r="I32" s="21">
        <v>45513.0</v>
      </c>
      <c r="J32" s="27"/>
      <c r="K32" s="6" t="s">
        <v>445</v>
      </c>
      <c r="M32" s="6" t="s">
        <v>90</v>
      </c>
      <c r="N32" s="6" t="b">
        <v>1</v>
      </c>
      <c r="O32" s="6">
        <v>79.0</v>
      </c>
      <c r="P32" s="6">
        <v>48.0</v>
      </c>
      <c r="Q32" s="20">
        <f t="shared" ref="Q32:Q46" si="14">P32/O32</f>
        <v>0.6075949367</v>
      </c>
      <c r="R32" s="6" t="s">
        <v>532</v>
      </c>
      <c r="S32" s="25">
        <v>11850.0</v>
      </c>
      <c r="T32" s="16" t="b">
        <f>COUNTIF(Parcels!A:A, A32) &gt; 0</f>
        <v>1</v>
      </c>
      <c r="U32" s="16" t="b">
        <f>MAXIFS(Parcels!AC:AC, Parcels!A:A, A32) &gt; 0</f>
        <v>0</v>
      </c>
      <c r="V32" s="17">
        <f>SUMIF(Parcels!A:A,
       A32,
       Parcels!Z:Z)</f>
        <v>0</v>
      </c>
      <c r="W32" s="17">
        <f>SUMIF(Parcels!$A:$A,
       $A32,
       Parcels!AC:AC)</f>
        <v>0</v>
      </c>
      <c r="X32" s="26">
        <f t="shared" si="6"/>
        <v>0</v>
      </c>
      <c r="Y32" s="26">
        <f t="shared" si="7"/>
        <v>0</v>
      </c>
      <c r="Z32" s="32">
        <f t="array" ref="Z32">_xlfn.XLOOKUP(
  A32,
  Parcels!A:A,
Parcels!AL:AL)</f>
        <v>0.0118738</v>
      </c>
      <c r="AA32" s="26">
        <f t="shared" si="8"/>
        <v>0</v>
      </c>
      <c r="AB32" s="26">
        <f t="shared" si="9"/>
        <v>0</v>
      </c>
      <c r="AC32" s="15"/>
      <c r="AD32" s="15"/>
      <c r="AE32" s="6" t="s">
        <v>474</v>
      </c>
      <c r="AI32" s="47"/>
      <c r="AJ32" s="14">
        <f t="shared" si="1"/>
        <v>47400</v>
      </c>
      <c r="AK32" s="14">
        <f t="shared" si="2"/>
        <v>11850</v>
      </c>
      <c r="AL32" s="19">
        <f t="shared" si="3"/>
        <v>0</v>
      </c>
      <c r="AM32" s="14">
        <f t="shared" si="4"/>
        <v>0</v>
      </c>
      <c r="AN32" s="19" t="str">
        <f t="array" ref="AN32">_xlfn.xlookup(C32,'SCC Certificate Review'!C:C,'SCC Certificate Review'!F:F)</f>
        <v/>
      </c>
    </row>
    <row r="33">
      <c r="A33" s="16">
        <v>27.0</v>
      </c>
      <c r="B33" s="6" t="s">
        <v>452</v>
      </c>
      <c r="C33" s="6" t="s">
        <v>716</v>
      </c>
      <c r="D33" s="6" t="s">
        <v>717</v>
      </c>
      <c r="E33" s="6" t="s">
        <v>114</v>
      </c>
      <c r="F33" s="6" t="s">
        <v>87</v>
      </c>
      <c r="G33" s="6" t="s">
        <v>192</v>
      </c>
      <c r="H33" s="6" t="s">
        <v>718</v>
      </c>
      <c r="I33" s="21">
        <v>45513.0</v>
      </c>
      <c r="J33" s="27"/>
      <c r="K33" s="6" t="s">
        <v>719</v>
      </c>
      <c r="L33" s="16"/>
      <c r="M33" s="6" t="s">
        <v>203</v>
      </c>
      <c r="N33" s="6" t="b">
        <v>0</v>
      </c>
      <c r="O33" s="16">
        <f>28+24</f>
        <v>52</v>
      </c>
      <c r="P33" s="6">
        <v>32.0</v>
      </c>
      <c r="Q33" s="20">
        <f t="shared" si="14"/>
        <v>0.6153846154</v>
      </c>
      <c r="R33" s="6" t="s">
        <v>451</v>
      </c>
      <c r="S33" s="25">
        <v>4800.0</v>
      </c>
      <c r="T33" s="16" t="b">
        <f>COUNTIF(Parcels!A:A, A33) &gt; 0</f>
        <v>1</v>
      </c>
      <c r="U33" s="16" t="b">
        <f>MAXIFS(Parcels!AC:AC, Parcels!A:A, A33) &gt; 0</f>
        <v>1</v>
      </c>
      <c r="V33" s="17">
        <f>SUMIF(Parcels!A:A,
       A33,
       Parcels!Z:Z)</f>
        <v>17170000</v>
      </c>
      <c r="W33" s="17">
        <f>SUMIF(Parcels!$A:$A,
       $A33,
       Parcels!AC:AC)</f>
        <v>4062807</v>
      </c>
      <c r="X33" s="26">
        <f t="shared" si="6"/>
        <v>9509538.462</v>
      </c>
      <c r="Y33" s="26">
        <f t="shared" si="7"/>
        <v>4062807</v>
      </c>
      <c r="Z33" s="32">
        <f t="array" ref="Z33">_xlfn.XLOOKUP(
  A33,
  Parcels!A:A,
Parcels!AL:AL)</f>
        <v>0.01203757</v>
      </c>
      <c r="AA33" s="26">
        <f t="shared" si="8"/>
        <v>48906.32366</v>
      </c>
      <c r="AB33" s="26">
        <f t="shared" si="9"/>
        <v>48906.32366</v>
      </c>
      <c r="AC33" s="51" t="s">
        <v>728</v>
      </c>
      <c r="AD33" s="15"/>
      <c r="AE33" s="6" t="s">
        <v>92</v>
      </c>
      <c r="AF33" s="6">
        <v>1997.0</v>
      </c>
      <c r="AG33" s="25">
        <v>1.717E7</v>
      </c>
      <c r="AH33" s="42">
        <v>45547.0</v>
      </c>
      <c r="AI33" s="16"/>
      <c r="AJ33" s="14">
        <f t="shared" si="1"/>
        <v>31200</v>
      </c>
      <c r="AK33" s="14">
        <f t="shared" si="2"/>
        <v>7800</v>
      </c>
      <c r="AL33" s="19">
        <f t="shared" si="3"/>
        <v>1</v>
      </c>
      <c r="AM33" s="14">
        <f t="shared" si="4"/>
        <v>7800</v>
      </c>
      <c r="AN33" s="19" t="b">
        <f t="array" ref="AN33">_xlfn.xlookup(C33,'SCC Certificate Review'!C:C,'SCC Certificate Review'!F:F)</f>
        <v>1</v>
      </c>
    </row>
    <row r="34">
      <c r="A34" s="16">
        <v>28.0</v>
      </c>
      <c r="B34" s="6" t="s">
        <v>471</v>
      </c>
      <c r="C34" s="6" t="s">
        <v>739</v>
      </c>
      <c r="D34" s="6" t="s">
        <v>717</v>
      </c>
      <c r="E34" s="6" t="s">
        <v>114</v>
      </c>
      <c r="F34" s="6" t="s">
        <v>87</v>
      </c>
      <c r="G34" s="6" t="s">
        <v>192</v>
      </c>
      <c r="H34" s="6" t="s">
        <v>742</v>
      </c>
      <c r="I34" s="21">
        <v>45513.0</v>
      </c>
      <c r="J34" s="27"/>
      <c r="K34" s="6" t="s">
        <v>719</v>
      </c>
      <c r="L34" s="16"/>
      <c r="M34" s="6" t="s">
        <v>203</v>
      </c>
      <c r="N34" s="6" t="b">
        <v>0</v>
      </c>
      <c r="O34" s="16">
        <f>28+2*22</f>
        <v>72</v>
      </c>
      <c r="P34" s="6">
        <v>49.0</v>
      </c>
      <c r="Q34" s="20">
        <f t="shared" si="14"/>
        <v>0.6805555556</v>
      </c>
      <c r="R34" s="6" t="s">
        <v>470</v>
      </c>
      <c r="S34" s="25">
        <v>7350.0</v>
      </c>
      <c r="T34" s="16" t="b">
        <f>COUNTIF(Parcels!A:A, A34) &gt; 0</f>
        <v>1</v>
      </c>
      <c r="U34" s="16" t="b">
        <f>MAXIFS(Parcels!AC:AC, Parcels!A:A, A34) &gt; 0</f>
        <v>1</v>
      </c>
      <c r="V34" s="17">
        <f>SUMIF(Parcels!A:A,
       A34,
       Parcels!Z:Z)</f>
        <v>23070000</v>
      </c>
      <c r="W34" s="17">
        <f>SUMIF(Parcels!$A:$A,
       $A34,
       Parcels!AC:AC)</f>
        <v>10578326</v>
      </c>
      <c r="X34" s="26">
        <f t="shared" si="6"/>
        <v>14130375</v>
      </c>
      <c r="Y34" s="26">
        <f t="shared" si="7"/>
        <v>10578326</v>
      </c>
      <c r="Z34" s="32">
        <f t="array" ref="Z34">_xlfn.XLOOKUP(
  A34,
  Parcels!A:A,
Parcels!AL:AL)</f>
        <v>0.01203757</v>
      </c>
      <c r="AA34" s="26">
        <f t="shared" si="8"/>
        <v>127337.3397</v>
      </c>
      <c r="AB34" s="26">
        <f t="shared" si="9"/>
        <v>127337.3397</v>
      </c>
      <c r="AC34" s="15"/>
      <c r="AD34" s="15"/>
      <c r="AE34" s="16"/>
      <c r="AF34" s="16"/>
      <c r="AG34" s="16"/>
      <c r="AH34" s="16"/>
      <c r="AI34" s="16"/>
      <c r="AJ34" s="14">
        <f>if(F34="CMFA", if(O34&lt;16,10000,O34*600),"-")</f>
        <v>43200</v>
      </c>
      <c r="AK34" s="14">
        <f>if(F34="CMFA", if(O34&lt;26,4000,O34*150),"-")</f>
        <v>10800</v>
      </c>
      <c r="AL34" s="19">
        <f>IF(AND(I34&gt;=DATE(2022,7,1),I34&lt;=DATE(2023,6,30)),3,IF(AND(I34&gt;=DATE(2023,7,1),I34&lt;=DATE(2024,6,30)),2,IF(AND(I34&gt;=DATE(2024,7,1),I34&lt;=DATE(2025,6,30)),1,IF(AND(I34&gt;=DATE(2025,7,1),I34&lt;=DATE(2026,6,30)),0,"-"))))</f>
        <v>1</v>
      </c>
      <c r="AM34" s="14">
        <f t="shared" si="4"/>
        <v>10800</v>
      </c>
      <c r="AN34" s="19" t="b">
        <f t="array" ref="AN34">_xlfn.xlookup(C34,'SCC Certificate Review'!C:C,'SCC Certificate Review'!F:F)</f>
        <v>1</v>
      </c>
    </row>
    <row r="35">
      <c r="A35" s="16">
        <v>29.0</v>
      </c>
      <c r="B35" s="6" t="s">
        <v>493</v>
      </c>
      <c r="C35" s="6" t="s">
        <v>771</v>
      </c>
      <c r="D35" s="6" t="s">
        <v>717</v>
      </c>
      <c r="E35" s="6" t="s">
        <v>114</v>
      </c>
      <c r="F35" s="6" t="s">
        <v>87</v>
      </c>
      <c r="G35" s="6" t="s">
        <v>192</v>
      </c>
      <c r="H35" s="6" t="s">
        <v>772</v>
      </c>
      <c r="I35" s="21">
        <v>45513.0</v>
      </c>
      <c r="J35" s="27"/>
      <c r="K35" s="6" t="s">
        <v>719</v>
      </c>
      <c r="L35" s="16"/>
      <c r="M35" s="6" t="s">
        <v>203</v>
      </c>
      <c r="N35" s="6" t="b">
        <v>0</v>
      </c>
      <c r="O35" s="6">
        <v>48.0</v>
      </c>
      <c r="P35" s="6">
        <v>29.0</v>
      </c>
      <c r="Q35" s="20">
        <f t="shared" si="14"/>
        <v>0.6041666667</v>
      </c>
      <c r="R35" s="6" t="s">
        <v>492</v>
      </c>
      <c r="S35" s="25">
        <v>4350.0</v>
      </c>
      <c r="T35" s="16" t="b">
        <f>COUNTIF(Parcels!A:A, A35) &gt; 0</f>
        <v>1</v>
      </c>
      <c r="U35" s="16" t="b">
        <f>MAXIFS(Parcels!AC:AC, Parcels!A:A, A35) &gt; 0</f>
        <v>1</v>
      </c>
      <c r="V35" s="17">
        <f>SUMIF(Parcels!A:A,
       A35,
       Parcels!Z:Z)</f>
        <v>20900000</v>
      </c>
      <c r="W35" s="17">
        <f>SUMIF(Parcels!$A:$A,
       $A35,
       Parcels!AC:AC)</f>
        <v>10886810</v>
      </c>
      <c r="X35" s="26">
        <f t="shared" si="6"/>
        <v>11364375</v>
      </c>
      <c r="Y35" s="26">
        <f t="shared" si="7"/>
        <v>10886810</v>
      </c>
      <c r="Z35" s="32">
        <f t="array" ref="Z35">_xlfn.XLOOKUP(
  A35,
  Parcels!A:A,
Parcels!AL:AL)</f>
        <v>0.01203757</v>
      </c>
      <c r="AA35" s="26">
        <f t="shared" si="8"/>
        <v>131050.7375</v>
      </c>
      <c r="AB35" s="26">
        <f t="shared" si="9"/>
        <v>131050.7375</v>
      </c>
      <c r="AC35" s="15"/>
      <c r="AD35" s="15"/>
      <c r="AE35" s="16"/>
      <c r="AF35" s="16"/>
      <c r="AG35" s="16"/>
      <c r="AH35" s="16"/>
      <c r="AI35" s="16"/>
      <c r="AJ35" s="14">
        <f t="shared" ref="AJ35:AJ143" si="15">if(F35="CMFA", if(O35&lt;16,10000,O35*600),if(F35="CSCDA",if(33&lt;O35&lt;300, O35*600,if(O35&gt;300,(180000+(O35-300)*300),20000))))</f>
        <v>28800</v>
      </c>
      <c r="AK35" s="14">
        <f t="shared" ref="AK35:AK143" si="16">if(F35="CMFA", if(O35&lt;26,4000,O35*150),if(F35="CSCDA",if(33&lt;O35&lt;300, O35*150,if(O35&gt;300,(45000+(O35-300)*75),5000))))</f>
        <v>7200</v>
      </c>
      <c r="AL35" s="19">
        <f t="shared" ref="AL35:AL143" si="17">if(AE35="YES",0,IF(AND(I35&gt;=DATE(2022,7,1),I35&lt;=DATE(2023,6,30)),3,IF(AND(I35&gt;=DATE(2023,7,1),I35&lt;=DATE(2024,6,30)),2,IF(AND(I35&gt;=DATE(2024,7,1),I35&lt;=DATE(2025,6,30)),1,IF(AND(I35&gt;=DATE(2025,7,1),I35&lt;=DATE(2026,6,30)),0,"-")))))</f>
        <v>1</v>
      </c>
      <c r="AM35" s="14">
        <f t="shared" si="4"/>
        <v>7200</v>
      </c>
      <c r="AN35" s="19" t="b">
        <f t="array" ref="AN35">_xlfn.xlookup(C35,'SCC Certificate Review'!C:C,'SCC Certificate Review'!F:F)</f>
        <v>1</v>
      </c>
    </row>
    <row r="36">
      <c r="A36" s="16">
        <v>30.0</v>
      </c>
      <c r="B36" s="6" t="s">
        <v>507</v>
      </c>
      <c r="C36" s="6" t="s">
        <v>792</v>
      </c>
      <c r="D36" s="6" t="s">
        <v>717</v>
      </c>
      <c r="E36" s="6" t="s">
        <v>114</v>
      </c>
      <c r="F36" s="6" t="s">
        <v>87</v>
      </c>
      <c r="G36" s="6" t="s">
        <v>192</v>
      </c>
      <c r="H36" s="6" t="s">
        <v>793</v>
      </c>
      <c r="I36" s="21">
        <v>45513.0</v>
      </c>
      <c r="J36" s="27"/>
      <c r="K36" s="6" t="s">
        <v>719</v>
      </c>
      <c r="L36" s="16"/>
      <c r="M36" s="6" t="s">
        <v>203</v>
      </c>
      <c r="N36" s="6" t="b">
        <v>0</v>
      </c>
      <c r="O36" s="6">
        <v>26.0</v>
      </c>
      <c r="P36" s="6">
        <v>25.0</v>
      </c>
      <c r="Q36" s="20">
        <f t="shared" si="14"/>
        <v>0.9615384615</v>
      </c>
      <c r="R36" s="6" t="s">
        <v>506</v>
      </c>
      <c r="S36" s="25">
        <v>3750.0</v>
      </c>
      <c r="T36" s="16" t="b">
        <f>COUNTIF(Parcels!A:A, A36) &gt; 0</f>
        <v>1</v>
      </c>
      <c r="U36" s="16" t="b">
        <f>MAXIFS(Parcels!AC:AC, Parcels!A:A, A36) &gt; 0</f>
        <v>1</v>
      </c>
      <c r="V36" s="17">
        <f>SUMIF(Parcels!A:A,
       A36,
       Parcels!Z:Z)</f>
        <v>7050000</v>
      </c>
      <c r="W36" s="17">
        <f>SUMIF(Parcels!$A:$A,
       $A36,
       Parcels!AC:AC)</f>
        <v>3659058</v>
      </c>
      <c r="X36" s="26">
        <f t="shared" si="6"/>
        <v>6100961.538</v>
      </c>
      <c r="Y36" s="26">
        <f t="shared" si="7"/>
        <v>3659058</v>
      </c>
      <c r="Z36" s="32">
        <f t="array" ref="Z36">_xlfn.XLOOKUP(
  A36,
  Parcels!A:A,
Parcels!AL:AL)</f>
        <v>0.01203757</v>
      </c>
      <c r="AA36" s="26">
        <f t="shared" si="8"/>
        <v>44046.16681</v>
      </c>
      <c r="AB36" s="26">
        <f t="shared" si="9"/>
        <v>44046.16681</v>
      </c>
      <c r="AC36" s="15"/>
      <c r="AD36" s="15"/>
      <c r="AE36" s="16"/>
      <c r="AF36" s="6">
        <v>2004.0</v>
      </c>
      <c r="AG36" s="16"/>
      <c r="AH36" s="16"/>
      <c r="AI36" s="16"/>
      <c r="AJ36" s="14">
        <f t="shared" si="15"/>
        <v>15600</v>
      </c>
      <c r="AK36" s="14">
        <f t="shared" si="16"/>
        <v>3900</v>
      </c>
      <c r="AL36" s="19">
        <f t="shared" si="17"/>
        <v>1</v>
      </c>
      <c r="AM36" s="14">
        <f t="shared" si="4"/>
        <v>3900</v>
      </c>
      <c r="AN36" s="19" t="b">
        <f t="array" ref="AN36">_xlfn.xlookup(C36,'SCC Certificate Review'!C:C,'SCC Certificate Review'!F:F)</f>
        <v>1</v>
      </c>
    </row>
    <row r="37" ht="27.75" customHeight="1">
      <c r="A37" s="16">
        <v>31.0</v>
      </c>
      <c r="B37" s="6" t="s">
        <v>516</v>
      </c>
      <c r="C37" s="6" t="s">
        <v>800</v>
      </c>
      <c r="D37" s="6" t="s">
        <v>717</v>
      </c>
      <c r="E37" s="6" t="s">
        <v>114</v>
      </c>
      <c r="F37" s="6" t="s">
        <v>87</v>
      </c>
      <c r="G37" s="6" t="s">
        <v>192</v>
      </c>
      <c r="H37" s="6" t="s">
        <v>801</v>
      </c>
      <c r="I37" s="21">
        <v>45513.0</v>
      </c>
      <c r="J37" s="27"/>
      <c r="K37" s="6" t="s">
        <v>719</v>
      </c>
      <c r="L37" s="16"/>
      <c r="M37" s="6" t="s">
        <v>203</v>
      </c>
      <c r="N37" s="6" t="b">
        <v>0</v>
      </c>
      <c r="O37" s="6">
        <v>26.0</v>
      </c>
      <c r="P37" s="6">
        <v>25.0</v>
      </c>
      <c r="Q37" s="20">
        <f t="shared" si="14"/>
        <v>0.9615384615</v>
      </c>
      <c r="R37" s="6" t="s">
        <v>515</v>
      </c>
      <c r="S37" s="25">
        <v>3750.0</v>
      </c>
      <c r="T37" s="16" t="b">
        <f>COUNTIF(Parcels!A:A, A37) &gt; 0</f>
        <v>1</v>
      </c>
      <c r="U37" s="16" t="b">
        <f>MAXIFS(Parcels!AC:AC, Parcels!A:A, A37) &gt; 0</f>
        <v>1</v>
      </c>
      <c r="V37" s="17">
        <f>SUMIF(Parcels!A:A,
       A37,
       Parcels!Z:Z)</f>
        <v>6580000</v>
      </c>
      <c r="W37" s="17">
        <f>SUMIF(Parcels!$A:$A,
       $A37,
       Parcels!AC:AC)</f>
        <v>4088045</v>
      </c>
      <c r="X37" s="26">
        <f t="shared" si="6"/>
        <v>5694230.769</v>
      </c>
      <c r="Y37" s="26">
        <f t="shared" si="7"/>
        <v>4088045</v>
      </c>
      <c r="Z37" s="32">
        <f t="array" ref="Z37">_xlfn.XLOOKUP(
  A37,
  Parcels!A:A,
Parcels!AL:AL)</f>
        <v>0.01203757</v>
      </c>
      <c r="AA37" s="26">
        <f t="shared" si="8"/>
        <v>49210.12785</v>
      </c>
      <c r="AB37" s="26">
        <f t="shared" si="9"/>
        <v>49210.12785</v>
      </c>
      <c r="AC37" s="15"/>
      <c r="AD37" s="15"/>
      <c r="AE37" s="16"/>
      <c r="AF37" s="16"/>
      <c r="AG37" s="25">
        <v>5390000.0</v>
      </c>
      <c r="AH37" s="47">
        <v>45547.0</v>
      </c>
      <c r="AI37" s="16"/>
      <c r="AJ37" s="14">
        <f t="shared" si="15"/>
        <v>15600</v>
      </c>
      <c r="AK37" s="14">
        <f t="shared" si="16"/>
        <v>3900</v>
      </c>
      <c r="AL37" s="19">
        <f t="shared" si="17"/>
        <v>1</v>
      </c>
      <c r="AM37" s="14">
        <f t="shared" si="4"/>
        <v>3900</v>
      </c>
      <c r="AN37" s="19" t="b">
        <f t="array" ref="AN37">_xlfn.xlookup(C37,'SCC Certificate Review'!C:C,'SCC Certificate Review'!F:F)</f>
        <v>1</v>
      </c>
    </row>
    <row r="38">
      <c r="A38" s="16">
        <v>32.0</v>
      </c>
      <c r="B38" s="6" t="s">
        <v>524</v>
      </c>
      <c r="C38" s="6" t="s">
        <v>806</v>
      </c>
      <c r="D38" s="6" t="s">
        <v>717</v>
      </c>
      <c r="E38" s="6" t="s">
        <v>114</v>
      </c>
      <c r="F38" s="6" t="s">
        <v>87</v>
      </c>
      <c r="G38" s="6" t="s">
        <v>192</v>
      </c>
      <c r="H38" s="6" t="s">
        <v>807</v>
      </c>
      <c r="I38" s="21">
        <v>45513.0</v>
      </c>
      <c r="J38" s="27"/>
      <c r="K38" s="6" t="s">
        <v>719</v>
      </c>
      <c r="L38" s="16"/>
      <c r="M38" s="6" t="s">
        <v>203</v>
      </c>
      <c r="N38" s="6" t="b">
        <v>0</v>
      </c>
      <c r="O38" s="6">
        <v>165.0</v>
      </c>
      <c r="P38" s="6">
        <v>98.0</v>
      </c>
      <c r="Q38" s="20">
        <f t="shared" si="14"/>
        <v>0.5939393939</v>
      </c>
      <c r="R38" s="6" t="s">
        <v>523</v>
      </c>
      <c r="S38" s="25">
        <v>14700.0</v>
      </c>
      <c r="T38" s="16" t="b">
        <f>COUNTIF(Parcels!A:A, A38) &gt; 0</f>
        <v>1</v>
      </c>
      <c r="U38" s="16" t="b">
        <f>MAXIFS(Parcels!AC:AC, Parcels!A:A, A38) &gt; 0</f>
        <v>1</v>
      </c>
      <c r="V38" s="17">
        <f>SUMIF(Parcels!A:A,
       A38,
       Parcels!Z:Z)</f>
        <v>29350000</v>
      </c>
      <c r="W38" s="17">
        <f>SUMIF(Parcels!$A:$A,
       $A38,
       Parcels!AC:AC)</f>
        <v>22352409</v>
      </c>
      <c r="X38" s="26">
        <f t="shared" si="6"/>
        <v>15688909.09</v>
      </c>
      <c r="Y38" s="26">
        <f t="shared" si="7"/>
        <v>22352409</v>
      </c>
      <c r="Z38" s="32">
        <f t="array" ref="Z38">_xlfn.XLOOKUP(
  A38,
  Parcels!A:A,
Parcels!AL:AL)</f>
        <v>0.01203757</v>
      </c>
      <c r="AA38" s="26">
        <f t="shared" si="8"/>
        <v>269068.688</v>
      </c>
      <c r="AB38" s="26">
        <f t="shared" si="9"/>
        <v>269068.688</v>
      </c>
      <c r="AC38" s="15"/>
      <c r="AD38" s="15"/>
      <c r="AE38" s="16"/>
      <c r="AF38" s="6">
        <v>2008.0</v>
      </c>
      <c r="AG38" s="16"/>
      <c r="AH38" s="16"/>
      <c r="AI38" s="16"/>
      <c r="AJ38" s="14">
        <f t="shared" si="15"/>
        <v>99000</v>
      </c>
      <c r="AK38" s="14">
        <f t="shared" si="16"/>
        <v>24750</v>
      </c>
      <c r="AL38" s="19">
        <f t="shared" si="17"/>
        <v>1</v>
      </c>
      <c r="AM38" s="14">
        <f t="shared" si="4"/>
        <v>24750</v>
      </c>
      <c r="AN38" s="19" t="b">
        <f t="array" ref="AN38">_xlfn.xlookup(C38,'SCC Certificate Review'!C:C,'SCC Certificate Review'!F:F)</f>
        <v>1</v>
      </c>
    </row>
    <row r="39" ht="17.25" customHeight="1">
      <c r="A39" s="16">
        <v>26.0</v>
      </c>
      <c r="B39" s="6" t="s">
        <v>443</v>
      </c>
      <c r="C39" s="6" t="s">
        <v>815</v>
      </c>
      <c r="D39" s="6" t="s">
        <v>114</v>
      </c>
      <c r="E39" s="6" t="s">
        <v>114</v>
      </c>
      <c r="F39" s="6" t="s">
        <v>87</v>
      </c>
      <c r="G39" s="6" t="s">
        <v>192</v>
      </c>
      <c r="H39" s="6" t="s">
        <v>816</v>
      </c>
      <c r="I39" s="21">
        <v>45513.0</v>
      </c>
      <c r="J39" s="27"/>
      <c r="K39" s="6" t="s">
        <v>559</v>
      </c>
      <c r="L39" s="16"/>
      <c r="M39" s="6" t="s">
        <v>560</v>
      </c>
      <c r="N39" s="6" t="b">
        <v>0</v>
      </c>
      <c r="O39" s="6">
        <v>93.0</v>
      </c>
      <c r="P39" s="6">
        <v>93.0</v>
      </c>
      <c r="Q39" s="20">
        <f t="shared" si="14"/>
        <v>1</v>
      </c>
      <c r="R39" s="6" t="s">
        <v>442</v>
      </c>
      <c r="S39" s="25">
        <v>13950.0</v>
      </c>
      <c r="T39" s="16" t="b">
        <f>COUNTIF(Parcels!A:A, A39) &gt; 0</f>
        <v>1</v>
      </c>
      <c r="U39" s="16" t="b">
        <f>MAXIFS(Parcels!AC:AC, Parcels!A:A, A39) &gt; 0</f>
        <v>1</v>
      </c>
      <c r="V39" s="17">
        <f>SUMIF(Parcels!A:A,
       A39,
       Parcels!Z:Z)</f>
        <v>24250000</v>
      </c>
      <c r="W39" s="17">
        <f>SUMIF(Parcels!$A:$A,
       $A39,
       Parcels!AC:AC)</f>
        <v>16429375</v>
      </c>
      <c r="X39" s="26">
        <f t="shared" si="6"/>
        <v>21825000</v>
      </c>
      <c r="Y39" s="26">
        <f t="shared" si="7"/>
        <v>16429375</v>
      </c>
      <c r="Z39" s="32">
        <f t="array" ref="Z39">_xlfn.XLOOKUP(
  A39,
  Parcels!A:A,
Parcels!AL:AL)</f>
        <v>0.0118738</v>
      </c>
      <c r="AA39" s="26">
        <f t="shared" si="8"/>
        <v>195079.1129</v>
      </c>
      <c r="AB39" s="26">
        <f t="shared" si="9"/>
        <v>195079.1129</v>
      </c>
      <c r="AC39" s="15"/>
      <c r="AD39" s="15"/>
      <c r="AE39" s="16"/>
      <c r="AF39" s="6">
        <v>1987.0</v>
      </c>
      <c r="AG39" s="16"/>
      <c r="AH39" s="16"/>
      <c r="AI39" s="16"/>
      <c r="AJ39" s="14">
        <f t="shared" si="15"/>
        <v>55800</v>
      </c>
      <c r="AK39" s="14">
        <f t="shared" si="16"/>
        <v>13950</v>
      </c>
      <c r="AL39" s="19">
        <f t="shared" si="17"/>
        <v>1</v>
      </c>
      <c r="AM39" s="14">
        <f t="shared" si="4"/>
        <v>13950</v>
      </c>
      <c r="AN39" s="19" t="b">
        <f t="array" ref="AN39">_xlfn.xlookup(C39,'SCC Certificate Review'!C:C,'SCC Certificate Review'!F:F)</f>
        <v>1</v>
      </c>
    </row>
    <row r="40">
      <c r="A40" s="16">
        <v>36.0</v>
      </c>
      <c r="B40" s="6" t="s">
        <v>551</v>
      </c>
      <c r="C40" s="6" t="s">
        <v>823</v>
      </c>
      <c r="D40" s="6" t="s">
        <v>824</v>
      </c>
      <c r="E40" s="6" t="s">
        <v>114</v>
      </c>
      <c r="F40" s="6" t="s">
        <v>87</v>
      </c>
      <c r="G40" s="6" t="s">
        <v>192</v>
      </c>
      <c r="H40" s="6" t="s">
        <v>825</v>
      </c>
      <c r="I40" s="21">
        <v>45534.0</v>
      </c>
      <c r="J40" s="27"/>
      <c r="K40" s="6" t="s">
        <v>826</v>
      </c>
      <c r="M40" s="6" t="s">
        <v>826</v>
      </c>
      <c r="N40" s="6" t="b">
        <v>0</v>
      </c>
      <c r="O40" s="6">
        <v>80.0</v>
      </c>
      <c r="P40" s="6">
        <v>80.0</v>
      </c>
      <c r="Q40" s="20">
        <f t="shared" si="14"/>
        <v>1</v>
      </c>
      <c r="R40" s="6" t="s">
        <v>827</v>
      </c>
      <c r="S40" s="25">
        <v>12000.0</v>
      </c>
      <c r="T40" s="16" t="b">
        <f>COUNTIF(Parcels!A:A, A40) &gt; 0</f>
        <v>1</v>
      </c>
      <c r="U40" s="16" t="b">
        <f>MAXIFS(Parcels!AC:AC, Parcels!A:A, A40) &gt; 0</f>
        <v>0</v>
      </c>
      <c r="V40" s="17">
        <f>SUMIF(Parcels!A:A,
       A40,
       Parcels!Z:Z)</f>
        <v>26900000</v>
      </c>
      <c r="W40" s="17">
        <f>SUMIF(Parcels!$A:$A,
       $A40,
       Parcels!AC:AC)</f>
        <v>0</v>
      </c>
      <c r="X40" s="26">
        <f t="shared" si="6"/>
        <v>24210000</v>
      </c>
      <c r="Y40" s="26">
        <f t="shared" si="7"/>
        <v>24210000</v>
      </c>
      <c r="Z40" s="32">
        <f t="array" ref="Z40">_xlfn.XLOOKUP(
  A40,
  Parcels!A:A,
Parcels!AL:AL)</f>
        <v>0.01280765</v>
      </c>
      <c r="AA40" s="26">
        <f t="shared" si="8"/>
        <v>0</v>
      </c>
      <c r="AB40" s="26">
        <f t="shared" si="9"/>
        <v>310073.2065</v>
      </c>
      <c r="AC40" s="15"/>
      <c r="AD40" s="15"/>
      <c r="AJ40" s="14">
        <f t="shared" si="15"/>
        <v>48000</v>
      </c>
      <c r="AK40" s="14">
        <f t="shared" si="16"/>
        <v>12000</v>
      </c>
      <c r="AL40" s="19">
        <f t="shared" si="17"/>
        <v>1</v>
      </c>
      <c r="AM40" s="14">
        <f t="shared" si="4"/>
        <v>12000</v>
      </c>
      <c r="AN40" s="19" t="b">
        <f t="array" ref="AN40">_xlfn.xlookup(C40,'SCC Certificate Review'!C:C,'SCC Certificate Review'!F:F)</f>
        <v>1</v>
      </c>
    </row>
    <row r="41">
      <c r="A41" s="16">
        <v>37.0</v>
      </c>
      <c r="B41" s="6" t="s">
        <v>707</v>
      </c>
      <c r="C41" s="6" t="s">
        <v>832</v>
      </c>
      <c r="D41" s="6" t="s">
        <v>114</v>
      </c>
      <c r="E41" s="6" t="s">
        <v>114</v>
      </c>
      <c r="F41" s="6" t="s">
        <v>87</v>
      </c>
      <c r="G41" s="6" t="s">
        <v>192</v>
      </c>
      <c r="H41" s="6" t="s">
        <v>833</v>
      </c>
      <c r="I41" s="21">
        <v>45534.0</v>
      </c>
      <c r="J41" s="27"/>
      <c r="K41" s="6" t="s">
        <v>834</v>
      </c>
      <c r="M41" s="6" t="s">
        <v>835</v>
      </c>
      <c r="N41" s="6" t="b">
        <v>0</v>
      </c>
      <c r="O41" s="6">
        <v>53.0</v>
      </c>
      <c r="P41" s="6">
        <v>53.0</v>
      </c>
      <c r="Q41" s="20">
        <f t="shared" si="14"/>
        <v>1</v>
      </c>
      <c r="R41" s="6" t="s">
        <v>706</v>
      </c>
      <c r="S41" s="25">
        <v>7950.0</v>
      </c>
      <c r="T41" s="16" t="b">
        <f>COUNTIF(Parcels!A:A, A41) &gt; 0</f>
        <v>1</v>
      </c>
      <c r="U41" s="16" t="b">
        <f>MAXIFS(Parcels!AC:AC, Parcels!A:A, A41) &gt; 0</f>
        <v>0</v>
      </c>
      <c r="V41" s="17">
        <f>SUMIF(Parcels!A:A,
       A41,
       Parcels!Z:Z)</f>
        <v>1275000</v>
      </c>
      <c r="W41" s="17">
        <f>SUMIF(Parcels!$A:$A,
       $A41,
       Parcels!AC:AC)</f>
        <v>0</v>
      </c>
      <c r="X41" s="26">
        <f t="shared" si="6"/>
        <v>1147500</v>
      </c>
      <c r="Y41" s="26">
        <f t="shared" si="7"/>
        <v>1147500</v>
      </c>
      <c r="Z41" s="32">
        <f t="array" ref="Z41">_xlfn.XLOOKUP(
  A41,
  Parcels!A:A,
Parcels!AL:AL)</f>
        <v>0.0118738</v>
      </c>
      <c r="AA41" s="26">
        <f t="shared" si="8"/>
        <v>0</v>
      </c>
      <c r="AB41" s="26">
        <f t="shared" si="9"/>
        <v>13625.1855</v>
      </c>
      <c r="AC41" s="15"/>
      <c r="AD41" s="15"/>
      <c r="AE41" s="6" t="s">
        <v>474</v>
      </c>
      <c r="AJ41" s="14">
        <f t="shared" si="15"/>
        <v>31800</v>
      </c>
      <c r="AK41" s="14">
        <f t="shared" si="16"/>
        <v>7950</v>
      </c>
      <c r="AL41" s="19">
        <f t="shared" si="17"/>
        <v>0</v>
      </c>
      <c r="AM41" s="14">
        <f t="shared" si="4"/>
        <v>0</v>
      </c>
      <c r="AN41" s="19" t="b">
        <f t="array" ref="AN41">_xlfn.xlookup(C41,'SCC Certificate Review'!C:C,'SCC Certificate Review'!F:F)</f>
        <v>1</v>
      </c>
    </row>
    <row r="42">
      <c r="A42" s="16">
        <v>39.0</v>
      </c>
      <c r="B42" s="6" t="s">
        <v>724</v>
      </c>
      <c r="C42" s="6" t="s">
        <v>842</v>
      </c>
      <c r="D42" s="6" t="s">
        <v>114</v>
      </c>
      <c r="E42" s="6" t="s">
        <v>114</v>
      </c>
      <c r="F42" s="6" t="s">
        <v>87</v>
      </c>
      <c r="G42" s="6" t="s">
        <v>192</v>
      </c>
      <c r="H42" s="6" t="s">
        <v>843</v>
      </c>
      <c r="I42" s="21">
        <v>45555.0</v>
      </c>
      <c r="J42" s="27"/>
      <c r="K42" s="6" t="s">
        <v>445</v>
      </c>
      <c r="M42" s="6" t="s">
        <v>90</v>
      </c>
      <c r="N42" s="6" t="b">
        <v>0</v>
      </c>
      <c r="O42" s="6">
        <v>66.0</v>
      </c>
      <c r="P42" s="6">
        <v>51.0</v>
      </c>
      <c r="Q42" s="20">
        <f t="shared" si="14"/>
        <v>0.7727272727</v>
      </c>
      <c r="R42" s="6" t="s">
        <v>723</v>
      </c>
      <c r="S42" s="25">
        <v>7950.0</v>
      </c>
      <c r="T42" s="16" t="b">
        <f>COUNTIF(Parcels!A:A, A42) &gt; 0</f>
        <v>1</v>
      </c>
      <c r="U42" s="16" t="b">
        <f>MAXIFS(Parcels!AC:AC, Parcels!A:A, A42) &gt; 0</f>
        <v>0</v>
      </c>
      <c r="V42" s="17">
        <f>SUMIF(Parcels!A:A,
       A42,
       Parcels!Z:Z)</f>
        <v>1326510</v>
      </c>
      <c r="W42" s="17">
        <f>SUMIF(Parcels!$A:$A,
       $A42,
       Parcels!AC:AC)</f>
        <v>0</v>
      </c>
      <c r="X42" s="26">
        <f t="shared" si="6"/>
        <v>922527.4091</v>
      </c>
      <c r="Y42" s="26">
        <f t="shared" si="7"/>
        <v>922527.4091</v>
      </c>
      <c r="Z42" s="32">
        <f t="array" ref="Z42">_xlfn.XLOOKUP(
  A42,
  Parcels!A:A,
Parcels!AL:AL)</f>
        <v>0.0118738</v>
      </c>
      <c r="AA42" s="26">
        <f t="shared" si="8"/>
        <v>0</v>
      </c>
      <c r="AB42" s="26">
        <f t="shared" si="9"/>
        <v>10953.90595</v>
      </c>
      <c r="AC42" s="15"/>
      <c r="AD42" s="15"/>
      <c r="AE42" s="6" t="s">
        <v>474</v>
      </c>
      <c r="AJ42" s="14">
        <f t="shared" si="15"/>
        <v>39600</v>
      </c>
      <c r="AK42" s="14">
        <f t="shared" si="16"/>
        <v>9900</v>
      </c>
      <c r="AL42" s="19">
        <f t="shared" si="17"/>
        <v>0</v>
      </c>
      <c r="AM42" s="14">
        <f t="shared" si="4"/>
        <v>0</v>
      </c>
      <c r="AN42" s="19" t="b">
        <f t="array" ref="AN42">_xlfn.xlookup(C42,'SCC Certificate Review'!C:C,'SCC Certificate Review'!F:F)</f>
        <v>1</v>
      </c>
    </row>
    <row r="43">
      <c r="A43" s="16">
        <v>40.0</v>
      </c>
      <c r="B43" s="6" t="s">
        <v>733</v>
      </c>
      <c r="C43" s="6" t="s">
        <v>858</v>
      </c>
      <c r="D43" s="6" t="s">
        <v>114</v>
      </c>
      <c r="E43" s="6" t="s">
        <v>114</v>
      </c>
      <c r="F43" s="6" t="s">
        <v>87</v>
      </c>
      <c r="G43" s="6" t="s">
        <v>192</v>
      </c>
      <c r="H43" s="6" t="s">
        <v>859</v>
      </c>
      <c r="I43" s="21">
        <v>45555.0</v>
      </c>
      <c r="J43" s="38" t="b">
        <v>1</v>
      </c>
      <c r="K43" s="6" t="s">
        <v>445</v>
      </c>
      <c r="M43" s="6" t="s">
        <v>90</v>
      </c>
      <c r="N43" s="6" t="b">
        <v>0</v>
      </c>
      <c r="O43" s="6">
        <v>68.0</v>
      </c>
      <c r="P43" s="6">
        <v>14.0</v>
      </c>
      <c r="Q43" s="20">
        <f t="shared" si="14"/>
        <v>0.2058823529</v>
      </c>
      <c r="R43" s="6" t="s">
        <v>732</v>
      </c>
      <c r="S43" s="25">
        <v>2500.0</v>
      </c>
      <c r="T43" s="16" t="b">
        <f>COUNTIF(Parcels!A:A, A43) &gt; 0</f>
        <v>1</v>
      </c>
      <c r="U43" s="16" t="b">
        <f>MAXIFS(Parcels!AC:AC, Parcels!A:A, A43) &gt; 0</f>
        <v>0</v>
      </c>
      <c r="V43" s="17">
        <f>SUMIF(Parcels!A:A,
       A43,
       Parcels!Z:Z)</f>
        <v>17790840</v>
      </c>
      <c r="W43" s="17">
        <f>SUMIF(Parcels!$A:$A,
       $A43,
       Parcels!AC:AC)</f>
        <v>0</v>
      </c>
      <c r="X43" s="26">
        <f t="shared" si="6"/>
        <v>3296538</v>
      </c>
      <c r="Y43" s="26">
        <f t="shared" si="7"/>
        <v>3296538</v>
      </c>
      <c r="Z43" s="32">
        <f t="array" ref="Z43">_xlfn.XLOOKUP(
  A43,
  Parcels!A:A,
Parcels!AL:AL)</f>
        <v>0.0118738</v>
      </c>
      <c r="AA43" s="26">
        <f t="shared" si="8"/>
        <v>0</v>
      </c>
      <c r="AB43" s="26">
        <f t="shared" si="9"/>
        <v>39142.4329</v>
      </c>
      <c r="AC43" s="15"/>
      <c r="AD43" s="15"/>
      <c r="AE43" s="6" t="s">
        <v>474</v>
      </c>
      <c r="AJ43" s="14">
        <f t="shared" si="15"/>
        <v>40800</v>
      </c>
      <c r="AK43" s="14">
        <f t="shared" si="16"/>
        <v>10200</v>
      </c>
      <c r="AL43" s="19">
        <f t="shared" si="17"/>
        <v>0</v>
      </c>
      <c r="AM43" s="14">
        <f t="shared" si="4"/>
        <v>0</v>
      </c>
      <c r="AN43" s="19" t="str">
        <f t="array" ref="AN43">_xlfn.xlookup(C43,'SCC Certificate Review'!C:C,'SCC Certificate Review'!F:F)</f>
        <v/>
      </c>
    </row>
    <row r="44">
      <c r="A44" s="16">
        <v>41.0</v>
      </c>
      <c r="B44" s="6" t="s">
        <v>746</v>
      </c>
      <c r="C44" s="6" t="s">
        <v>868</v>
      </c>
      <c r="D44" s="6" t="s">
        <v>114</v>
      </c>
      <c r="E44" s="6" t="s">
        <v>114</v>
      </c>
      <c r="F44" s="6" t="s">
        <v>87</v>
      </c>
      <c r="G44" s="6" t="s">
        <v>192</v>
      </c>
      <c r="H44" s="6" t="s">
        <v>869</v>
      </c>
      <c r="I44" s="21">
        <v>45555.0</v>
      </c>
      <c r="J44" s="27"/>
      <c r="K44" s="6" t="s">
        <v>445</v>
      </c>
      <c r="M44" s="6" t="s">
        <v>90</v>
      </c>
      <c r="N44" s="6" t="b">
        <v>0</v>
      </c>
      <c r="O44" s="6">
        <v>188.0</v>
      </c>
      <c r="P44" s="6">
        <v>111.0</v>
      </c>
      <c r="Q44" s="20">
        <f t="shared" si="14"/>
        <v>0.5904255319</v>
      </c>
      <c r="R44" s="6" t="s">
        <v>745</v>
      </c>
      <c r="S44" s="25">
        <v>16650.0</v>
      </c>
      <c r="T44" s="16" t="b">
        <f>COUNTIF(Parcels!A:A, A44) &gt; 0</f>
        <v>1</v>
      </c>
      <c r="U44" s="16" t="b">
        <f>MAXIFS(Parcels!AC:AC, Parcels!A:A, A44) &gt; 0</f>
        <v>0</v>
      </c>
      <c r="V44" s="17">
        <f>SUMIF(Parcels!A:A,
       A44,
       Parcels!Z:Z)</f>
        <v>3719558</v>
      </c>
      <c r="W44" s="17">
        <f>SUMIF(Parcels!$A:$A,
       $A44,
       Parcels!AC:AC)</f>
        <v>0</v>
      </c>
      <c r="X44" s="26">
        <f t="shared" si="6"/>
        <v>1976509.81</v>
      </c>
      <c r="Y44" s="26">
        <f t="shared" si="7"/>
        <v>1976509.81</v>
      </c>
      <c r="Z44" s="32">
        <f t="array" ref="Z44">_xlfn.XLOOKUP(
  A44,
  Parcels!A:A,
Parcels!AL:AL)</f>
        <v>0.0118738</v>
      </c>
      <c r="AA44" s="26">
        <f t="shared" si="8"/>
        <v>0</v>
      </c>
      <c r="AB44" s="26">
        <f t="shared" si="9"/>
        <v>23468.68218</v>
      </c>
      <c r="AC44" s="15"/>
      <c r="AD44" s="15"/>
      <c r="AE44" s="6" t="s">
        <v>474</v>
      </c>
      <c r="AJ44" s="14">
        <f t="shared" si="15"/>
        <v>112800</v>
      </c>
      <c r="AK44" s="14">
        <f t="shared" si="16"/>
        <v>28200</v>
      </c>
      <c r="AL44" s="19">
        <f t="shared" si="17"/>
        <v>0</v>
      </c>
      <c r="AM44" s="14">
        <f t="shared" si="4"/>
        <v>0</v>
      </c>
      <c r="AN44" s="19" t="str">
        <f t="array" ref="AN44">_xlfn.xlookup(C44,'SCC Certificate Review'!C:C,'SCC Certificate Review'!F:F)</f>
        <v/>
      </c>
    </row>
    <row r="45">
      <c r="A45" s="16">
        <v>42.0</v>
      </c>
      <c r="B45" s="6" t="s">
        <v>763</v>
      </c>
      <c r="C45" s="6" t="s">
        <v>876</v>
      </c>
      <c r="D45" s="6" t="s">
        <v>114</v>
      </c>
      <c r="E45" s="6" t="s">
        <v>114</v>
      </c>
      <c r="F45" s="6" t="s">
        <v>87</v>
      </c>
      <c r="G45" s="6" t="s">
        <v>192</v>
      </c>
      <c r="H45" s="6" t="s">
        <v>877</v>
      </c>
      <c r="I45" s="21">
        <v>45555.0</v>
      </c>
      <c r="J45" s="38" t="b">
        <v>1</v>
      </c>
      <c r="K45" s="6" t="s">
        <v>445</v>
      </c>
      <c r="M45" s="6" t="s">
        <v>90</v>
      </c>
      <c r="N45" s="6" t="b">
        <v>0</v>
      </c>
      <c r="O45" s="6">
        <v>90.0</v>
      </c>
      <c r="P45" s="6">
        <v>71.0</v>
      </c>
      <c r="Q45" s="20">
        <f t="shared" si="14"/>
        <v>0.7888888889</v>
      </c>
      <c r="R45" s="6" t="s">
        <v>762</v>
      </c>
      <c r="S45" s="25">
        <v>10650.0</v>
      </c>
      <c r="T45" s="16" t="b">
        <f>COUNTIF(Parcels!A:A, A45) &gt; 0</f>
        <v>1</v>
      </c>
      <c r="U45" s="16" t="b">
        <f>MAXIFS(Parcels!AC:AC, Parcels!A:A, A45) &gt; 0</f>
        <v>0</v>
      </c>
      <c r="V45" s="17">
        <f>SUMIF(Parcels!A:A,
       A45,
       Parcels!Z:Z)</f>
        <v>429364</v>
      </c>
      <c r="W45" s="17">
        <f>SUMIF(Parcels!$A:$A,
       $A45,
       Parcels!AC:AC)</f>
        <v>0</v>
      </c>
      <c r="X45" s="26">
        <f t="shared" si="6"/>
        <v>304848.44</v>
      </c>
      <c r="Y45" s="26">
        <f t="shared" si="7"/>
        <v>304848.44</v>
      </c>
      <c r="Z45" s="32">
        <f t="array" ref="Z45">_xlfn.XLOOKUP(
  A45,
  Parcels!A:A,
Parcels!AL:AL)</f>
        <v>0.0118738</v>
      </c>
      <c r="AA45" s="26">
        <f t="shared" si="8"/>
        <v>0</v>
      </c>
      <c r="AB45" s="26">
        <f t="shared" si="9"/>
        <v>3619.709407</v>
      </c>
      <c r="AC45" s="15"/>
      <c r="AD45" s="15"/>
      <c r="AE45" s="6" t="s">
        <v>474</v>
      </c>
      <c r="AJ45" s="14">
        <f t="shared" si="15"/>
        <v>54000</v>
      </c>
      <c r="AK45" s="14">
        <f t="shared" si="16"/>
        <v>13500</v>
      </c>
      <c r="AL45" s="19">
        <f t="shared" si="17"/>
        <v>0</v>
      </c>
      <c r="AM45" s="14">
        <f t="shared" si="4"/>
        <v>0</v>
      </c>
      <c r="AN45" s="19" t="str">
        <f t="array" ref="AN45">_xlfn.xlookup(C45,'SCC Certificate Review'!C:C,'SCC Certificate Review'!F:F)</f>
        <v/>
      </c>
    </row>
    <row r="46">
      <c r="A46" s="16">
        <v>38.0</v>
      </c>
      <c r="B46" s="6" t="s">
        <v>714</v>
      </c>
      <c r="C46" s="6" t="s">
        <v>886</v>
      </c>
      <c r="D46" s="6" t="s">
        <v>114</v>
      </c>
      <c r="E46" s="6" t="s">
        <v>114</v>
      </c>
      <c r="F46" s="6" t="s">
        <v>87</v>
      </c>
      <c r="G46" s="6" t="s">
        <v>192</v>
      </c>
      <c r="H46" s="6" t="s">
        <v>887</v>
      </c>
      <c r="I46" s="21">
        <v>45555.0</v>
      </c>
      <c r="J46" s="27"/>
      <c r="K46" s="6" t="s">
        <v>559</v>
      </c>
      <c r="M46" s="6" t="s">
        <v>560</v>
      </c>
      <c r="N46" s="6" t="b">
        <v>0</v>
      </c>
      <c r="O46" s="6">
        <v>236.0</v>
      </c>
      <c r="P46" s="6">
        <v>236.0</v>
      </c>
      <c r="Q46" s="20">
        <f t="shared" si="14"/>
        <v>1</v>
      </c>
      <c r="R46" s="6" t="s">
        <v>713</v>
      </c>
      <c r="S46" s="25">
        <v>35400.0</v>
      </c>
      <c r="T46" s="16" t="b">
        <f>COUNTIF(Parcels!A:A, A46) &gt; 0</f>
        <v>1</v>
      </c>
      <c r="U46" s="16" t="b">
        <f>MAXIFS(Parcels!AC:AC, Parcels!A:A, A46) &gt; 0</f>
        <v>0</v>
      </c>
      <c r="V46" s="17">
        <f>SUMIF(Parcels!A:A,
       A46,
       Parcels!Z:Z)</f>
        <v>43800000</v>
      </c>
      <c r="W46" s="17">
        <f>SUMIF(Parcels!$A:$A,
       $A46,
       Parcels!AC:AC)</f>
        <v>0</v>
      </c>
      <c r="X46" s="26">
        <f t="shared" si="6"/>
        <v>39420000</v>
      </c>
      <c r="Y46" s="26">
        <f t="shared" si="7"/>
        <v>39420000</v>
      </c>
      <c r="Z46" s="32">
        <f t="array" ref="Z46">_xlfn.XLOOKUP(
  A46,
  Parcels!A:A,
Parcels!AL:AL)</f>
        <v>0.0118738</v>
      </c>
      <c r="AA46" s="26">
        <f t="shared" si="8"/>
        <v>0</v>
      </c>
      <c r="AB46" s="26">
        <f t="shared" si="9"/>
        <v>468065.196</v>
      </c>
      <c r="AC46" s="15"/>
      <c r="AD46" s="15"/>
      <c r="AE46" s="6" t="s">
        <v>92</v>
      </c>
      <c r="AF46" s="6">
        <v>1965.0</v>
      </c>
      <c r="AJ46" s="14">
        <f t="shared" si="15"/>
        <v>141600</v>
      </c>
      <c r="AK46" s="14">
        <f t="shared" si="16"/>
        <v>35400</v>
      </c>
      <c r="AL46" s="19">
        <f t="shared" si="17"/>
        <v>1</v>
      </c>
      <c r="AM46" s="14">
        <f t="shared" si="4"/>
        <v>35400</v>
      </c>
      <c r="AN46" s="19" t="b">
        <f t="array" ref="AN46">_xlfn.xlookup(C46,'SCC Certificate Review'!C:C,'SCC Certificate Review'!F:F)</f>
        <v>1</v>
      </c>
    </row>
    <row r="47">
      <c r="A47" s="16">
        <v>43.0</v>
      </c>
      <c r="B47" s="6" t="s">
        <v>895</v>
      </c>
      <c r="C47" s="6" t="s">
        <v>896</v>
      </c>
      <c r="D47" s="6" t="s">
        <v>250</v>
      </c>
      <c r="E47" s="6" t="s">
        <v>897</v>
      </c>
      <c r="F47" s="6" t="s">
        <v>87</v>
      </c>
      <c r="G47" s="6" t="s">
        <v>192</v>
      </c>
      <c r="H47" s="6" t="s">
        <v>898</v>
      </c>
      <c r="I47" s="21">
        <v>45555.0</v>
      </c>
      <c r="J47" s="38" t="b">
        <v>1</v>
      </c>
      <c r="K47" s="6" t="s">
        <v>682</v>
      </c>
      <c r="M47" s="6" t="s">
        <v>90</v>
      </c>
      <c r="N47" s="6" t="b">
        <v>0</v>
      </c>
      <c r="O47" s="6">
        <v>99.0</v>
      </c>
      <c r="P47" s="6">
        <v>99.0</v>
      </c>
      <c r="Q47" s="20"/>
      <c r="R47" s="6" t="s">
        <v>899</v>
      </c>
      <c r="S47" s="25">
        <v>14850.0</v>
      </c>
      <c r="T47" s="16" t="b">
        <f>COUNTIF(Parcels!A:A, A47) &gt; 0</f>
        <v>1</v>
      </c>
      <c r="U47" s="16" t="b">
        <f>MAXIFS(Parcels!AC:AC, Parcels!A:A, A47) &gt; 0</f>
        <v>0</v>
      </c>
      <c r="V47" s="17">
        <f>SUMIF(Parcels!A:A,
       A47,
       Parcels!Z:Z)</f>
        <v>33879341</v>
      </c>
      <c r="W47" s="17">
        <f>SUMIF(Parcels!$A:$A,
       $A47,
       Parcels!AC:AC)</f>
        <v>0</v>
      </c>
      <c r="X47" s="26">
        <f t="shared" si="6"/>
        <v>30491406.9</v>
      </c>
      <c r="Y47" s="26">
        <f t="shared" si="7"/>
        <v>30491406.9</v>
      </c>
      <c r="Z47" s="34">
        <f t="array" ref="Z47">_xlfn.XLOOKUP(
  A47,
  Parcels!A:A,
Parcels!AL:AL)</f>
        <v>0.01084</v>
      </c>
      <c r="AA47" s="26">
        <f t="shared" si="8"/>
        <v>0</v>
      </c>
      <c r="AB47" s="26">
        <f t="shared" si="9"/>
        <v>330526.8508</v>
      </c>
      <c r="AE47" s="6" t="s">
        <v>92</v>
      </c>
      <c r="AI47" s="86"/>
      <c r="AJ47" s="14">
        <f t="shared" si="15"/>
        <v>59400</v>
      </c>
      <c r="AK47" s="14">
        <f t="shared" si="16"/>
        <v>14850</v>
      </c>
      <c r="AL47" s="19">
        <f t="shared" si="17"/>
        <v>1</v>
      </c>
      <c r="AM47" s="14">
        <f t="shared" si="4"/>
        <v>14850</v>
      </c>
      <c r="AN47" s="19" t="str">
        <f t="array" ref="AN47">_xlfn.xlookup(C47,'SCC Certificate Review'!C:C,'SCC Certificate Review'!F:F)</f>
        <v/>
      </c>
    </row>
    <row r="48">
      <c r="A48" s="16">
        <v>46.0</v>
      </c>
      <c r="B48" s="87" t="s">
        <v>788</v>
      </c>
      <c r="C48" s="87" t="s">
        <v>908</v>
      </c>
      <c r="D48" s="88" t="s">
        <v>114</v>
      </c>
      <c r="E48" s="88" t="s">
        <v>114</v>
      </c>
      <c r="F48" s="6" t="s">
        <v>87</v>
      </c>
      <c r="G48" s="87"/>
      <c r="H48" s="87" t="s">
        <v>909</v>
      </c>
      <c r="I48" s="89">
        <v>45576.0</v>
      </c>
      <c r="J48" s="90" t="b">
        <v>1</v>
      </c>
      <c r="K48" s="87" t="s">
        <v>263</v>
      </c>
      <c r="L48" s="86"/>
      <c r="M48" s="87" t="s">
        <v>264</v>
      </c>
      <c r="N48" s="87" t="b">
        <v>0</v>
      </c>
      <c r="O48" s="87">
        <v>53.0</v>
      </c>
      <c r="P48" s="87">
        <v>53.0</v>
      </c>
      <c r="Q48" s="20">
        <f>P48/O48</f>
        <v>1</v>
      </c>
      <c r="R48" s="87" t="s">
        <v>787</v>
      </c>
      <c r="S48" s="91"/>
      <c r="T48" s="16" t="b">
        <f>COUNTIF(Parcels!A:A, A48) &gt; 0</f>
        <v>1</v>
      </c>
      <c r="U48" s="16" t="b">
        <f>MAXIFS(Parcels!AC:AC, Parcels!A:A, A48) &gt; 0</f>
        <v>0</v>
      </c>
      <c r="V48" s="17">
        <f>SUMIF(Parcels!A:A,
       A48,
       Parcels!Z:Z)</f>
        <v>1298913</v>
      </c>
      <c r="W48" s="17">
        <f>SUMIF(Parcels!$A:$A,
       $A48,
       Parcels!AC:AC)</f>
        <v>0</v>
      </c>
      <c r="X48" s="26">
        <f t="shared" si="6"/>
        <v>1169021.7</v>
      </c>
      <c r="Y48" s="26">
        <f t="shared" si="7"/>
        <v>1169021.7</v>
      </c>
      <c r="Z48" s="32">
        <f t="array" ref="Z48">_xlfn.XLOOKUP(
  A48,
  Parcels!A:A,
Parcels!AL:AL)</f>
        <v>0.0118738</v>
      </c>
      <c r="AA48" s="26">
        <f t="shared" si="8"/>
        <v>0</v>
      </c>
      <c r="AB48" s="26">
        <f t="shared" si="9"/>
        <v>13880.72986</v>
      </c>
      <c r="AC48" s="92"/>
      <c r="AD48" s="92"/>
      <c r="AE48" s="87" t="s">
        <v>474</v>
      </c>
      <c r="AF48" s="86"/>
      <c r="AG48" s="86"/>
      <c r="AH48" s="86"/>
      <c r="AJ48" s="14">
        <f t="shared" si="15"/>
        <v>31800</v>
      </c>
      <c r="AK48" s="14">
        <f t="shared" si="16"/>
        <v>7950</v>
      </c>
      <c r="AL48" s="19">
        <f t="shared" si="17"/>
        <v>0</v>
      </c>
      <c r="AM48" s="14">
        <f t="shared" si="4"/>
        <v>0</v>
      </c>
      <c r="AN48" s="19" t="str">
        <f t="array" ref="AN48">_xlfn.xlookup(C48,'SCC Certificate Review'!C:C,'SCC Certificate Review'!F:F)</f>
        <v/>
      </c>
    </row>
    <row r="49">
      <c r="A49" s="16">
        <v>45.0</v>
      </c>
      <c r="B49" s="6" t="s">
        <v>919</v>
      </c>
      <c r="C49" s="6" t="s">
        <v>920</v>
      </c>
      <c r="D49" s="6" t="s">
        <v>268</v>
      </c>
      <c r="E49" s="6" t="s">
        <v>119</v>
      </c>
      <c r="F49" s="6" t="s">
        <v>87</v>
      </c>
      <c r="G49" s="6" t="s">
        <v>192</v>
      </c>
      <c r="H49" s="6" t="s">
        <v>924</v>
      </c>
      <c r="I49" s="21">
        <v>45576.0</v>
      </c>
      <c r="J49" s="27"/>
      <c r="K49" s="6" t="s">
        <v>623</v>
      </c>
      <c r="L49" s="6" t="s">
        <v>925</v>
      </c>
      <c r="M49" s="6" t="s">
        <v>926</v>
      </c>
      <c r="N49" s="6" t="b">
        <v>0</v>
      </c>
      <c r="O49" s="6">
        <v>406.0</v>
      </c>
      <c r="P49" s="6">
        <v>406.0</v>
      </c>
      <c r="Q49" s="20"/>
      <c r="R49" s="6" t="s">
        <v>927</v>
      </c>
      <c r="S49" s="25">
        <v>60900.0</v>
      </c>
      <c r="T49" s="16" t="b">
        <f>COUNTIF(Parcels!A:A, A49) &gt; 0</f>
        <v>1</v>
      </c>
      <c r="U49" s="16" t="b">
        <f>MAXIFS(Parcels!AC:AC, Parcels!A:A, A49) &gt; 0</f>
        <v>0</v>
      </c>
      <c r="V49" s="17">
        <f>SUMIF(Parcels!A:A,
       A49,
       Parcels!Z:Z)</f>
        <v>129200000</v>
      </c>
      <c r="W49" s="17">
        <f>SUMIF(Parcels!$A:$A,
       $A49,
       Parcels!AC:AC)</f>
        <v>0</v>
      </c>
      <c r="X49" s="26">
        <f t="shared" si="6"/>
        <v>116280000</v>
      </c>
      <c r="Y49" s="26">
        <f t="shared" si="7"/>
        <v>116280000</v>
      </c>
      <c r="Z49" s="34">
        <f t="array" ref="Z49">_xlfn.XLOOKUP(
  A49,
  Parcels!A:A,
Parcels!AL:AL)</f>
        <v>0.011195</v>
      </c>
      <c r="AA49" s="26">
        <f t="shared" si="8"/>
        <v>0</v>
      </c>
      <c r="AB49" s="26">
        <f t="shared" si="9"/>
        <v>1301754.6</v>
      </c>
      <c r="AE49" s="6" t="s">
        <v>92</v>
      </c>
      <c r="AJ49" s="14">
        <f t="shared" si="15"/>
        <v>243600</v>
      </c>
      <c r="AK49" s="14">
        <f t="shared" si="16"/>
        <v>60900</v>
      </c>
      <c r="AL49" s="19">
        <f t="shared" si="17"/>
        <v>1</v>
      </c>
      <c r="AM49" s="14">
        <f t="shared" si="4"/>
        <v>60900</v>
      </c>
      <c r="AN49" s="19" t="b">
        <f t="array" ref="AN49">_xlfn.xlookup(C49,'SCC Certificate Review'!C:C,'SCC Certificate Review'!F:F)</f>
        <v>1</v>
      </c>
    </row>
    <row r="50">
      <c r="A50" s="16">
        <v>48.0</v>
      </c>
      <c r="B50" s="6" t="s">
        <v>791</v>
      </c>
      <c r="C50" s="6" t="s">
        <v>935</v>
      </c>
      <c r="D50" s="6" t="s">
        <v>124</v>
      </c>
      <c r="E50" s="6" t="s">
        <v>124</v>
      </c>
      <c r="F50" s="6" t="s">
        <v>87</v>
      </c>
      <c r="G50" s="6" t="s">
        <v>192</v>
      </c>
      <c r="H50" s="6" t="s">
        <v>936</v>
      </c>
      <c r="I50" s="21">
        <v>45576.0</v>
      </c>
      <c r="J50" s="27"/>
      <c r="K50" s="6" t="s">
        <v>937</v>
      </c>
      <c r="L50" s="6" t="s">
        <v>623</v>
      </c>
      <c r="M50" s="6" t="s">
        <v>938</v>
      </c>
      <c r="N50" s="6" t="b">
        <v>0</v>
      </c>
      <c r="O50" s="6">
        <v>697.0</v>
      </c>
      <c r="P50" s="6">
        <v>697.0</v>
      </c>
      <c r="Q50" s="20"/>
      <c r="R50" s="6" t="s">
        <v>939</v>
      </c>
      <c r="S50" s="25">
        <v>74775.0</v>
      </c>
      <c r="T50" s="16" t="b">
        <f>COUNTIF(Parcels!A:A, A50) &gt; 0</f>
        <v>1</v>
      </c>
      <c r="U50" s="16" t="b">
        <f>MAXIFS(Parcels!AC:AC, Parcels!A:A, A50) &gt; 0</f>
        <v>1</v>
      </c>
      <c r="V50" s="17">
        <f>SUMIF(Parcels!A:A,
       A50,
       Parcels!Z:Z)</f>
        <v>252362500</v>
      </c>
      <c r="W50" s="17">
        <f>SUMIF(Parcels!$A:$A,
       $A50,
       Parcels!AC:AC)</f>
        <v>28000</v>
      </c>
      <c r="X50" s="26">
        <f t="shared" si="6"/>
        <v>227126250</v>
      </c>
      <c r="Y50" s="26">
        <f t="shared" si="7"/>
        <v>28000</v>
      </c>
      <c r="Z50" s="34">
        <f t="array" ref="Z50">_xlfn.XLOOKUP(
  A50,
  Parcels!A:A,
Parcels!AL:AL)</f>
        <v>0.011201</v>
      </c>
      <c r="AA50" s="15"/>
      <c r="AB50" s="26">
        <f t="shared" si="9"/>
        <v>313.628</v>
      </c>
      <c r="AC50" s="16"/>
      <c r="AD50" s="16"/>
      <c r="AE50" s="6" t="s">
        <v>92</v>
      </c>
      <c r="AF50" s="16"/>
      <c r="AG50" s="16"/>
      <c r="AH50" s="16"/>
      <c r="AI50" s="16"/>
      <c r="AJ50" s="14">
        <f t="shared" si="15"/>
        <v>418200</v>
      </c>
      <c r="AK50" s="14">
        <f t="shared" si="16"/>
        <v>104550</v>
      </c>
      <c r="AL50" s="19">
        <f t="shared" si="17"/>
        <v>1</v>
      </c>
      <c r="AM50" s="14">
        <f t="shared" si="4"/>
        <v>104550</v>
      </c>
      <c r="AN50" s="19" t="b">
        <f t="array" ref="AN50">_xlfn.xlookup(C50,'SCC Certificate Review'!C:C,'SCC Certificate Review'!F:F)</f>
        <v>1</v>
      </c>
    </row>
    <row r="51">
      <c r="A51" s="16">
        <v>47.0</v>
      </c>
      <c r="B51" s="6" t="s">
        <v>944</v>
      </c>
      <c r="C51" s="6" t="s">
        <v>945</v>
      </c>
      <c r="D51" s="6" t="s">
        <v>122</v>
      </c>
      <c r="E51" s="6" t="s">
        <v>122</v>
      </c>
      <c r="F51" s="6" t="s">
        <v>87</v>
      </c>
      <c r="G51" s="6" t="s">
        <v>192</v>
      </c>
      <c r="H51" s="6" t="s">
        <v>948</v>
      </c>
      <c r="I51" s="21">
        <v>45576.0</v>
      </c>
      <c r="J51" s="27"/>
      <c r="K51" s="6" t="s">
        <v>950</v>
      </c>
      <c r="M51" s="6" t="s">
        <v>951</v>
      </c>
      <c r="N51" s="6" t="b">
        <v>0</v>
      </c>
      <c r="O51" s="6">
        <v>488.0</v>
      </c>
      <c r="P51" s="6">
        <v>483.0</v>
      </c>
      <c r="Q51" s="20"/>
      <c r="R51" s="6" t="s">
        <v>952</v>
      </c>
      <c r="S51" s="25">
        <v>72450.0</v>
      </c>
      <c r="T51" s="16" t="b">
        <f>COUNTIF(Parcels!A:A, A51) &gt; 0</f>
        <v>1</v>
      </c>
      <c r="U51" s="16" t="b">
        <f>MAXIFS(Parcels!AC:AC, Parcels!A:A, A51) &gt; 0</f>
        <v>0</v>
      </c>
      <c r="V51" s="17">
        <f>SUMIF(Parcels!A:A,
       A51,
       Parcels!Z:Z)</f>
        <v>13362000</v>
      </c>
      <c r="W51" s="17">
        <f>SUMIF(Parcels!$A:$A,
       $A51,
       Parcels!AC:AC)</f>
        <v>0</v>
      </c>
      <c r="X51" s="26">
        <f t="shared" si="6"/>
        <v>11902584.84</v>
      </c>
      <c r="Y51" s="26">
        <f t="shared" si="7"/>
        <v>11902584.84</v>
      </c>
      <c r="Z51" s="34">
        <f t="array" ref="Z51">_xlfn.XLOOKUP(
  A51,
  Parcels!A:A,
Parcels!AL:AL)</f>
        <v>0.0125114</v>
      </c>
      <c r="AA51" s="26">
        <f t="shared" ref="AA51:AA238" si="18">W51*Z51</f>
        <v>0</v>
      </c>
      <c r="AB51" s="26">
        <f t="shared" si="9"/>
        <v>148917.9999</v>
      </c>
      <c r="AE51" s="6" t="s">
        <v>474</v>
      </c>
      <c r="AJ51" s="14">
        <f t="shared" si="15"/>
        <v>292800</v>
      </c>
      <c r="AK51" s="14">
        <f t="shared" si="16"/>
        <v>73200</v>
      </c>
      <c r="AL51" s="19">
        <f t="shared" si="17"/>
        <v>0</v>
      </c>
      <c r="AM51" s="14">
        <f t="shared" si="4"/>
        <v>0</v>
      </c>
      <c r="AN51" s="19" t="b">
        <f t="array" ref="AN51">_xlfn.xlookup(C51,'SCC Certificate Review'!C:C,'SCC Certificate Review'!F:F)</f>
        <v>1</v>
      </c>
    </row>
    <row r="52">
      <c r="A52" s="16">
        <v>44.0</v>
      </c>
      <c r="B52" s="6" t="s">
        <v>777</v>
      </c>
      <c r="C52" s="6" t="s">
        <v>959</v>
      </c>
      <c r="D52" s="6" t="s">
        <v>114</v>
      </c>
      <c r="E52" s="6" t="s">
        <v>114</v>
      </c>
      <c r="F52" s="6" t="s">
        <v>87</v>
      </c>
      <c r="G52" s="6" t="s">
        <v>192</v>
      </c>
      <c r="H52" s="6" t="s">
        <v>960</v>
      </c>
      <c r="I52" s="21">
        <v>45576.0</v>
      </c>
      <c r="J52" s="27"/>
      <c r="K52" s="6" t="s">
        <v>263</v>
      </c>
      <c r="M52" s="6" t="s">
        <v>961</v>
      </c>
      <c r="N52" s="6" t="b">
        <v>0</v>
      </c>
      <c r="O52" s="6">
        <v>41.0</v>
      </c>
      <c r="P52" s="6">
        <v>40.0</v>
      </c>
      <c r="Q52" s="20">
        <f>P52/O52</f>
        <v>0.9756097561</v>
      </c>
      <c r="R52" s="6" t="s">
        <v>776</v>
      </c>
      <c r="S52" s="25">
        <v>6000.0</v>
      </c>
      <c r="T52" s="16" t="b">
        <f>COUNTIF(Parcels!A:A, A52) &gt; 0</f>
        <v>1</v>
      </c>
      <c r="U52" s="16" t="b">
        <f>MAXIFS(Parcels!AC:AC, Parcels!A:A, A52) &gt; 0</f>
        <v>0</v>
      </c>
      <c r="V52" s="17">
        <f>SUMIF(Parcels!A:A,
       A52,
       Parcels!Z:Z)</f>
        <v>2509100</v>
      </c>
      <c r="W52" s="17">
        <f>SUMIF(Parcels!$A:$A,
       $A52,
       Parcels!AC:AC)</f>
        <v>0</v>
      </c>
      <c r="X52" s="26">
        <f t="shared" si="6"/>
        <v>2203112.195</v>
      </c>
      <c r="Y52" s="26">
        <f t="shared" si="7"/>
        <v>2203112.195</v>
      </c>
      <c r="Z52" s="32">
        <f t="array" ref="Z52">_xlfn.XLOOKUP(
  A52,
  Parcels!A:A,
Parcels!AL:AL)</f>
        <v>0.0118738</v>
      </c>
      <c r="AA52" s="26">
        <f t="shared" si="18"/>
        <v>0</v>
      </c>
      <c r="AB52" s="26">
        <f t="shared" si="9"/>
        <v>26159.31358</v>
      </c>
      <c r="AC52" s="15"/>
      <c r="AD52" s="15"/>
      <c r="AE52" s="6" t="s">
        <v>474</v>
      </c>
      <c r="AJ52" s="14">
        <f t="shared" si="15"/>
        <v>24600</v>
      </c>
      <c r="AK52" s="14">
        <f t="shared" si="16"/>
        <v>6150</v>
      </c>
      <c r="AL52" s="19">
        <f t="shared" si="17"/>
        <v>0</v>
      </c>
      <c r="AM52" s="14">
        <f t="shared" si="4"/>
        <v>0</v>
      </c>
      <c r="AN52" s="19" t="b">
        <f t="array" ref="AN52">_xlfn.xlookup(C52,'SCC Certificate Review'!C:C,'SCC Certificate Review'!F:F)</f>
        <v>1</v>
      </c>
    </row>
    <row r="53">
      <c r="A53" s="16">
        <v>50.0</v>
      </c>
      <c r="B53" s="6" t="s">
        <v>967</v>
      </c>
      <c r="C53" s="6" t="s">
        <v>969</v>
      </c>
      <c r="D53" s="6" t="s">
        <v>122</v>
      </c>
      <c r="E53" s="6" t="s">
        <v>122</v>
      </c>
      <c r="F53" s="6" t="s">
        <v>87</v>
      </c>
      <c r="G53" s="6" t="s">
        <v>192</v>
      </c>
      <c r="H53" s="6" t="s">
        <v>971</v>
      </c>
      <c r="I53" s="21">
        <v>45597.0</v>
      </c>
      <c r="J53" s="27"/>
      <c r="K53" s="6" t="s">
        <v>973</v>
      </c>
      <c r="M53" s="6" t="s">
        <v>973</v>
      </c>
      <c r="N53" s="6" t="b">
        <v>0</v>
      </c>
      <c r="O53" s="6">
        <v>229.0</v>
      </c>
      <c r="P53" s="6">
        <v>229.0</v>
      </c>
      <c r="Q53" s="20"/>
      <c r="R53" s="6" t="s">
        <v>975</v>
      </c>
      <c r="S53" s="25">
        <v>34350.0</v>
      </c>
      <c r="T53" s="16" t="b">
        <f>COUNTIF(Parcels!A:A, A53) &gt; 0</f>
        <v>1</v>
      </c>
      <c r="U53" s="16" t="b">
        <f>MAXIFS(Parcels!AC:AC, Parcels!A:A, A53) &gt; 0</f>
        <v>0</v>
      </c>
      <c r="V53" s="17">
        <f>SUMIF(Parcels!A:A,
       A53,
       Parcels!Z:Z)</f>
        <v>53339453</v>
      </c>
      <c r="W53" s="17">
        <f>SUMIF(Parcels!$A:$A,
       $A53,
       Parcels!AC:AC)</f>
        <v>0</v>
      </c>
      <c r="X53" s="26">
        <f t="shared" si="6"/>
        <v>48005507.7</v>
      </c>
      <c r="Y53" s="26">
        <f t="shared" si="7"/>
        <v>48005507.7</v>
      </c>
      <c r="Z53" s="34">
        <f t="array" ref="Z53">_xlfn.XLOOKUP(
  A53,
  Parcels!A:A,
Parcels!AL:AL)</f>
        <v>0.0125114</v>
      </c>
      <c r="AA53" s="26">
        <f t="shared" si="18"/>
        <v>0</v>
      </c>
      <c r="AB53" s="26">
        <f t="shared" si="9"/>
        <v>600616.109</v>
      </c>
      <c r="AE53" s="6" t="s">
        <v>92</v>
      </c>
      <c r="AJ53" s="14">
        <f t="shared" si="15"/>
        <v>137400</v>
      </c>
      <c r="AK53" s="14">
        <f t="shared" si="16"/>
        <v>34350</v>
      </c>
      <c r="AL53" s="19">
        <f t="shared" si="17"/>
        <v>1</v>
      </c>
      <c r="AM53" s="14">
        <f t="shared" si="4"/>
        <v>34350</v>
      </c>
      <c r="AN53" s="19" t="b">
        <f t="array" ref="AN53">_xlfn.xlookup(C53,'SCC Certificate Review'!C:C,'SCC Certificate Review'!F:F)</f>
        <v>1</v>
      </c>
    </row>
    <row r="54">
      <c r="A54" s="16">
        <v>52.0</v>
      </c>
      <c r="B54" s="6" t="s">
        <v>980</v>
      </c>
      <c r="C54" s="6" t="s">
        <v>981</v>
      </c>
      <c r="D54" s="6" t="s">
        <v>694</v>
      </c>
      <c r="E54" s="6" t="s">
        <v>120</v>
      </c>
      <c r="F54" s="6" t="s">
        <v>87</v>
      </c>
      <c r="G54" s="6" t="s">
        <v>192</v>
      </c>
      <c r="H54" s="6" t="s">
        <v>985</v>
      </c>
      <c r="I54" s="21">
        <v>45597.0</v>
      </c>
      <c r="J54" s="38" t="b">
        <v>1</v>
      </c>
      <c r="K54" s="6" t="s">
        <v>986</v>
      </c>
      <c r="M54" s="6" t="s">
        <v>987</v>
      </c>
      <c r="N54" s="6" t="b">
        <v>0</v>
      </c>
      <c r="O54" s="6">
        <v>63.0</v>
      </c>
      <c r="P54" s="6">
        <v>62.0</v>
      </c>
      <c r="Q54" s="20"/>
      <c r="R54" s="6" t="s">
        <v>988</v>
      </c>
      <c r="S54" s="25">
        <v>9300.0</v>
      </c>
      <c r="T54" s="16" t="b">
        <f>COUNTIF(Parcels!A:A, A54) &gt; 0</f>
        <v>1</v>
      </c>
      <c r="U54" s="16" t="b">
        <f>MAXIFS(Parcels!AC:AC, Parcels!A:A, A54) &gt; 0</f>
        <v>0</v>
      </c>
      <c r="V54" s="17">
        <f>SUMIF(Parcels!A:A,
       A54,
       Parcels!Z:Z)</f>
        <v>15111810</v>
      </c>
      <c r="W54" s="17">
        <f>SUMIF(Parcels!$A:$A,
       $A54,
       Parcels!AC:AC)</f>
        <v>0</v>
      </c>
      <c r="X54" s="26">
        <f t="shared" si="6"/>
        <v>13384746</v>
      </c>
      <c r="Y54" s="26">
        <f t="shared" si="7"/>
        <v>13384746</v>
      </c>
      <c r="Z54" s="34">
        <f t="array" ref="Z54">_xlfn.XLOOKUP(
  A54,
  Parcels!A:A,
Parcels!AL:AL)</f>
        <v>0.011454</v>
      </c>
      <c r="AA54" s="26">
        <f t="shared" si="18"/>
        <v>0</v>
      </c>
      <c r="AB54" s="26">
        <f t="shared" si="9"/>
        <v>153308.8807</v>
      </c>
      <c r="AE54" s="6" t="s">
        <v>92</v>
      </c>
      <c r="AJ54" s="14">
        <f t="shared" si="15"/>
        <v>37800</v>
      </c>
      <c r="AK54" s="14">
        <f t="shared" si="16"/>
        <v>9450</v>
      </c>
      <c r="AL54" s="19">
        <f t="shared" si="17"/>
        <v>1</v>
      </c>
      <c r="AM54" s="14">
        <f t="shared" si="4"/>
        <v>9450</v>
      </c>
      <c r="AN54" s="19" t="str">
        <f t="array" ref="AN54">_xlfn.xlookup(C54,'SCC Certificate Review'!C:C,'SCC Certificate Review'!F:F)</f>
        <v/>
      </c>
    </row>
    <row r="55">
      <c r="A55" s="16">
        <v>51.0</v>
      </c>
      <c r="B55" s="6" t="s">
        <v>995</v>
      </c>
      <c r="C55" s="6" t="s">
        <v>996</v>
      </c>
      <c r="D55" s="6" t="s">
        <v>122</v>
      </c>
      <c r="E55" s="6" t="s">
        <v>122</v>
      </c>
      <c r="F55" s="6" t="s">
        <v>87</v>
      </c>
      <c r="G55" s="6" t="s">
        <v>192</v>
      </c>
      <c r="H55" s="6" t="s">
        <v>997</v>
      </c>
      <c r="I55" s="21">
        <v>45597.0</v>
      </c>
      <c r="J55" s="38" t="b">
        <v>1</v>
      </c>
      <c r="K55" s="6" t="s">
        <v>622</v>
      </c>
      <c r="M55" s="6" t="s">
        <v>560</v>
      </c>
      <c r="N55" s="6" t="b">
        <v>0</v>
      </c>
      <c r="O55" s="16">
        <f>99+44+1+1</f>
        <v>145</v>
      </c>
      <c r="P55" s="6">
        <v>144.0</v>
      </c>
      <c r="Q55" s="20"/>
      <c r="R55" s="6" t="s">
        <v>999</v>
      </c>
      <c r="S55" s="25">
        <v>21600.0</v>
      </c>
      <c r="T55" s="16" t="b">
        <f>COUNTIF(Parcels!A:A, A55) &gt; 0</f>
        <v>1</v>
      </c>
      <c r="U55" s="16" t="b">
        <f>MAXIFS(Parcels!AC:AC, Parcels!A:A, A55) &gt; 0</f>
        <v>0</v>
      </c>
      <c r="V55" s="17">
        <f>SUMIF(Parcels!A:A,
       A55,
       Parcels!Z:Z)</f>
        <v>5832864</v>
      </c>
      <c r="W55" s="17">
        <f>SUMIF(Parcels!$A:$A,
       $A55,
       Parcels!AC:AC)</f>
        <v>0</v>
      </c>
      <c r="X55" s="26">
        <f t="shared" si="6"/>
        <v>5213373.617</v>
      </c>
      <c r="Y55" s="26">
        <f t="shared" si="7"/>
        <v>5213373.617</v>
      </c>
      <c r="Z55" s="34">
        <f t="array" ref="Z55">_xlfn.XLOOKUP(
  A55,
  Parcels!A:A,
Parcels!AL:AL)</f>
        <v>0.0125114</v>
      </c>
      <c r="AA55" s="26">
        <f t="shared" si="18"/>
        <v>0</v>
      </c>
      <c r="AB55" s="26">
        <f t="shared" si="9"/>
        <v>65226.60267</v>
      </c>
      <c r="AE55" s="6" t="s">
        <v>92</v>
      </c>
      <c r="AF55" s="6">
        <v>1984.0</v>
      </c>
      <c r="AJ55" s="14">
        <f t="shared" si="15"/>
        <v>87000</v>
      </c>
      <c r="AK55" s="14">
        <f t="shared" si="16"/>
        <v>21750</v>
      </c>
      <c r="AL55" s="19">
        <f t="shared" si="17"/>
        <v>1</v>
      </c>
      <c r="AM55" s="14">
        <f t="shared" si="4"/>
        <v>21750</v>
      </c>
      <c r="AN55" s="19" t="str">
        <f t="array" ref="AN55">_xlfn.xlookup(C55,'SCC Certificate Review'!C:C,'SCC Certificate Review'!F:F)</f>
        <v/>
      </c>
    </row>
    <row r="56">
      <c r="A56" s="16">
        <v>53.0</v>
      </c>
      <c r="B56" s="6" t="s">
        <v>1004</v>
      </c>
      <c r="C56" s="6" t="s">
        <v>1005</v>
      </c>
      <c r="D56" s="6" t="s">
        <v>694</v>
      </c>
      <c r="E56" s="6" t="s">
        <v>120</v>
      </c>
      <c r="F56" s="6" t="s">
        <v>87</v>
      </c>
      <c r="G56" s="6" t="s">
        <v>192</v>
      </c>
      <c r="H56" s="6" t="s">
        <v>1006</v>
      </c>
      <c r="I56" s="21">
        <v>45597.0</v>
      </c>
      <c r="J56" s="38" t="b">
        <v>1</v>
      </c>
      <c r="K56" s="6" t="s">
        <v>986</v>
      </c>
      <c r="M56" s="6" t="s">
        <v>560</v>
      </c>
      <c r="N56" s="6" t="b">
        <v>0</v>
      </c>
      <c r="O56" s="6">
        <v>198.0</v>
      </c>
      <c r="P56" s="6">
        <v>198.0</v>
      </c>
      <c r="Q56" s="20"/>
      <c r="R56" s="6" t="s">
        <v>1007</v>
      </c>
      <c r="S56" s="25">
        <v>29700.0</v>
      </c>
      <c r="T56" s="16" t="b">
        <f>COUNTIF(Parcels!A:A, A56) &gt; 0</f>
        <v>1</v>
      </c>
      <c r="U56" s="16" t="b">
        <f>MAXIFS(Parcels!AC:AC, Parcels!A:A, A56) &gt; 0</f>
        <v>0</v>
      </c>
      <c r="V56" s="17">
        <f>SUMIF(Parcels!A:A,
       A56,
       Parcels!Z:Z)</f>
        <v>12145525</v>
      </c>
      <c r="W56" s="17">
        <f>SUMIF(Parcels!$A:$A,
       $A56,
       Parcels!AC:AC)</f>
        <v>0</v>
      </c>
      <c r="X56" s="26">
        <f t="shared" si="6"/>
        <v>10930972.5</v>
      </c>
      <c r="Y56" s="26">
        <f t="shared" si="7"/>
        <v>10930972.5</v>
      </c>
      <c r="Z56" s="34">
        <f t="array" ref="Z56">_xlfn.XLOOKUP(
  A56,
  Parcels!A:A,
Parcels!AL:AL)</f>
        <v>0.011873</v>
      </c>
      <c r="AA56" s="26">
        <f t="shared" si="18"/>
        <v>0</v>
      </c>
      <c r="AB56" s="26">
        <f t="shared" si="9"/>
        <v>129783.4365</v>
      </c>
      <c r="AE56" s="6" t="s">
        <v>92</v>
      </c>
      <c r="AF56" s="6" t="s">
        <v>1014</v>
      </c>
      <c r="AJ56" s="14">
        <f t="shared" si="15"/>
        <v>118800</v>
      </c>
      <c r="AK56" s="14">
        <f t="shared" si="16"/>
        <v>29700</v>
      </c>
      <c r="AL56" s="19">
        <f t="shared" si="17"/>
        <v>1</v>
      </c>
      <c r="AM56" s="14">
        <f t="shared" si="4"/>
        <v>29700</v>
      </c>
      <c r="AN56" s="19" t="str">
        <f t="array" ref="AN56">_xlfn.xlookup(C56,'SCC Certificate Review'!C:C,'SCC Certificate Review'!F:F)</f>
        <v/>
      </c>
    </row>
    <row r="57">
      <c r="A57" s="16">
        <v>54.0</v>
      </c>
      <c r="B57" s="19" t="s">
        <v>849</v>
      </c>
      <c r="C57" s="19" t="s">
        <v>1018</v>
      </c>
      <c r="D57" s="19" t="s">
        <v>1019</v>
      </c>
      <c r="E57" s="19" t="s">
        <v>114</v>
      </c>
      <c r="F57" s="19" t="s">
        <v>87</v>
      </c>
      <c r="G57" s="19" t="s">
        <v>192</v>
      </c>
      <c r="H57" s="19" t="s">
        <v>1020</v>
      </c>
      <c r="I57" s="93">
        <v>45618.0</v>
      </c>
      <c r="J57" s="94"/>
      <c r="K57" s="19" t="s">
        <v>1022</v>
      </c>
      <c r="L57" s="16"/>
      <c r="M57" s="19" t="s">
        <v>938</v>
      </c>
      <c r="N57" s="19" t="b">
        <v>0</v>
      </c>
      <c r="O57" s="19">
        <v>356.0</v>
      </c>
      <c r="P57" s="19">
        <v>144.0</v>
      </c>
      <c r="Q57" s="20">
        <f t="shared" ref="Q57:Q58" si="19">P57/O57</f>
        <v>0.404494382</v>
      </c>
      <c r="R57" s="19" t="s">
        <v>848</v>
      </c>
      <c r="S57" s="14">
        <v>21600.0</v>
      </c>
      <c r="T57" s="16" t="b">
        <f>COUNTIF(Parcels!A:A, A57) &gt; 0</f>
        <v>1</v>
      </c>
      <c r="U57" s="16" t="b">
        <f>MAXIFS(Parcels!AC:AC, Parcels!A:A, A57) &gt; 0</f>
        <v>1</v>
      </c>
      <c r="V57" s="17">
        <f>SUMIF(Parcels!A:A,
       A57,
       Parcels!Z:Z)</f>
        <v>94978083</v>
      </c>
      <c r="W57" s="17">
        <f>SUMIF(Parcels!$A:$A,
       $A57,
       Parcels!AC:AC)</f>
        <v>41642082</v>
      </c>
      <c r="X57" s="26">
        <f t="shared" si="6"/>
        <v>34576290.89</v>
      </c>
      <c r="Y57" s="26">
        <f t="shared" si="7"/>
        <v>41642082</v>
      </c>
      <c r="Z57" s="32">
        <f t="array" ref="Z57">_xlfn.XLOOKUP(
  A57,
  Parcels!A:A,
Parcels!AL:AL)</f>
        <v>0.01206499</v>
      </c>
      <c r="AA57" s="26">
        <f t="shared" si="18"/>
        <v>502411.3029</v>
      </c>
      <c r="AB57" s="26">
        <f t="shared" si="9"/>
        <v>502411.3029</v>
      </c>
      <c r="AC57" s="15"/>
      <c r="AD57" s="15"/>
      <c r="AE57" s="19" t="s">
        <v>92</v>
      </c>
      <c r="AF57" s="16"/>
      <c r="AG57" s="16"/>
      <c r="AH57" s="16"/>
      <c r="AI57" s="16"/>
      <c r="AJ57" s="14">
        <f t="shared" si="15"/>
        <v>213600</v>
      </c>
      <c r="AK57" s="14">
        <f t="shared" si="16"/>
        <v>53400</v>
      </c>
      <c r="AL57" s="19">
        <f t="shared" si="17"/>
        <v>1</v>
      </c>
      <c r="AM57" s="14">
        <f t="shared" si="4"/>
        <v>53400</v>
      </c>
      <c r="AN57" s="19" t="b">
        <f t="array" ref="AN57">_xlfn.xlookup(C57,'SCC Certificate Review'!C:C,'SCC Certificate Review'!F:F)</f>
        <v>1</v>
      </c>
    </row>
    <row r="58">
      <c r="A58" s="16">
        <v>55.0</v>
      </c>
      <c r="B58" s="19" t="s">
        <v>1032</v>
      </c>
      <c r="C58" s="19" t="s">
        <v>1033</v>
      </c>
      <c r="D58" s="19" t="s">
        <v>114</v>
      </c>
      <c r="E58" s="19" t="s">
        <v>114</v>
      </c>
      <c r="F58" s="19" t="s">
        <v>87</v>
      </c>
      <c r="G58" s="19"/>
      <c r="H58" s="19" t="s">
        <v>1034</v>
      </c>
      <c r="I58" s="93">
        <v>45618.0</v>
      </c>
      <c r="J58" s="94"/>
      <c r="K58" s="19" t="s">
        <v>540</v>
      </c>
      <c r="L58" s="6" t="s">
        <v>1035</v>
      </c>
      <c r="M58" s="19" t="s">
        <v>203</v>
      </c>
      <c r="N58" s="19" t="b">
        <v>0</v>
      </c>
      <c r="O58" s="19">
        <v>377.0</v>
      </c>
      <c r="P58" s="19">
        <v>151.0</v>
      </c>
      <c r="Q58" s="20">
        <f t="shared" si="19"/>
        <v>0.400530504</v>
      </c>
      <c r="R58" s="19" t="s">
        <v>1036</v>
      </c>
      <c r="S58" s="14">
        <v>22650.0</v>
      </c>
      <c r="T58" s="16" t="b">
        <f>COUNTIF(Parcels!A:A, A58) &gt; 0</f>
        <v>1</v>
      </c>
      <c r="U58" s="16" t="b">
        <f>MAXIFS(Parcels!AC:AC, Parcels!A:A, A58) &gt; 0</f>
        <v>1</v>
      </c>
      <c r="V58" s="17">
        <f>SUMIF(Parcels!A:A,
       A58,
       Parcels!Z:Z)</f>
        <v>17293255</v>
      </c>
      <c r="W58" s="17">
        <f>SUMIF(Parcels!$A:$A,
       $A58,
       Parcels!AC:AC)</f>
        <v>16976485</v>
      </c>
      <c r="X58" s="26">
        <f t="shared" si="6"/>
        <v>6233828.527</v>
      </c>
      <c r="Y58" s="26">
        <f t="shared" si="7"/>
        <v>16976485</v>
      </c>
      <c r="Z58" s="32">
        <f t="array" ref="Z58">_xlfn.XLOOKUP(
  A58,
  Parcels!A:A,
Parcels!AL:AL)</f>
        <v>0.0118738</v>
      </c>
      <c r="AA58" s="26">
        <f t="shared" si="18"/>
        <v>201575.3876</v>
      </c>
      <c r="AB58" s="26">
        <f t="shared" si="9"/>
        <v>201575.3876</v>
      </c>
      <c r="AC58" s="15"/>
      <c r="AD58" s="15"/>
      <c r="AE58" s="19" t="s">
        <v>474</v>
      </c>
      <c r="AF58" s="16"/>
      <c r="AG58" s="16"/>
      <c r="AH58" s="16"/>
      <c r="AI58" s="94"/>
      <c r="AJ58" s="14">
        <f t="shared" si="15"/>
        <v>226200</v>
      </c>
      <c r="AK58" s="14">
        <f t="shared" si="16"/>
        <v>56550</v>
      </c>
      <c r="AL58" s="19">
        <f t="shared" si="17"/>
        <v>0</v>
      </c>
      <c r="AM58" s="14">
        <f t="shared" si="4"/>
        <v>0</v>
      </c>
      <c r="AN58" s="19" t="b">
        <f t="array" ref="AN58">_xlfn.xlookup(C58,'SCC Certificate Review'!C:C,'SCC Certificate Review'!F:F)</f>
        <v>1</v>
      </c>
    </row>
    <row r="59">
      <c r="A59" s="16">
        <v>56.0</v>
      </c>
      <c r="B59" s="19" t="s">
        <v>1043</v>
      </c>
      <c r="C59" s="19" t="s">
        <v>1044</v>
      </c>
      <c r="D59" s="19" t="s">
        <v>211</v>
      </c>
      <c r="E59" s="19" t="s">
        <v>86</v>
      </c>
      <c r="F59" s="19" t="s">
        <v>87</v>
      </c>
      <c r="G59" s="19" t="s">
        <v>192</v>
      </c>
      <c r="H59" s="19" t="s">
        <v>1045</v>
      </c>
      <c r="I59" s="93">
        <v>45639.0</v>
      </c>
      <c r="J59" s="94"/>
      <c r="K59" s="19" t="s">
        <v>1047</v>
      </c>
      <c r="L59" s="19"/>
      <c r="M59" s="19" t="s">
        <v>1047</v>
      </c>
      <c r="N59" s="19" t="b">
        <v>0</v>
      </c>
      <c r="O59" s="19">
        <v>94.0</v>
      </c>
      <c r="P59" s="19">
        <v>71.0</v>
      </c>
      <c r="Q59" s="10"/>
      <c r="R59" s="19" t="s">
        <v>1048</v>
      </c>
      <c r="S59" s="14">
        <v>10650.0</v>
      </c>
      <c r="T59" s="16" t="b">
        <f>COUNTIF(Parcels!A:A, A59) &gt; 0</f>
        <v>1</v>
      </c>
      <c r="U59" s="16" t="b">
        <f>MAXIFS(Parcels!AC:AC, Parcels!A:A, A59) &gt; 0</f>
        <v>0</v>
      </c>
      <c r="V59" s="17">
        <f>SUMIF(Parcels!A:A,
       A59,
       Parcels!Z:Z)</f>
        <v>31838150</v>
      </c>
      <c r="W59" s="17">
        <f>SUMIF(Parcels!$A:$A,
       $A59,
       Parcels!AC:AC)</f>
        <v>0</v>
      </c>
      <c r="X59" s="26">
        <f t="shared" si="6"/>
        <v>21643167.93</v>
      </c>
      <c r="Y59" s="26">
        <f t="shared" si="7"/>
        <v>21643167.93</v>
      </c>
      <c r="Z59" s="34">
        <f t="array" ref="Z59">_xlfn.XLOOKUP(
  A59,
  Parcels!A:A,
Parcels!AL:AL)</f>
        <v>0.012323</v>
      </c>
      <c r="AA59" s="26">
        <f t="shared" si="18"/>
        <v>0</v>
      </c>
      <c r="AB59" s="26">
        <f t="shared" si="9"/>
        <v>266708.7583</v>
      </c>
      <c r="AD59" s="98" t="s">
        <v>1054</v>
      </c>
      <c r="AE59" s="19"/>
      <c r="AJ59" s="14">
        <f t="shared" si="15"/>
        <v>56400</v>
      </c>
      <c r="AK59" s="14">
        <f t="shared" si="16"/>
        <v>14100</v>
      </c>
      <c r="AL59" s="19">
        <f t="shared" si="17"/>
        <v>1</v>
      </c>
      <c r="AM59" s="14">
        <f t="shared" si="4"/>
        <v>14100</v>
      </c>
      <c r="AN59" s="19" t="str">
        <f t="array" ref="AN59">_xlfn.xlookup(C59,'SCC Certificate Review'!C:C,'SCC Certificate Review'!F:F)</f>
        <v/>
      </c>
    </row>
    <row r="60">
      <c r="A60" s="16">
        <v>59.0</v>
      </c>
      <c r="B60" s="19" t="s">
        <v>819</v>
      </c>
      <c r="C60" s="19" t="s">
        <v>1060</v>
      </c>
      <c r="D60" s="19" t="s">
        <v>123</v>
      </c>
      <c r="E60" s="19" t="s">
        <v>123</v>
      </c>
      <c r="F60" s="19" t="s">
        <v>87</v>
      </c>
      <c r="G60" s="19" t="s">
        <v>192</v>
      </c>
      <c r="H60" s="19" t="s">
        <v>1061</v>
      </c>
      <c r="I60" s="93">
        <v>45639.0</v>
      </c>
      <c r="J60" s="94"/>
      <c r="K60" s="19" t="s">
        <v>1062</v>
      </c>
      <c r="M60" s="19" t="s">
        <v>1063</v>
      </c>
      <c r="N60" s="19" t="b">
        <v>0</v>
      </c>
      <c r="O60" s="19">
        <v>193.0</v>
      </c>
      <c r="P60" s="19">
        <v>100.0</v>
      </c>
      <c r="Q60" s="10"/>
      <c r="R60" s="19" t="s">
        <v>1064</v>
      </c>
      <c r="S60" s="14">
        <v>15000.0</v>
      </c>
      <c r="T60" s="16" t="b">
        <f>COUNTIF(Parcels!A:A, A60) &gt; 0</f>
        <v>1</v>
      </c>
      <c r="U60" s="16" t="b">
        <f>MAXIFS(Parcels!AC:AC, Parcels!A:A, A60) &gt; 0</f>
        <v>0</v>
      </c>
      <c r="V60" s="17">
        <f>SUMIF(Parcels!A:A,
       A60,
       Parcels!Z:Z)</f>
        <v>82453101</v>
      </c>
      <c r="W60" s="17">
        <f>SUMIF(Parcels!$A:$A,
       $A60,
       Parcels!AC:AC)</f>
        <v>0</v>
      </c>
      <c r="X60" s="26">
        <f t="shared" si="6"/>
        <v>38449632.59</v>
      </c>
      <c r="Y60" s="26">
        <f t="shared" si="7"/>
        <v>38449632.59</v>
      </c>
      <c r="Z60" s="34">
        <f t="array" ref="Z60">_xlfn.XLOOKUP(
  A60,
  Parcels!A:A,
Parcels!AL:AL)</f>
        <v>0.012</v>
      </c>
      <c r="AA60" s="26">
        <f t="shared" si="18"/>
        <v>0</v>
      </c>
      <c r="AB60" s="26">
        <f t="shared" si="9"/>
        <v>461395.5911</v>
      </c>
      <c r="AE60" s="19" t="s">
        <v>474</v>
      </c>
      <c r="AF60" s="19">
        <v>2023.0</v>
      </c>
      <c r="AJ60" s="14">
        <f t="shared" si="15"/>
        <v>115800</v>
      </c>
      <c r="AK60" s="14">
        <f t="shared" si="16"/>
        <v>28950</v>
      </c>
      <c r="AL60" s="19">
        <f t="shared" si="17"/>
        <v>0</v>
      </c>
      <c r="AM60" s="14">
        <f t="shared" si="4"/>
        <v>0</v>
      </c>
      <c r="AN60" s="19" t="b">
        <f t="array" ref="AN60">_xlfn.xlookup(C60,'SCC Certificate Review'!C:C,'SCC Certificate Review'!F:F)</f>
        <v>1</v>
      </c>
    </row>
    <row r="61">
      <c r="A61" s="16">
        <v>57.0</v>
      </c>
      <c r="B61" s="19" t="s">
        <v>1073</v>
      </c>
      <c r="C61" s="19" t="s">
        <v>1074</v>
      </c>
      <c r="D61" s="19" t="s">
        <v>155</v>
      </c>
      <c r="E61" s="19" t="s">
        <v>129</v>
      </c>
      <c r="F61" s="19" t="s">
        <v>87</v>
      </c>
      <c r="G61" s="19" t="s">
        <v>192</v>
      </c>
      <c r="H61" s="19" t="s">
        <v>1075</v>
      </c>
      <c r="I61" s="93">
        <v>45639.0</v>
      </c>
      <c r="J61" s="94"/>
      <c r="K61" s="19" t="s">
        <v>623</v>
      </c>
      <c r="L61" s="19" t="s">
        <v>925</v>
      </c>
      <c r="M61" s="19" t="s">
        <v>1076</v>
      </c>
      <c r="N61" s="19" t="b">
        <v>0</v>
      </c>
      <c r="O61" s="19">
        <v>193.0</v>
      </c>
      <c r="P61" s="19">
        <v>193.0</v>
      </c>
      <c r="Q61" s="10"/>
      <c r="R61" s="19" t="s">
        <v>1077</v>
      </c>
      <c r="S61" s="14">
        <v>28950.0</v>
      </c>
      <c r="T61" s="16" t="b">
        <f>COUNTIF(Parcels!A:A, A61) &gt; 0</f>
        <v>1</v>
      </c>
      <c r="U61" s="16" t="b">
        <f>MAXIFS(Parcels!AC:AC, Parcels!A:A, A61) &gt; 0</f>
        <v>1</v>
      </c>
      <c r="V61" s="17">
        <f>SUMIF(Parcels!A:A,
       A61,
       Parcels!Z:Z)</f>
        <v>36559633</v>
      </c>
      <c r="W61" s="17">
        <f>SUMIF(Parcels!$A:$A,
       $A61,
       Parcels!AC:AC)</f>
        <v>18850147</v>
      </c>
      <c r="X61" s="26">
        <f t="shared" si="6"/>
        <v>32903669.7</v>
      </c>
      <c r="Y61" s="26">
        <f t="shared" si="7"/>
        <v>18850147</v>
      </c>
      <c r="Z61" s="34">
        <f t="array" ref="Z61">_xlfn.XLOOKUP(
  A61,
  Parcels!A:A,
Parcels!AL:AL)</f>
        <v>0.012401</v>
      </c>
      <c r="AA61" s="26">
        <f t="shared" si="18"/>
        <v>233760.6729</v>
      </c>
      <c r="AB61" s="26">
        <f t="shared" si="9"/>
        <v>233760.6729</v>
      </c>
      <c r="AC61" s="98" t="s">
        <v>1083</v>
      </c>
      <c r="AD61" s="98" t="s">
        <v>1084</v>
      </c>
      <c r="AE61" s="19" t="s">
        <v>92</v>
      </c>
      <c r="AF61" s="19">
        <v>1969.0</v>
      </c>
      <c r="AG61" s="19">
        <v>61.1</v>
      </c>
      <c r="AH61" s="94">
        <v>45657.0</v>
      </c>
      <c r="AI61" s="16"/>
      <c r="AJ61" s="14">
        <f t="shared" si="15"/>
        <v>115800</v>
      </c>
      <c r="AK61" s="14">
        <f t="shared" si="16"/>
        <v>28950</v>
      </c>
      <c r="AL61" s="19">
        <f t="shared" si="17"/>
        <v>1</v>
      </c>
      <c r="AM61" s="14">
        <f t="shared" si="4"/>
        <v>28950</v>
      </c>
      <c r="AN61" s="19" t="b">
        <f t="array" ref="AN61">_xlfn.xlookup(C61,'SCC Certificate Review'!C:C,'SCC Certificate Review'!F:F)</f>
        <v>1</v>
      </c>
    </row>
    <row r="62">
      <c r="A62" s="16">
        <v>58.0</v>
      </c>
      <c r="B62" s="19" t="s">
        <v>1008</v>
      </c>
      <c r="C62" s="19" t="s">
        <v>1087</v>
      </c>
      <c r="D62" s="19" t="s">
        <v>1088</v>
      </c>
      <c r="E62" s="19" t="s">
        <v>114</v>
      </c>
      <c r="F62" s="19" t="s">
        <v>87</v>
      </c>
      <c r="G62" s="19" t="s">
        <v>192</v>
      </c>
      <c r="H62" s="19" t="s">
        <v>1089</v>
      </c>
      <c r="I62" s="93">
        <v>45639.0</v>
      </c>
      <c r="J62" s="94"/>
      <c r="K62" s="19" t="s">
        <v>622</v>
      </c>
      <c r="L62" s="16"/>
      <c r="M62" s="19" t="s">
        <v>560</v>
      </c>
      <c r="N62" s="19" t="b">
        <v>0</v>
      </c>
      <c r="O62" s="16">
        <f>72+164+60</f>
        <v>296</v>
      </c>
      <c r="P62" s="19">
        <v>296.0</v>
      </c>
      <c r="Q62" s="20">
        <f>P62/O62</f>
        <v>1</v>
      </c>
      <c r="R62" s="19" t="s">
        <v>1094</v>
      </c>
      <c r="S62" s="14">
        <v>44400.0</v>
      </c>
      <c r="T62" s="16" t="b">
        <f>COUNTIF(Parcels!A:A, A62) &gt; 0</f>
        <v>1</v>
      </c>
      <c r="U62" s="16" t="b">
        <f>MAXIFS(Parcels!AC:AC, Parcels!A:A, A62) &gt; 0</f>
        <v>1</v>
      </c>
      <c r="V62" s="17">
        <f>SUMIF(Parcels!A:A,
       A62,
       Parcels!Z:Z)</f>
        <v>14702565</v>
      </c>
      <c r="W62" s="17">
        <f>SUMIF(Parcels!$A:$A,
       $A62,
       Parcels!AC:AC)</f>
        <v>4371074</v>
      </c>
      <c r="X62" s="26">
        <f t="shared" si="6"/>
        <v>13232308.5</v>
      </c>
      <c r="Y62" s="26">
        <f t="shared" si="7"/>
        <v>4371074</v>
      </c>
      <c r="Z62" s="32">
        <f t="array" ref="Z62">_xlfn.XLOOKUP(
  A62,
  Parcels!A:A,
Parcels!AL:AL)</f>
        <v>0.01233086</v>
      </c>
      <c r="AA62" s="26">
        <f t="shared" si="18"/>
        <v>53899.10154</v>
      </c>
      <c r="AB62" s="26">
        <f t="shared" si="9"/>
        <v>53899.10154</v>
      </c>
      <c r="AC62" s="15"/>
      <c r="AD62" s="15"/>
      <c r="AE62" s="19" t="s">
        <v>92</v>
      </c>
      <c r="AF62" s="16"/>
      <c r="AG62" s="16"/>
      <c r="AH62" s="16"/>
      <c r="AI62" s="16"/>
      <c r="AJ62" s="14">
        <f t="shared" si="15"/>
        <v>177600</v>
      </c>
      <c r="AK62" s="14">
        <f t="shared" si="16"/>
        <v>44400</v>
      </c>
      <c r="AL62" s="19">
        <f t="shared" si="17"/>
        <v>1</v>
      </c>
      <c r="AM62" s="14">
        <f t="shared" si="4"/>
        <v>44400</v>
      </c>
      <c r="AN62" s="19" t="b">
        <f t="array" ref="AN62">_xlfn.xlookup(C62,'SCC Certificate Review'!C:C,'SCC Certificate Review'!F:F)</f>
        <v>1</v>
      </c>
    </row>
    <row r="63">
      <c r="A63" s="16">
        <v>60.0</v>
      </c>
      <c r="B63" s="19" t="s">
        <v>1099</v>
      </c>
      <c r="C63" s="19" t="s">
        <v>296</v>
      </c>
      <c r="D63" s="19" t="s">
        <v>154</v>
      </c>
      <c r="E63" s="19" t="s">
        <v>129</v>
      </c>
      <c r="F63" s="19" t="s">
        <v>87</v>
      </c>
      <c r="G63" s="19"/>
      <c r="H63" s="19" t="s">
        <v>1100</v>
      </c>
      <c r="I63" s="93">
        <v>45688.0</v>
      </c>
      <c r="J63" s="94"/>
      <c r="K63" s="19" t="s">
        <v>1101</v>
      </c>
      <c r="M63" s="19" t="s">
        <v>299</v>
      </c>
      <c r="N63" s="19" t="b">
        <v>0</v>
      </c>
      <c r="O63" s="19">
        <f>172+24</f>
        <v>196</v>
      </c>
      <c r="P63" s="19">
        <v>29.0</v>
      </c>
      <c r="Q63" s="10"/>
      <c r="R63" s="19" t="s">
        <v>1102</v>
      </c>
      <c r="S63" s="14">
        <v>4350.0</v>
      </c>
      <c r="T63" s="16" t="b">
        <f>COUNTIF(Parcels!A:A, A63) &gt; 0</f>
        <v>1</v>
      </c>
      <c r="U63" s="16" t="b">
        <f>MAXIFS(Parcels!AC:AC, Parcels!A:A, A63) &gt; 0</f>
        <v>0</v>
      </c>
      <c r="V63" s="17">
        <f>SUMIF(Parcels!A:A,
       A63,
       Parcels!Z:Z)</f>
        <v>50937984</v>
      </c>
      <c r="W63" s="17">
        <f>SUMIF(Parcels!$A:$A,
       $A63,
       Parcels!AC:AC)</f>
        <v>0</v>
      </c>
      <c r="X63" s="26">
        <f t="shared" si="6"/>
        <v>6783068.278</v>
      </c>
      <c r="Y63" s="26">
        <f t="shared" si="7"/>
        <v>6783068.278</v>
      </c>
      <c r="Z63" s="34">
        <f t="array" ref="Z63">_xlfn.XLOOKUP(
  A63,
  Parcels!A:A,
Parcels!AL:AL)</f>
        <v>0.011268</v>
      </c>
      <c r="AA63" s="26">
        <f t="shared" si="18"/>
        <v>0</v>
      </c>
      <c r="AB63" s="26">
        <f t="shared" si="9"/>
        <v>76431.61335</v>
      </c>
      <c r="AE63" s="19" t="s">
        <v>474</v>
      </c>
      <c r="AJ63" s="14">
        <f t="shared" si="15"/>
        <v>117600</v>
      </c>
      <c r="AK63" s="14">
        <f t="shared" si="16"/>
        <v>29400</v>
      </c>
      <c r="AL63" s="19">
        <f t="shared" si="17"/>
        <v>0</v>
      </c>
      <c r="AM63" s="14">
        <f t="shared" si="4"/>
        <v>0</v>
      </c>
      <c r="AN63" s="19" t="str">
        <f t="array" ref="AN63">_xlfn.xlookup(C63,'SCC Certificate Review'!C:C,'SCC Certificate Review'!F:F)</f>
        <v/>
      </c>
    </row>
    <row r="64">
      <c r="A64" s="16">
        <v>64.0</v>
      </c>
      <c r="B64" s="19" t="s">
        <v>1116</v>
      </c>
      <c r="C64" s="19" t="s">
        <v>1118</v>
      </c>
      <c r="D64" s="19" t="s">
        <v>114</v>
      </c>
      <c r="E64" s="19" t="s">
        <v>114</v>
      </c>
      <c r="F64" s="19" t="s">
        <v>87</v>
      </c>
      <c r="G64" s="19" t="s">
        <v>1119</v>
      </c>
      <c r="H64" s="19" t="s">
        <v>1120</v>
      </c>
      <c r="I64" s="93">
        <v>45709.0</v>
      </c>
      <c r="J64" s="6" t="b">
        <v>1</v>
      </c>
      <c r="K64" s="19" t="s">
        <v>1121</v>
      </c>
      <c r="M64" s="19" t="s">
        <v>90</v>
      </c>
      <c r="N64" s="19" t="b">
        <v>0</v>
      </c>
      <c r="O64" s="19">
        <v>33.0</v>
      </c>
      <c r="P64" s="19">
        <v>32.0</v>
      </c>
      <c r="Q64" s="20">
        <f t="shared" ref="Q64:Q65" si="20">P64/O64</f>
        <v>0.9696969697</v>
      </c>
      <c r="R64" s="19" t="s">
        <v>1122</v>
      </c>
      <c r="S64" s="14">
        <v>4800.0</v>
      </c>
      <c r="T64" s="16" t="b">
        <f>COUNTIF(Parcels!A:A, A64) &gt; 0</f>
        <v>1</v>
      </c>
      <c r="U64" s="16" t="b">
        <f>MAXIFS(Parcels!AC:AC, Parcels!A:A, A64) &gt; 0</f>
        <v>0</v>
      </c>
      <c r="V64" s="17">
        <f>SUMIF(Parcels!A:A,
       A64,
       Parcels!Z:Z)</f>
        <v>1144440</v>
      </c>
      <c r="W64" s="17">
        <f>SUMIF(Parcels!$A:$A,
       $A64,
       Parcels!AC:AC)</f>
        <v>0</v>
      </c>
      <c r="X64" s="26">
        <f t="shared" si="6"/>
        <v>998784</v>
      </c>
      <c r="Y64" s="26">
        <f t="shared" si="7"/>
        <v>998784</v>
      </c>
      <c r="Z64" s="32">
        <f t="array" ref="Z64">_xlfn.XLOOKUP(
  A64,
  Parcels!A:A,
Parcels!AL:AL)</f>
        <v>0.0118738</v>
      </c>
      <c r="AA64" s="26">
        <f t="shared" si="18"/>
        <v>0</v>
      </c>
      <c r="AB64" s="26">
        <f t="shared" si="9"/>
        <v>11859.36146</v>
      </c>
      <c r="AC64" s="15"/>
      <c r="AD64" s="15"/>
      <c r="AJ64" s="14">
        <f t="shared" si="15"/>
        <v>19800</v>
      </c>
      <c r="AK64" s="14">
        <f t="shared" si="16"/>
        <v>4950</v>
      </c>
      <c r="AL64" s="19">
        <f t="shared" si="17"/>
        <v>1</v>
      </c>
      <c r="AM64" s="14">
        <f t="shared" si="4"/>
        <v>4950</v>
      </c>
      <c r="AN64" s="19" t="str">
        <f t="array" ref="AN64">_xlfn.xlookup(C64,'SCC Certificate Review'!C:C,'SCC Certificate Review'!F:F)</f>
        <v/>
      </c>
    </row>
    <row r="65">
      <c r="A65" s="16">
        <v>61.0</v>
      </c>
      <c r="B65" s="19" t="s">
        <v>1107</v>
      </c>
      <c r="C65" s="19" t="s">
        <v>1128</v>
      </c>
      <c r="D65" s="19" t="s">
        <v>114</v>
      </c>
      <c r="E65" s="19" t="s">
        <v>114</v>
      </c>
      <c r="F65" s="19" t="s">
        <v>87</v>
      </c>
      <c r="G65" s="19"/>
      <c r="H65" s="19" t="s">
        <v>1130</v>
      </c>
      <c r="I65" s="93">
        <v>45709.0</v>
      </c>
      <c r="J65" s="6" t="b">
        <v>1</v>
      </c>
      <c r="K65" s="19" t="s">
        <v>445</v>
      </c>
      <c r="M65" s="19" t="s">
        <v>90</v>
      </c>
      <c r="N65" s="19" t="b">
        <v>0</v>
      </c>
      <c r="O65" s="19">
        <v>166.0</v>
      </c>
      <c r="P65" s="19">
        <v>165.0</v>
      </c>
      <c r="Q65" s="20">
        <f t="shared" si="20"/>
        <v>0.9939759036</v>
      </c>
      <c r="R65" s="19" t="s">
        <v>1106</v>
      </c>
      <c r="S65" s="14">
        <v>24750.0</v>
      </c>
      <c r="T65" s="16" t="b">
        <f>COUNTIF(Parcels!A:A, A65) &gt; 0</f>
        <v>1</v>
      </c>
      <c r="U65" s="16" t="b">
        <f>MAXIFS(Parcels!AC:AC, Parcels!A:A, A65) &gt; 0</f>
        <v>0</v>
      </c>
      <c r="V65" s="17">
        <f>SUMIF(Parcels!A:A,
       A65,
       Parcels!Z:Z)</f>
        <v>2850591</v>
      </c>
      <c r="W65" s="17">
        <f>SUMIF(Parcels!$A:$A,
       $A65,
       Parcels!AC:AC)</f>
        <v>0</v>
      </c>
      <c r="X65" s="26">
        <f t="shared" si="6"/>
        <v>2550076.889</v>
      </c>
      <c r="Y65" s="26">
        <f t="shared" si="7"/>
        <v>2550076.889</v>
      </c>
      <c r="Z65" s="32">
        <f t="array" ref="Z65">_xlfn.XLOOKUP(
  A65,
  Parcels!A:A,
Parcels!AL:AL)</f>
        <v>0.0118738</v>
      </c>
      <c r="AA65" s="26">
        <f t="shared" si="18"/>
        <v>0</v>
      </c>
      <c r="AB65" s="26">
        <f t="shared" si="9"/>
        <v>30279.10296</v>
      </c>
      <c r="AC65" s="15"/>
      <c r="AD65" s="15"/>
      <c r="AE65" s="19" t="s">
        <v>474</v>
      </c>
      <c r="AJ65" s="14">
        <f t="shared" si="15"/>
        <v>99600</v>
      </c>
      <c r="AK65" s="14">
        <f t="shared" si="16"/>
        <v>24900</v>
      </c>
      <c r="AL65" s="19">
        <f t="shared" si="17"/>
        <v>0</v>
      </c>
      <c r="AM65" s="14">
        <f t="shared" si="4"/>
        <v>0</v>
      </c>
      <c r="AN65" s="19" t="str">
        <f t="array" ref="AN65">_xlfn.xlookup(C65,'SCC Certificate Review'!C:C,'SCC Certificate Review'!F:F)</f>
        <v/>
      </c>
    </row>
    <row r="66">
      <c r="A66" s="16">
        <v>63.0</v>
      </c>
      <c r="B66" s="19" t="s">
        <v>1133</v>
      </c>
      <c r="C66" s="19" t="s">
        <v>1134</v>
      </c>
      <c r="D66" s="19" t="s">
        <v>349</v>
      </c>
      <c r="E66" s="19" t="s">
        <v>111</v>
      </c>
      <c r="F66" s="19" t="s">
        <v>87</v>
      </c>
      <c r="G66" s="19" t="s">
        <v>1119</v>
      </c>
      <c r="H66" s="19" t="s">
        <v>1138</v>
      </c>
      <c r="I66" s="93">
        <v>45709.0</v>
      </c>
      <c r="J66" s="94"/>
      <c r="K66" s="19" t="s">
        <v>682</v>
      </c>
      <c r="M66" s="19" t="s">
        <v>90</v>
      </c>
      <c r="N66" s="19" t="b">
        <v>0</v>
      </c>
      <c r="O66" s="19">
        <v>32.0</v>
      </c>
      <c r="P66" s="19">
        <v>32.0</v>
      </c>
      <c r="Q66" s="10"/>
      <c r="R66" s="19" t="s">
        <v>1141</v>
      </c>
      <c r="S66" s="14">
        <v>4800.0</v>
      </c>
      <c r="T66" s="16" t="b">
        <f>COUNTIF(Parcels!A:A, A66) &gt; 0</f>
        <v>1</v>
      </c>
      <c r="U66" s="16" t="b">
        <f>MAXIFS(Parcels!AC:AC, Parcels!A:A, A66) &gt; 0</f>
        <v>0</v>
      </c>
      <c r="V66" s="17">
        <f>SUMIF(Parcels!A:A,
       A66,
       Parcels!Z:Z)</f>
        <v>10616112</v>
      </c>
      <c r="W66" s="17">
        <f>SUMIF(Parcels!$A:$A,
       $A66,
       Parcels!AC:AC)</f>
        <v>0</v>
      </c>
      <c r="X66" s="26">
        <f t="shared" si="6"/>
        <v>9554500.8</v>
      </c>
      <c r="Y66" s="26">
        <f t="shared" si="7"/>
        <v>9554500.8</v>
      </c>
      <c r="Z66" s="34">
        <f t="array" ref="Z66">_xlfn.XLOOKUP(
  A66,
  Parcels!A:A,
Parcels!AL:AL)</f>
        <v>0.011015</v>
      </c>
      <c r="AA66" s="26">
        <f t="shared" si="18"/>
        <v>0</v>
      </c>
      <c r="AB66" s="26">
        <f t="shared" si="9"/>
        <v>105242.8263</v>
      </c>
      <c r="AJ66" s="14">
        <f t="shared" si="15"/>
        <v>19200</v>
      </c>
      <c r="AK66" s="14">
        <f t="shared" si="16"/>
        <v>4800</v>
      </c>
      <c r="AL66" s="19">
        <f t="shared" si="17"/>
        <v>1</v>
      </c>
      <c r="AM66" s="14">
        <f t="shared" si="4"/>
        <v>4800</v>
      </c>
      <c r="AN66" s="19" t="b">
        <f t="array" ref="AN66">_xlfn.xlookup(C66,'SCC Certificate Review'!C:C,'SCC Certificate Review'!F:F)</f>
        <v>1</v>
      </c>
    </row>
    <row r="67">
      <c r="A67" s="16">
        <v>62.0</v>
      </c>
      <c r="B67" s="19" t="s">
        <v>1113</v>
      </c>
      <c r="C67" s="19" t="s">
        <v>1145</v>
      </c>
      <c r="D67" s="19" t="s">
        <v>114</v>
      </c>
      <c r="E67" s="19" t="s">
        <v>114</v>
      </c>
      <c r="F67" s="19" t="s">
        <v>87</v>
      </c>
      <c r="G67" s="19" t="s">
        <v>1119</v>
      </c>
      <c r="H67" s="19" t="s">
        <v>1146</v>
      </c>
      <c r="I67" s="93">
        <v>45709.0</v>
      </c>
      <c r="J67" s="94"/>
      <c r="K67" s="19" t="s">
        <v>1147</v>
      </c>
      <c r="M67" s="19" t="s">
        <v>938</v>
      </c>
      <c r="N67" s="19" t="b">
        <v>0</v>
      </c>
      <c r="O67" s="19">
        <v>116.0</v>
      </c>
      <c r="P67" s="19">
        <v>115.0</v>
      </c>
      <c r="Q67" s="20">
        <f>P67/O67</f>
        <v>0.9913793103</v>
      </c>
      <c r="R67" s="19" t="s">
        <v>1112</v>
      </c>
      <c r="S67" s="14">
        <v>17250.0</v>
      </c>
      <c r="T67" s="16" t="b">
        <f>COUNTIF(Parcels!A:A, A67) &gt; 0</f>
        <v>1</v>
      </c>
      <c r="U67" s="16" t="b">
        <f>MAXIFS(Parcels!AC:AC, Parcels!A:A, A67) &gt; 0</f>
        <v>0</v>
      </c>
      <c r="V67" s="17">
        <f>SUMIF(Parcels!A:A,
       A67,
       Parcels!Z:Z)</f>
        <v>2065837</v>
      </c>
      <c r="W67" s="17">
        <f>SUMIF(Parcels!$A:$A,
       $A67,
       Parcels!AC:AC)</f>
        <v>0</v>
      </c>
      <c r="X67" s="26">
        <f t="shared" si="6"/>
        <v>1843225.254</v>
      </c>
      <c r="Y67" s="26">
        <f t="shared" si="7"/>
        <v>1843225.254</v>
      </c>
      <c r="Z67" s="32">
        <f t="array" ref="Z67">_xlfn.XLOOKUP(
  A67,
  Parcels!A:A,
Parcels!AL:AL)</f>
        <v>0.0118738</v>
      </c>
      <c r="AA67" s="26">
        <f t="shared" si="18"/>
        <v>0</v>
      </c>
      <c r="AB67" s="26">
        <f t="shared" si="9"/>
        <v>21886.08802</v>
      </c>
      <c r="AC67" s="15"/>
      <c r="AD67" s="15"/>
      <c r="AE67" s="19" t="s">
        <v>474</v>
      </c>
      <c r="AJ67" s="14">
        <f t="shared" si="15"/>
        <v>69600</v>
      </c>
      <c r="AK67" s="14">
        <f t="shared" si="16"/>
        <v>17400</v>
      </c>
      <c r="AL67" s="19">
        <f t="shared" si="17"/>
        <v>0</v>
      </c>
      <c r="AM67" s="14">
        <f t="shared" si="4"/>
        <v>0</v>
      </c>
      <c r="AN67" s="19" t="b">
        <f t="array" ref="AN67">_xlfn.xlookup(C67,'SCC Certificate Review'!C:C,'SCC Certificate Review'!F:F)</f>
        <v>1</v>
      </c>
    </row>
    <row r="68">
      <c r="A68" s="16">
        <v>67.0</v>
      </c>
      <c r="B68" s="6" t="s">
        <v>1158</v>
      </c>
      <c r="C68" s="6" t="s">
        <v>1159</v>
      </c>
      <c r="D68" s="6" t="s">
        <v>128</v>
      </c>
      <c r="E68" s="6" t="s">
        <v>119</v>
      </c>
      <c r="F68" s="6" t="s">
        <v>87</v>
      </c>
      <c r="G68" s="6" t="s">
        <v>1119</v>
      </c>
      <c r="H68" s="6" t="s">
        <v>1160</v>
      </c>
      <c r="I68" s="21">
        <v>45730.0</v>
      </c>
      <c r="J68" s="27"/>
      <c r="K68" s="6" t="s">
        <v>1162</v>
      </c>
      <c r="M68" s="6" t="s">
        <v>203</v>
      </c>
      <c r="N68" s="6" t="b">
        <v>0</v>
      </c>
      <c r="O68" s="6">
        <v>169.0</v>
      </c>
      <c r="P68" s="6">
        <v>68.0</v>
      </c>
      <c r="Q68" s="20"/>
      <c r="R68" s="6" t="s">
        <v>1163</v>
      </c>
      <c r="S68" s="25">
        <v>10200.0</v>
      </c>
      <c r="T68" s="16" t="b">
        <f>COUNTIF(Parcels!A:A, A68) &gt; 0</f>
        <v>1</v>
      </c>
      <c r="U68" s="16" t="b">
        <f>MAXIFS(Parcels!AC:AC, Parcels!A:A, A68) &gt; 0</f>
        <v>0</v>
      </c>
      <c r="V68" s="17">
        <f>SUMIF(Parcels!A:A,
       A68,
       Parcels!Z:Z)</f>
        <v>60690000</v>
      </c>
      <c r="W68" s="17">
        <f>SUMIF(Parcels!$A:$A,
       $A68,
       Parcels!AC:AC)</f>
        <v>0</v>
      </c>
      <c r="X68" s="26">
        <f t="shared" si="6"/>
        <v>21977680.47</v>
      </c>
      <c r="Y68" s="26">
        <f t="shared" si="7"/>
        <v>21977680.47</v>
      </c>
      <c r="Z68" s="34">
        <f t="array" ref="Z68">_xlfn.XLOOKUP(
  A68,
  Parcels!A:A,
Parcels!AL:AL)</f>
        <v>0.011372</v>
      </c>
      <c r="AA68" s="26">
        <f t="shared" si="18"/>
        <v>0</v>
      </c>
      <c r="AB68" s="26">
        <f t="shared" si="9"/>
        <v>249930.1823</v>
      </c>
      <c r="AJ68" s="14">
        <f t="shared" si="15"/>
        <v>101400</v>
      </c>
      <c r="AK68" s="14">
        <f t="shared" si="16"/>
        <v>25350</v>
      </c>
      <c r="AL68" s="19">
        <f t="shared" si="17"/>
        <v>1</v>
      </c>
      <c r="AM68" s="14">
        <f t="shared" si="4"/>
        <v>25350</v>
      </c>
      <c r="AN68" s="19" t="b">
        <f t="array" ref="AN68">_xlfn.xlookup(C68,'SCC Certificate Review'!C:C,'SCC Certificate Review'!F:F)</f>
        <v>1</v>
      </c>
    </row>
    <row r="69">
      <c r="A69" s="16">
        <v>65.0</v>
      </c>
      <c r="B69" s="19" t="s">
        <v>1168</v>
      </c>
      <c r="C69" s="19" t="s">
        <v>1169</v>
      </c>
      <c r="D69" s="19" t="s">
        <v>273</v>
      </c>
      <c r="E69" s="19" t="s">
        <v>119</v>
      </c>
      <c r="F69" s="19" t="s">
        <v>87</v>
      </c>
      <c r="G69" s="19" t="s">
        <v>1119</v>
      </c>
      <c r="H69" s="19" t="s">
        <v>1170</v>
      </c>
      <c r="I69" s="93">
        <v>45730.0</v>
      </c>
      <c r="J69" s="94"/>
      <c r="K69" s="19" t="s">
        <v>1171</v>
      </c>
      <c r="L69" s="16"/>
      <c r="M69" s="19" t="s">
        <v>1172</v>
      </c>
      <c r="N69" s="19" t="b">
        <v>0</v>
      </c>
      <c r="O69" s="19">
        <v>272.0</v>
      </c>
      <c r="P69" s="19">
        <v>270.0</v>
      </c>
      <c r="Q69" s="10"/>
      <c r="R69" s="19" t="s">
        <v>1173</v>
      </c>
      <c r="S69" s="14">
        <v>40500.0</v>
      </c>
      <c r="T69" s="16" t="b">
        <f>COUNTIF(Parcels!A:A, A69) &gt; 0</f>
        <v>1</v>
      </c>
      <c r="U69" s="16" t="b">
        <f>MAXIFS(Parcels!AC:AC, Parcels!A:A, A69) &gt; 0</f>
        <v>1</v>
      </c>
      <c r="V69" s="17">
        <f>SUMIF(Parcels!A:A,
       A69,
       Parcels!Z:Z)</f>
        <v>53482929</v>
      </c>
      <c r="W69" s="17">
        <f>SUMIF(Parcels!$A:$A,
       $A69,
       Parcels!AC:AC)</f>
        <v>53482929</v>
      </c>
      <c r="X69" s="26">
        <f t="shared" si="6"/>
        <v>47780704.95</v>
      </c>
      <c r="Y69" s="26">
        <f t="shared" si="7"/>
        <v>53482929</v>
      </c>
      <c r="Z69" s="34">
        <f t="array" ref="Z69">_xlfn.XLOOKUP(
  A69,
  Parcels!A:A,
Parcels!AL:AL)</f>
        <v>0.011162</v>
      </c>
      <c r="AA69" s="26">
        <f t="shared" si="18"/>
        <v>596976.4535</v>
      </c>
      <c r="AB69" s="26">
        <f t="shared" si="9"/>
        <v>596976.4535</v>
      </c>
      <c r="AC69" s="16"/>
      <c r="AD69" s="16"/>
      <c r="AE69" s="19" t="s">
        <v>92</v>
      </c>
      <c r="AF69" s="19">
        <v>1978.0</v>
      </c>
      <c r="AG69" s="16"/>
      <c r="AH69" s="16"/>
      <c r="AI69" s="16"/>
      <c r="AJ69" s="14">
        <f t="shared" si="15"/>
        <v>163200</v>
      </c>
      <c r="AK69" s="14">
        <f t="shared" si="16"/>
        <v>40800</v>
      </c>
      <c r="AL69" s="19">
        <f t="shared" si="17"/>
        <v>1</v>
      </c>
      <c r="AM69" s="14">
        <f t="shared" si="4"/>
        <v>40800</v>
      </c>
      <c r="AN69" s="19" t="b">
        <f t="array" ref="AN69">_xlfn.xlookup(C69,'SCC Certificate Review'!C:C,'SCC Certificate Review'!F:F)</f>
        <v>1</v>
      </c>
    </row>
    <row r="70">
      <c r="A70" s="16">
        <v>66.0</v>
      </c>
      <c r="B70" s="19" t="s">
        <v>1140</v>
      </c>
      <c r="C70" s="19" t="s">
        <v>1178</v>
      </c>
      <c r="D70" s="19" t="s">
        <v>114</v>
      </c>
      <c r="E70" s="19" t="s">
        <v>114</v>
      </c>
      <c r="F70" s="19" t="s">
        <v>87</v>
      </c>
      <c r="G70" s="19" t="s">
        <v>1119</v>
      </c>
      <c r="H70" s="19" t="s">
        <v>1179</v>
      </c>
      <c r="I70" s="93">
        <v>45730.0</v>
      </c>
      <c r="J70" s="6" t="b">
        <v>1</v>
      </c>
      <c r="K70" s="19" t="s">
        <v>1180</v>
      </c>
      <c r="M70" s="19" t="s">
        <v>1181</v>
      </c>
      <c r="N70" s="19" t="b">
        <v>0</v>
      </c>
      <c r="O70" s="19">
        <v>13.0</v>
      </c>
      <c r="P70" s="19">
        <v>13.0</v>
      </c>
      <c r="Q70" s="20">
        <f t="shared" ref="Q70:Q72" si="21">P70/O70</f>
        <v>1</v>
      </c>
      <c r="R70" s="19" t="s">
        <v>1139</v>
      </c>
      <c r="S70" s="14">
        <v>2500.0</v>
      </c>
      <c r="T70" s="16" t="b">
        <f>COUNTIF(Parcels!A:A, A70) &gt; 0</f>
        <v>1</v>
      </c>
      <c r="U70" s="16" t="b">
        <f>MAXIFS(Parcels!AC:AC, Parcels!A:A, A70) &gt; 0</f>
        <v>0</v>
      </c>
      <c r="V70" s="17">
        <f>SUMIF(Parcels!A:A,
       A70,
       Parcels!Z:Z)</f>
        <v>7802661</v>
      </c>
      <c r="W70" s="17">
        <f>SUMIF(Parcels!$A:$A,
       $A70,
       Parcels!AC:AC)</f>
        <v>0</v>
      </c>
      <c r="X70" s="26">
        <f t="shared" si="6"/>
        <v>7022394.9</v>
      </c>
      <c r="Y70" s="26">
        <f t="shared" si="7"/>
        <v>7022394.9</v>
      </c>
      <c r="Z70" s="32">
        <f t="array" ref="Z70">_xlfn.XLOOKUP(
  A70,
  Parcels!A:A,
Parcels!AL:AL)</f>
        <v>0.0118738</v>
      </c>
      <c r="AA70" s="26">
        <f t="shared" si="18"/>
        <v>0</v>
      </c>
      <c r="AB70" s="26">
        <f t="shared" si="9"/>
        <v>83382.51256</v>
      </c>
      <c r="AC70" s="15"/>
      <c r="AD70" s="15"/>
      <c r="AJ70" s="14">
        <f t="shared" si="15"/>
        <v>10000</v>
      </c>
      <c r="AK70" s="14">
        <f t="shared" si="16"/>
        <v>4000</v>
      </c>
      <c r="AL70" s="19">
        <f t="shared" si="17"/>
        <v>1</v>
      </c>
      <c r="AM70" s="14">
        <f t="shared" si="4"/>
        <v>4000</v>
      </c>
      <c r="AN70" s="19" t="str">
        <f t="array" ref="AN70">_xlfn.xlookup(C70,'SCC Certificate Review'!C:C,'SCC Certificate Review'!F:F)</f>
        <v/>
      </c>
    </row>
    <row r="71">
      <c r="A71" s="16">
        <v>69.0</v>
      </c>
      <c r="B71" s="6" t="s">
        <v>1157</v>
      </c>
      <c r="C71" s="6" t="s">
        <v>1186</v>
      </c>
      <c r="D71" s="6" t="s">
        <v>114</v>
      </c>
      <c r="E71" s="6" t="s">
        <v>114</v>
      </c>
      <c r="F71" s="6" t="s">
        <v>87</v>
      </c>
      <c r="G71" s="6" t="s">
        <v>1119</v>
      </c>
      <c r="H71" s="6" t="s">
        <v>1187</v>
      </c>
      <c r="I71" s="21">
        <v>45751.0</v>
      </c>
      <c r="J71" s="38" t="b">
        <v>1</v>
      </c>
      <c r="K71" s="6" t="s">
        <v>201</v>
      </c>
      <c r="M71" s="6" t="s">
        <v>90</v>
      </c>
      <c r="N71" s="6" t="b">
        <v>0</v>
      </c>
      <c r="O71" s="6">
        <v>50.0</v>
      </c>
      <c r="P71" s="6">
        <v>50.0</v>
      </c>
      <c r="Q71" s="20">
        <f t="shared" si="21"/>
        <v>1</v>
      </c>
      <c r="R71" s="6" t="s">
        <v>1156</v>
      </c>
      <c r="S71" s="25">
        <v>4800.0</v>
      </c>
      <c r="T71" s="16" t="b">
        <f>COUNTIF(Parcels!A:A, A71) &gt; 0</f>
        <v>1</v>
      </c>
      <c r="U71" s="16" t="b">
        <f>MAXIFS(Parcels!AC:AC, Parcels!A:A, A71) &gt; 0</f>
        <v>0</v>
      </c>
      <c r="V71" s="17">
        <f>SUMIF(Parcels!A:A,
       A71,
       Parcels!Z:Z)</f>
        <v>14877720</v>
      </c>
      <c r="W71" s="17">
        <f>SUMIF(Parcels!$A:$A,
       $A71,
       Parcels!AC:AC)</f>
        <v>0</v>
      </c>
      <c r="X71" s="26">
        <f t="shared" si="6"/>
        <v>13389948</v>
      </c>
      <c r="Y71" s="26">
        <f t="shared" si="7"/>
        <v>13389948</v>
      </c>
      <c r="Z71" s="32">
        <f t="array" ref="Z71">_xlfn.XLOOKUP(
  A71,
  Parcels!A:A,
Parcels!AL:AL)</f>
        <v>0.0118738</v>
      </c>
      <c r="AA71" s="26">
        <f t="shared" si="18"/>
        <v>0</v>
      </c>
      <c r="AB71" s="26">
        <f t="shared" si="9"/>
        <v>158989.5646</v>
      </c>
      <c r="AC71" s="15"/>
      <c r="AD71" s="15"/>
      <c r="AJ71" s="14">
        <f t="shared" si="15"/>
        <v>30000</v>
      </c>
      <c r="AK71" s="14">
        <f t="shared" si="16"/>
        <v>7500</v>
      </c>
      <c r="AL71" s="19">
        <f t="shared" si="17"/>
        <v>1</v>
      </c>
      <c r="AM71" s="14">
        <f t="shared" si="4"/>
        <v>7500</v>
      </c>
      <c r="AN71" s="19" t="str">
        <f t="array" ref="AN71">_xlfn.xlookup(C71,'SCC Certificate Review'!C:C,'SCC Certificate Review'!F:F)</f>
        <v/>
      </c>
    </row>
    <row r="72">
      <c r="A72" s="16">
        <v>68.0</v>
      </c>
      <c r="B72" s="6" t="s">
        <v>990</v>
      </c>
      <c r="C72" s="6" t="s">
        <v>1192</v>
      </c>
      <c r="D72" s="6" t="s">
        <v>114</v>
      </c>
      <c r="E72" s="6" t="s">
        <v>114</v>
      </c>
      <c r="F72" s="6" t="s">
        <v>87</v>
      </c>
      <c r="G72" s="6" t="s">
        <v>1119</v>
      </c>
      <c r="H72" s="6" t="s">
        <v>1193</v>
      </c>
      <c r="I72" s="21">
        <v>45751.0</v>
      </c>
      <c r="J72" s="27"/>
      <c r="K72" s="6" t="s">
        <v>622</v>
      </c>
      <c r="M72" s="6" t="s">
        <v>560</v>
      </c>
      <c r="N72" s="6" t="b">
        <v>0</v>
      </c>
      <c r="O72" s="6">
        <v>189.0</v>
      </c>
      <c r="P72" s="6">
        <v>189.0</v>
      </c>
      <c r="Q72" s="20">
        <f t="shared" si="21"/>
        <v>1</v>
      </c>
      <c r="R72" s="6" t="s">
        <v>1151</v>
      </c>
      <c r="S72" s="25">
        <v>28350.0</v>
      </c>
      <c r="T72" s="16" t="b">
        <f>COUNTIF(Parcels!A:A, A72) &gt; 0</f>
        <v>1</v>
      </c>
      <c r="U72" s="16" t="b">
        <f>MAXIFS(Parcels!AC:AC, Parcels!A:A, A72) &gt; 0</f>
        <v>0</v>
      </c>
      <c r="V72" s="17">
        <f>SUMIF(Parcels!A:A,
       A72,
       Parcels!Z:Z)</f>
        <v>17292725</v>
      </c>
      <c r="W72" s="17">
        <f>SUMIF(Parcels!$A:$A,
       $A72,
       Parcels!AC:AC)</f>
        <v>0</v>
      </c>
      <c r="X72" s="26">
        <f t="shared" si="6"/>
        <v>15563452.5</v>
      </c>
      <c r="Y72" s="26">
        <f t="shared" si="7"/>
        <v>15563452.5</v>
      </c>
      <c r="Z72" s="32">
        <f t="array" ref="Z72">_xlfn.XLOOKUP(
  A72,
  Parcels!A:A,
Parcels!AL:AL)</f>
        <v>0.0118738</v>
      </c>
      <c r="AA72" s="26">
        <f t="shared" si="18"/>
        <v>0</v>
      </c>
      <c r="AB72" s="26">
        <f t="shared" si="9"/>
        <v>184797.3223</v>
      </c>
      <c r="AC72" s="15"/>
      <c r="AD72" s="15"/>
      <c r="AE72" s="6" t="s">
        <v>92</v>
      </c>
      <c r="AF72" s="6">
        <v>1964.0</v>
      </c>
      <c r="AI72" s="47"/>
      <c r="AJ72" s="14">
        <f t="shared" si="15"/>
        <v>113400</v>
      </c>
      <c r="AK72" s="14">
        <f t="shared" si="16"/>
        <v>28350</v>
      </c>
      <c r="AL72" s="19">
        <f t="shared" si="17"/>
        <v>1</v>
      </c>
      <c r="AM72" s="14">
        <f t="shared" si="4"/>
        <v>28350</v>
      </c>
      <c r="AN72" s="19" t="b">
        <f t="array" ref="AN72">_xlfn.xlookup(C72,'SCC Certificate Review'!C:C,'SCC Certificate Review'!F:F)</f>
        <v>1</v>
      </c>
    </row>
    <row r="73">
      <c r="A73" s="16">
        <v>70.0</v>
      </c>
      <c r="B73" s="6" t="s">
        <v>1198</v>
      </c>
      <c r="C73" s="6" t="s">
        <v>1199</v>
      </c>
      <c r="D73" s="6" t="s">
        <v>224</v>
      </c>
      <c r="E73" s="6" t="s">
        <v>124</v>
      </c>
      <c r="F73" s="6" t="s">
        <v>87</v>
      </c>
      <c r="G73" s="6" t="s">
        <v>1119</v>
      </c>
      <c r="H73" s="6" t="s">
        <v>1200</v>
      </c>
      <c r="I73" s="21">
        <v>45772.0</v>
      </c>
      <c r="J73" s="27"/>
      <c r="K73" s="6" t="s">
        <v>391</v>
      </c>
      <c r="M73" s="6" t="s">
        <v>938</v>
      </c>
      <c r="N73" s="6" t="b">
        <v>0</v>
      </c>
      <c r="O73" s="6">
        <v>122.0</v>
      </c>
      <c r="P73" s="6"/>
      <c r="Q73" s="20"/>
      <c r="R73" s="116" t="s">
        <v>1202</v>
      </c>
      <c r="S73" s="25">
        <v>18300.0</v>
      </c>
      <c r="T73" s="16" t="b">
        <f>COUNTIF(Parcels!A:A, A73) &gt; 0</f>
        <v>1</v>
      </c>
      <c r="U73" s="16" t="b">
        <f>MAXIFS(Parcels!AC:AC, Parcels!A:A, A73) &gt; 0</f>
        <v>0</v>
      </c>
      <c r="V73" s="17">
        <f>SUMIF(Parcels!A:A,
       A73,
       Parcels!Z:Z)</f>
        <v>34811784</v>
      </c>
      <c r="W73" s="17">
        <f>SUMIF(Parcels!$A:$A,
       $A73,
       Parcels!AC:AC)</f>
        <v>0</v>
      </c>
      <c r="X73" s="26">
        <f t="shared" si="6"/>
        <v>0</v>
      </c>
      <c r="Y73" s="26">
        <f t="shared" si="7"/>
        <v>0</v>
      </c>
      <c r="Z73" s="34">
        <f t="array" ref="Z73">_xlfn.XLOOKUP(
  A73,
  Parcels!A:A,
Parcels!AL:AL)</f>
        <v>0.011602</v>
      </c>
      <c r="AA73" s="26">
        <f t="shared" si="18"/>
        <v>0</v>
      </c>
      <c r="AB73" s="26">
        <f t="shared" si="9"/>
        <v>0</v>
      </c>
      <c r="AJ73" s="14">
        <f t="shared" si="15"/>
        <v>73200</v>
      </c>
      <c r="AK73" s="14">
        <f t="shared" si="16"/>
        <v>18300</v>
      </c>
      <c r="AL73" s="19">
        <f t="shared" si="17"/>
        <v>1</v>
      </c>
      <c r="AM73" s="14">
        <f t="shared" si="4"/>
        <v>18300</v>
      </c>
      <c r="AN73" s="19" t="str">
        <f t="array" ref="AN73">_xlfn.xlookup(C73,'SCC Certificate Review'!C:C,'SCC Certificate Review'!F:F)</f>
        <v/>
      </c>
    </row>
    <row r="74">
      <c r="A74" s="16">
        <v>71.0</v>
      </c>
      <c r="B74" s="6" t="s">
        <v>1212</v>
      </c>
      <c r="C74" s="6" t="s">
        <v>1213</v>
      </c>
      <c r="D74" s="6" t="s">
        <v>240</v>
      </c>
      <c r="E74" s="6" t="s">
        <v>124</v>
      </c>
      <c r="F74" s="6" t="s">
        <v>87</v>
      </c>
      <c r="G74" s="6" t="s">
        <v>1119</v>
      </c>
      <c r="H74" s="6" t="s">
        <v>1214</v>
      </c>
      <c r="I74" s="21">
        <v>45772.0</v>
      </c>
      <c r="J74" s="27"/>
      <c r="K74" s="6" t="s">
        <v>391</v>
      </c>
      <c r="M74" s="6" t="s">
        <v>938</v>
      </c>
      <c r="N74" s="6" t="b">
        <v>0</v>
      </c>
      <c r="O74" s="6">
        <v>112.0</v>
      </c>
      <c r="P74" s="6">
        <v>112.0</v>
      </c>
      <c r="Q74" s="20"/>
      <c r="R74" s="6" t="s">
        <v>1217</v>
      </c>
      <c r="S74" s="25">
        <v>16800.0</v>
      </c>
      <c r="T74" s="16" t="b">
        <f>COUNTIF(Parcels!A:A, A74) &gt; 0</f>
        <v>1</v>
      </c>
      <c r="U74" s="16" t="b">
        <f>MAXIFS(Parcels!AC:AC, Parcels!A:A, A74) &gt; 0</f>
        <v>0</v>
      </c>
      <c r="V74" s="17">
        <f>SUMIF(Parcels!A:A,
       A74,
       Parcels!Z:Z)</f>
        <v>25240000</v>
      </c>
      <c r="W74" s="17">
        <f>SUMIF(Parcels!$A:$A,
       $A74,
       Parcels!AC:AC)</f>
        <v>0</v>
      </c>
      <c r="X74" s="26">
        <f t="shared" si="6"/>
        <v>22716000</v>
      </c>
      <c r="Y74" s="26">
        <f t="shared" si="7"/>
        <v>22716000</v>
      </c>
      <c r="Z74" s="34">
        <f t="array" ref="Z74">_xlfn.XLOOKUP(
  A74,
  Parcels!A:A,
Parcels!AL:AL)</f>
        <v>0.010941</v>
      </c>
      <c r="AA74" s="26">
        <f t="shared" si="18"/>
        <v>0</v>
      </c>
      <c r="AB74" s="26">
        <f t="shared" si="9"/>
        <v>248535.756</v>
      </c>
      <c r="AD74" s="117" t="s">
        <v>1220</v>
      </c>
      <c r="AH74" s="47">
        <v>45631.0</v>
      </c>
      <c r="AJ74" s="14">
        <f t="shared" si="15"/>
        <v>67200</v>
      </c>
      <c r="AK74" s="14">
        <f t="shared" si="16"/>
        <v>16800</v>
      </c>
      <c r="AL74" s="19">
        <f t="shared" si="17"/>
        <v>1</v>
      </c>
      <c r="AM74" s="14">
        <f t="shared" si="4"/>
        <v>16800</v>
      </c>
      <c r="AN74" s="19" t="str">
        <f t="array" ref="AN74">_xlfn.xlookup(C74,'SCC Certificate Review'!C:C,'SCC Certificate Review'!F:F)</f>
        <v/>
      </c>
    </row>
    <row r="75">
      <c r="A75" s="16">
        <v>72.0</v>
      </c>
      <c r="B75" s="6" t="s">
        <v>805</v>
      </c>
      <c r="C75" s="6" t="s">
        <v>1224</v>
      </c>
      <c r="D75" s="6" t="s">
        <v>123</v>
      </c>
      <c r="E75" s="6" t="s">
        <v>123</v>
      </c>
      <c r="F75" s="6" t="s">
        <v>87</v>
      </c>
      <c r="H75" s="6" t="s">
        <v>1225</v>
      </c>
      <c r="I75" s="21">
        <v>45772.0</v>
      </c>
      <c r="J75" s="27"/>
      <c r="K75" s="6" t="s">
        <v>1226</v>
      </c>
      <c r="L75" s="6" t="s">
        <v>1227</v>
      </c>
      <c r="M75" s="6" t="s">
        <v>1228</v>
      </c>
      <c r="N75" s="6" t="b">
        <v>0</v>
      </c>
      <c r="O75" s="6">
        <v>136.0</v>
      </c>
      <c r="P75" s="6">
        <v>136.0</v>
      </c>
      <c r="Q75" s="20"/>
      <c r="R75" s="6" t="s">
        <v>1197</v>
      </c>
      <c r="S75" s="25">
        <v>20400.0</v>
      </c>
      <c r="T75" s="16" t="b">
        <f>COUNTIF(Parcels!A:A, A75) &gt; 0</f>
        <v>1</v>
      </c>
      <c r="U75" s="16" t="b">
        <f>MAXIFS(Parcels!AC:AC, Parcels!A:A, A75) &gt; 0</f>
        <v>0</v>
      </c>
      <c r="V75" s="17">
        <f>SUMIF(Parcels!A:A,
       A75,
       Parcels!Z:Z)</f>
        <v>73513835</v>
      </c>
      <c r="W75" s="17">
        <f>SUMIF(Parcels!$A:$A,
       $A75,
       Parcels!AC:AC)</f>
        <v>0</v>
      </c>
      <c r="X75" s="26">
        <f t="shared" si="6"/>
        <v>66162451.5</v>
      </c>
      <c r="Y75" s="26">
        <f t="shared" si="7"/>
        <v>66162451.5</v>
      </c>
      <c r="Z75" s="34">
        <f t="array" ref="Z75">_xlfn.XLOOKUP(
  A75,
  Parcels!A:A,
Parcels!AL:AL)</f>
        <v>0.012</v>
      </c>
      <c r="AA75" s="26">
        <f t="shared" si="18"/>
        <v>0</v>
      </c>
      <c r="AB75" s="26">
        <f t="shared" si="9"/>
        <v>793949.418</v>
      </c>
      <c r="AE75" s="6" t="s">
        <v>92</v>
      </c>
      <c r="AF75" s="6">
        <v>2016.0</v>
      </c>
      <c r="AJ75" s="14">
        <f t="shared" si="15"/>
        <v>81600</v>
      </c>
      <c r="AK75" s="14">
        <f t="shared" si="16"/>
        <v>20400</v>
      </c>
      <c r="AL75" s="19">
        <f t="shared" si="17"/>
        <v>1</v>
      </c>
      <c r="AM75" s="14">
        <f t="shared" si="4"/>
        <v>20400</v>
      </c>
      <c r="AN75" s="19" t="str">
        <f t="array" ref="AN75">_xlfn.xlookup(C75,'SCC Certificate Review'!C:C,'SCC Certificate Review'!F:F)</f>
        <v/>
      </c>
    </row>
    <row r="76">
      <c r="A76" s="16">
        <v>73.0</v>
      </c>
      <c r="B76" s="40" t="s">
        <v>1207</v>
      </c>
      <c r="C76" s="40" t="s">
        <v>1231</v>
      </c>
      <c r="D76" s="118" t="s">
        <v>114</v>
      </c>
      <c r="E76" s="118" t="s">
        <v>114</v>
      </c>
      <c r="F76" s="6" t="s">
        <v>87</v>
      </c>
      <c r="G76" s="6"/>
      <c r="H76" s="118" t="s">
        <v>1236</v>
      </c>
      <c r="I76" s="21">
        <v>45793.0</v>
      </c>
      <c r="J76" s="27"/>
      <c r="K76" s="6" t="s">
        <v>1121</v>
      </c>
      <c r="M76" s="6" t="s">
        <v>90</v>
      </c>
      <c r="N76" s="6" t="b">
        <v>0</v>
      </c>
      <c r="O76" s="6">
        <v>189.0</v>
      </c>
      <c r="P76" s="6">
        <v>148.0</v>
      </c>
      <c r="Q76" s="20">
        <f>P76/O76</f>
        <v>0.7830687831</v>
      </c>
      <c r="R76" s="6" t="s">
        <v>1206</v>
      </c>
      <c r="S76" s="25">
        <v>22200.0</v>
      </c>
      <c r="T76" s="16" t="b">
        <f>COUNTIF(Parcels!A:A, A76) &gt; 0</f>
        <v>1</v>
      </c>
      <c r="U76" s="16" t="b">
        <f>MAXIFS(Parcels!AC:AC, Parcels!A:A, A76) &gt; 0</f>
        <v>0</v>
      </c>
      <c r="V76" s="17">
        <f>SUMIF(Parcels!A:A,
       A76,
       Parcels!Z:Z)</f>
        <v>3138751</v>
      </c>
      <c r="W76" s="17">
        <f>SUMIF(Parcels!$A:$A,
       $A76,
       Parcels!AC:AC)</f>
        <v>0</v>
      </c>
      <c r="X76" s="26">
        <f t="shared" si="6"/>
        <v>2212072.133</v>
      </c>
      <c r="Y76" s="26">
        <f t="shared" si="7"/>
        <v>2212072.133</v>
      </c>
      <c r="Z76" s="32">
        <f t="array" ref="Z76">_xlfn.XLOOKUP(
  A76,
  Parcels!A:A,
Parcels!AL:AL)</f>
        <v>0.0118738</v>
      </c>
      <c r="AA76" s="26">
        <f t="shared" si="18"/>
        <v>0</v>
      </c>
      <c r="AB76" s="26">
        <f t="shared" si="9"/>
        <v>26265.7021</v>
      </c>
      <c r="AC76" s="15"/>
      <c r="AD76" s="15"/>
      <c r="AE76" s="6" t="s">
        <v>474</v>
      </c>
      <c r="AJ76" s="14">
        <f t="shared" si="15"/>
        <v>113400</v>
      </c>
      <c r="AK76" s="14">
        <f t="shared" si="16"/>
        <v>28350</v>
      </c>
      <c r="AL76" s="19">
        <f t="shared" si="17"/>
        <v>0</v>
      </c>
      <c r="AM76" s="14">
        <f t="shared" si="4"/>
        <v>0</v>
      </c>
      <c r="AN76" s="19" t="b">
        <f t="array" ref="AN76">_xlfn.xlookup(C76,'SCC Certificate Review'!C:C,'SCC Certificate Review'!F:F)</f>
        <v>1</v>
      </c>
    </row>
    <row r="77">
      <c r="A77" s="16">
        <v>75.0</v>
      </c>
      <c r="B77" s="6" t="s">
        <v>1244</v>
      </c>
      <c r="C77" s="6" t="s">
        <v>1245</v>
      </c>
      <c r="D77" s="6" t="s">
        <v>122</v>
      </c>
      <c r="E77" s="6" t="s">
        <v>122</v>
      </c>
      <c r="F77" s="6" t="s">
        <v>87</v>
      </c>
      <c r="G77" s="6" t="s">
        <v>1119</v>
      </c>
      <c r="H77" s="6" t="s">
        <v>1246</v>
      </c>
      <c r="I77" s="21">
        <v>45793.0</v>
      </c>
      <c r="J77" s="27"/>
      <c r="K77" s="6" t="s">
        <v>623</v>
      </c>
      <c r="L77" s="6" t="s">
        <v>925</v>
      </c>
      <c r="M77" s="6" t="s">
        <v>1076</v>
      </c>
      <c r="N77" s="6" t="b">
        <v>0</v>
      </c>
      <c r="O77" s="6">
        <v>203.0</v>
      </c>
      <c r="P77" s="6">
        <v>203.0</v>
      </c>
      <c r="Q77" s="20"/>
      <c r="R77" s="6" t="s">
        <v>1249</v>
      </c>
      <c r="S77" s="25">
        <v>30450.0</v>
      </c>
      <c r="T77" s="16" t="b">
        <f>COUNTIF(Parcels!A:A, A77) &gt; 0</f>
        <v>1</v>
      </c>
      <c r="U77" s="16" t="b">
        <f>MAXIFS(Parcels!AC:AC, Parcels!A:A, A77) &gt; 0</f>
        <v>0</v>
      </c>
      <c r="V77" s="17">
        <f>SUMIF(Parcels!A:A,
       A77,
       Parcels!Z:Z)</f>
        <v>30350548</v>
      </c>
      <c r="W77" s="17">
        <f>SUMIF(Parcels!$A:$A,
       $A77,
       Parcels!AC:AC)</f>
        <v>0</v>
      </c>
      <c r="X77" s="26">
        <f t="shared" si="6"/>
        <v>27315493.2</v>
      </c>
      <c r="Y77" s="26">
        <f t="shared" si="7"/>
        <v>27315493.2</v>
      </c>
      <c r="Z77" s="34">
        <f t="array" ref="Z77">_xlfn.XLOOKUP(
  A77,
  Parcels!A:A,
Parcels!AL:AL)</f>
        <v>0.0125114</v>
      </c>
      <c r="AA77" s="26">
        <f t="shared" si="18"/>
        <v>0</v>
      </c>
      <c r="AB77" s="26">
        <f t="shared" si="9"/>
        <v>341755.0616</v>
      </c>
      <c r="AE77" s="6" t="s">
        <v>92</v>
      </c>
      <c r="AJ77" s="14">
        <f t="shared" si="15"/>
        <v>121800</v>
      </c>
      <c r="AK77" s="14">
        <f t="shared" si="16"/>
        <v>30450</v>
      </c>
      <c r="AL77" s="19">
        <f t="shared" si="17"/>
        <v>1</v>
      </c>
      <c r="AM77" s="14">
        <f t="shared" si="4"/>
        <v>30450</v>
      </c>
      <c r="AN77" s="19" t="str">
        <f t="array" ref="AN77">_xlfn.xlookup(C77,'SCC Certificate Review'!C:C,'SCC Certificate Review'!F:F)</f>
        <v/>
      </c>
    </row>
    <row r="78">
      <c r="A78" s="16">
        <v>74.0</v>
      </c>
      <c r="B78" s="6" t="s">
        <v>1256</v>
      </c>
      <c r="C78" s="6" t="s">
        <v>1257</v>
      </c>
      <c r="D78" s="6" t="s">
        <v>122</v>
      </c>
      <c r="E78" s="6" t="s">
        <v>122</v>
      </c>
      <c r="F78" s="6" t="s">
        <v>87</v>
      </c>
      <c r="G78" s="6" t="s">
        <v>1119</v>
      </c>
      <c r="H78" s="6" t="s">
        <v>1258</v>
      </c>
      <c r="I78" s="21">
        <v>45793.0</v>
      </c>
      <c r="J78" s="27"/>
      <c r="K78" s="6" t="s">
        <v>1259</v>
      </c>
      <c r="M78" s="6" t="s">
        <v>951</v>
      </c>
      <c r="N78" s="6" t="b">
        <v>0</v>
      </c>
      <c r="O78" s="6">
        <v>147.0</v>
      </c>
      <c r="P78" s="6">
        <v>145.0</v>
      </c>
      <c r="Q78" s="20"/>
      <c r="R78" s="6" t="s">
        <v>1260</v>
      </c>
      <c r="S78" s="25">
        <v>22050.0</v>
      </c>
      <c r="T78" s="16" t="b">
        <f>COUNTIF(Parcels!A:A, A78) &gt; 0</f>
        <v>1</v>
      </c>
      <c r="U78" s="16" t="b">
        <f>MAXIFS(Parcels!AC:AC, Parcels!A:A, A78) &gt; 0</f>
        <v>0</v>
      </c>
      <c r="V78" s="17">
        <f>SUMIF(Parcels!A:A,
       A78,
       Parcels!Z:Z)</f>
        <v>2804259</v>
      </c>
      <c r="W78" s="17">
        <f>SUMIF(Parcels!$A:$A,
       $A78,
       Parcels!AC:AC)</f>
        <v>0</v>
      </c>
      <c r="X78" s="26">
        <f t="shared" si="6"/>
        <v>2489495.235</v>
      </c>
      <c r="Y78" s="26">
        <f t="shared" si="7"/>
        <v>2489495.235</v>
      </c>
      <c r="Z78" s="34">
        <f t="array" ref="Z78">_xlfn.XLOOKUP(
  A78,
  Parcels!A:A,
Parcels!AL:AL)</f>
        <v>0.0125114</v>
      </c>
      <c r="AA78" s="26">
        <f t="shared" si="18"/>
        <v>0</v>
      </c>
      <c r="AB78" s="26">
        <f t="shared" si="9"/>
        <v>31147.07068</v>
      </c>
      <c r="AE78" s="6" t="s">
        <v>474</v>
      </c>
      <c r="AJ78" s="14">
        <f t="shared" si="15"/>
        <v>88200</v>
      </c>
      <c r="AK78" s="14">
        <f t="shared" si="16"/>
        <v>22050</v>
      </c>
      <c r="AL78" s="19">
        <f t="shared" si="17"/>
        <v>0</v>
      </c>
      <c r="AM78" s="14">
        <f t="shared" si="4"/>
        <v>0</v>
      </c>
      <c r="AN78" s="19" t="b">
        <f t="array" ref="AN78">_xlfn.xlookup(C78,'SCC Certificate Review'!C:C,'SCC Certificate Review'!F:F)</f>
        <v>1</v>
      </c>
    </row>
    <row r="79">
      <c r="A79" s="16">
        <v>76.0</v>
      </c>
      <c r="B79" s="6" t="s">
        <v>1237</v>
      </c>
      <c r="C79" s="6" t="s">
        <v>1237</v>
      </c>
      <c r="D79" s="6" t="s">
        <v>114</v>
      </c>
      <c r="E79" s="6" t="s">
        <v>114</v>
      </c>
      <c r="F79" s="6" t="s">
        <v>87</v>
      </c>
      <c r="G79" s="6"/>
      <c r="H79" s="6" t="s">
        <v>1267</v>
      </c>
      <c r="I79" s="21">
        <v>45814.0</v>
      </c>
      <c r="J79" s="27"/>
      <c r="K79" s="6" t="s">
        <v>445</v>
      </c>
      <c r="M79" s="6" t="s">
        <v>90</v>
      </c>
      <c r="N79" s="6" t="b">
        <v>0</v>
      </c>
      <c r="O79" s="6">
        <v>50.0</v>
      </c>
      <c r="P79" s="6">
        <v>49.0</v>
      </c>
      <c r="Q79" s="20">
        <f>P79/O79</f>
        <v>0.98</v>
      </c>
      <c r="R79" s="6" t="s">
        <v>1235</v>
      </c>
      <c r="S79" s="25">
        <v>7350.0</v>
      </c>
      <c r="T79" s="16" t="b">
        <f>COUNTIF(Parcels!A:A, A79) &gt; 0</f>
        <v>1</v>
      </c>
      <c r="U79" s="16" t="b">
        <f>MAXIFS(Parcels!AC:AC, Parcels!A:A, A79) &gt; 0</f>
        <v>0</v>
      </c>
      <c r="V79" s="17">
        <f>SUMIF(Parcels!A:A,
       A79,
       Parcels!Z:Z)</f>
        <v>1569525</v>
      </c>
      <c r="W79" s="17">
        <f>SUMIF(Parcels!$A:$A,
       $A79,
       Parcels!AC:AC)</f>
        <v>0</v>
      </c>
      <c r="X79" s="26">
        <f t="shared" si="6"/>
        <v>1384321.05</v>
      </c>
      <c r="Y79" s="26">
        <f t="shared" si="7"/>
        <v>1384321.05</v>
      </c>
      <c r="Z79" s="32">
        <f t="array" ref="Z79">_xlfn.XLOOKUP(
  A79,
  Parcels!A:A,
Parcels!AL:AL)</f>
        <v>0.0118738</v>
      </c>
      <c r="AA79" s="26">
        <f t="shared" si="18"/>
        <v>0</v>
      </c>
      <c r="AB79" s="26">
        <f t="shared" si="9"/>
        <v>16437.15128</v>
      </c>
      <c r="AC79" s="15"/>
      <c r="AD79" s="15"/>
      <c r="AE79" s="6" t="s">
        <v>474</v>
      </c>
      <c r="AJ79" s="14">
        <f t="shared" si="15"/>
        <v>30000</v>
      </c>
      <c r="AK79" s="14">
        <f t="shared" si="16"/>
        <v>7500</v>
      </c>
      <c r="AL79" s="19">
        <f t="shared" si="17"/>
        <v>0</v>
      </c>
      <c r="AM79" s="14">
        <f t="shared" si="4"/>
        <v>0</v>
      </c>
      <c r="AN79" s="19" t="str">
        <f t="array" ref="AN79">_xlfn.xlookup(C79,'SCC Certificate Review'!C:C,'SCC Certificate Review'!F:F)</f>
        <v/>
      </c>
    </row>
    <row r="80">
      <c r="A80" s="16">
        <v>78.0</v>
      </c>
      <c r="B80" s="6" t="s">
        <v>1053</v>
      </c>
      <c r="C80" s="6" t="s">
        <v>1280</v>
      </c>
      <c r="D80" s="6" t="s">
        <v>346</v>
      </c>
      <c r="E80" s="6" t="s">
        <v>111</v>
      </c>
      <c r="F80" s="6" t="s">
        <v>87</v>
      </c>
      <c r="G80" s="6" t="s">
        <v>1119</v>
      </c>
      <c r="H80" s="6" t="s">
        <v>1281</v>
      </c>
      <c r="I80" s="21">
        <v>45835.0</v>
      </c>
      <c r="J80" s="27"/>
      <c r="K80" s="6" t="s">
        <v>1288</v>
      </c>
      <c r="L80" s="6" t="s">
        <v>1289</v>
      </c>
      <c r="M80" s="6" t="s">
        <v>299</v>
      </c>
      <c r="N80" s="6" t="b">
        <v>0</v>
      </c>
      <c r="O80" s="6">
        <v>1008.0</v>
      </c>
      <c r="P80" s="6">
        <v>1008.0</v>
      </c>
      <c r="Q80" s="20"/>
      <c r="R80" s="6" t="s">
        <v>1290</v>
      </c>
      <c r="S80" s="25">
        <v>98100.0</v>
      </c>
      <c r="T80" s="16" t="b">
        <f>COUNTIF(Parcels!A:A, A80) &gt; 0</f>
        <v>1</v>
      </c>
      <c r="U80" s="16" t="b">
        <f>MAXIFS(Parcels!AC:AC, Parcels!A:A, A80) &gt; 0</f>
        <v>0</v>
      </c>
      <c r="V80" s="17">
        <f>SUMIF(Parcels!A:A,
       A80,
       Parcels!Z:Z)</f>
        <v>222047798</v>
      </c>
      <c r="W80" s="17">
        <f>SUMIF(Parcels!$A:$A,
       $A80,
       Parcels!AC:AC)</f>
        <v>0</v>
      </c>
      <c r="X80" s="26">
        <f t="shared" si="6"/>
        <v>199843018.2</v>
      </c>
      <c r="Y80" s="26">
        <f t="shared" si="7"/>
        <v>199843018.2</v>
      </c>
      <c r="Z80" s="34">
        <f t="array" ref="Z80">_xlfn.XLOOKUP(
  A80,
  Parcels!A:A,
Parcels!AL:AL)</f>
        <v>0.014192</v>
      </c>
      <c r="AA80" s="26">
        <f t="shared" si="18"/>
        <v>0</v>
      </c>
      <c r="AB80" s="26">
        <f t="shared" si="9"/>
        <v>2836172.114</v>
      </c>
      <c r="AC80" s="39" t="s">
        <v>1296</v>
      </c>
      <c r="AE80" s="6" t="s">
        <v>92</v>
      </c>
      <c r="AJ80" s="14">
        <f t="shared" si="15"/>
        <v>604800</v>
      </c>
      <c r="AK80" s="14">
        <f t="shared" si="16"/>
        <v>151200</v>
      </c>
      <c r="AL80" s="19">
        <f t="shared" si="17"/>
        <v>1</v>
      </c>
      <c r="AM80" s="14">
        <f t="shared" si="4"/>
        <v>151200</v>
      </c>
      <c r="AN80" s="19" t="b">
        <f t="array" ref="AN80">_xlfn.xlookup(C80,'SCC Certificate Review'!C:C,'SCC Certificate Review'!F:F)</f>
        <v>1</v>
      </c>
    </row>
    <row r="81">
      <c r="A81" s="16">
        <v>80.0</v>
      </c>
      <c r="B81" s="6" t="s">
        <v>1265</v>
      </c>
      <c r="C81" s="6" t="s">
        <v>1298</v>
      </c>
      <c r="D81" s="6" t="s">
        <v>114</v>
      </c>
      <c r="E81" s="6" t="s">
        <v>114</v>
      </c>
      <c r="F81" s="6" t="s">
        <v>87</v>
      </c>
      <c r="G81" s="6" t="s">
        <v>1119</v>
      </c>
      <c r="H81" s="6" t="s">
        <v>1299</v>
      </c>
      <c r="I81" s="21">
        <v>45835.0</v>
      </c>
      <c r="J81" s="27"/>
      <c r="K81" s="6" t="s">
        <v>445</v>
      </c>
      <c r="M81" s="6" t="s">
        <v>90</v>
      </c>
      <c r="N81" s="6" t="b">
        <v>0</v>
      </c>
      <c r="O81" s="6">
        <v>36.0</v>
      </c>
      <c r="P81" s="6">
        <v>35.0</v>
      </c>
      <c r="Q81" s="20">
        <f t="shared" ref="Q81:Q91" si="22">P81/O81</f>
        <v>0.9722222222</v>
      </c>
      <c r="R81" s="6" t="s">
        <v>1264</v>
      </c>
      <c r="S81" s="25">
        <v>5250.0</v>
      </c>
      <c r="T81" s="16" t="b">
        <f>COUNTIF(Parcels!A:A, A81) &gt; 0</f>
        <v>1</v>
      </c>
      <c r="U81" s="16" t="b">
        <f>MAXIFS(Parcels!AC:AC, Parcels!A:A, A81) &gt; 0</f>
        <v>0</v>
      </c>
      <c r="V81" s="17">
        <f>SUMIF(Parcels!A:A,
       A81,
       Parcels!Z:Z)</f>
        <v>3451872</v>
      </c>
      <c r="W81" s="17">
        <f>SUMIF(Parcels!$A:$A,
       $A81,
       Parcels!AC:AC)</f>
        <v>0</v>
      </c>
      <c r="X81" s="26">
        <f t="shared" si="6"/>
        <v>3020388</v>
      </c>
      <c r="Y81" s="26">
        <f t="shared" si="7"/>
        <v>3020388</v>
      </c>
      <c r="Z81" s="32">
        <f t="array" ref="Z81">_xlfn.XLOOKUP(
  A81,
  Parcels!A:A,
Parcels!AL:AL)</f>
        <v>0.0118738</v>
      </c>
      <c r="AA81" s="26">
        <f t="shared" si="18"/>
        <v>0</v>
      </c>
      <c r="AB81" s="26">
        <f t="shared" si="9"/>
        <v>35863.48303</v>
      </c>
      <c r="AC81" s="15"/>
      <c r="AD81" s="15"/>
      <c r="AE81" s="6" t="s">
        <v>474</v>
      </c>
      <c r="AJ81" s="14">
        <f t="shared" si="15"/>
        <v>21600</v>
      </c>
      <c r="AK81" s="14">
        <f t="shared" si="16"/>
        <v>5400</v>
      </c>
      <c r="AL81" s="19">
        <f t="shared" si="17"/>
        <v>0</v>
      </c>
      <c r="AM81" s="14">
        <f t="shared" si="4"/>
        <v>0</v>
      </c>
      <c r="AN81" s="19" t="str">
        <f t="array" ref="AN81">_xlfn.xlookup(C81,'SCC Certificate Review'!C:C,'SCC Certificate Review'!F:F)</f>
        <v/>
      </c>
    </row>
    <row r="82">
      <c r="A82" s="16">
        <v>81.0</v>
      </c>
      <c r="B82" s="6" t="s">
        <v>1272</v>
      </c>
      <c r="C82" s="6" t="s">
        <v>1314</v>
      </c>
      <c r="D82" s="6" t="s">
        <v>114</v>
      </c>
      <c r="E82" s="6" t="s">
        <v>114</v>
      </c>
      <c r="F82" s="6" t="s">
        <v>87</v>
      </c>
      <c r="G82" s="6" t="s">
        <v>1119</v>
      </c>
      <c r="H82" s="6" t="s">
        <v>1315</v>
      </c>
      <c r="I82" s="21">
        <v>45835.0</v>
      </c>
      <c r="J82" s="27"/>
      <c r="K82" s="6" t="s">
        <v>445</v>
      </c>
      <c r="M82" s="6" t="s">
        <v>90</v>
      </c>
      <c r="N82" s="6" t="b">
        <v>0</v>
      </c>
      <c r="O82" s="6">
        <v>31.0</v>
      </c>
      <c r="P82" s="6">
        <v>30.0</v>
      </c>
      <c r="Q82" s="20">
        <f t="shared" si="22"/>
        <v>0.9677419355</v>
      </c>
      <c r="R82" s="6" t="s">
        <v>1271</v>
      </c>
      <c r="S82" s="25">
        <v>4500.0</v>
      </c>
      <c r="T82" s="16" t="b">
        <f>COUNTIF(Parcels!A:A, A82) &gt; 0</f>
        <v>1</v>
      </c>
      <c r="U82" s="16" t="b">
        <f>MAXIFS(Parcels!AC:AC, Parcels!A:A, A82) &gt; 0</f>
        <v>0</v>
      </c>
      <c r="V82" s="17">
        <f>SUMIF(Parcels!A:A,
       A82,
       Parcels!Z:Z)</f>
        <v>5960901</v>
      </c>
      <c r="W82" s="17">
        <f>SUMIF(Parcels!$A:$A,
       $A82,
       Parcels!AC:AC)</f>
        <v>0</v>
      </c>
      <c r="X82" s="26">
        <f t="shared" si="6"/>
        <v>5191752.484</v>
      </c>
      <c r="Y82" s="26">
        <f t="shared" si="7"/>
        <v>5191752.484</v>
      </c>
      <c r="Z82" s="32">
        <f t="array" ref="Z82">_xlfn.XLOOKUP(
  A82,
  Parcels!A:A,
Parcels!AL:AL)</f>
        <v>0.0118738</v>
      </c>
      <c r="AA82" s="26">
        <f t="shared" si="18"/>
        <v>0</v>
      </c>
      <c r="AB82" s="26">
        <f t="shared" si="9"/>
        <v>61645.83064</v>
      </c>
      <c r="AC82" s="15"/>
      <c r="AD82" s="15"/>
      <c r="AE82" s="6" t="s">
        <v>474</v>
      </c>
      <c r="AJ82" s="14">
        <f t="shared" si="15"/>
        <v>18600</v>
      </c>
      <c r="AK82" s="14">
        <f t="shared" si="16"/>
        <v>4650</v>
      </c>
      <c r="AL82" s="19">
        <f t="shared" si="17"/>
        <v>0</v>
      </c>
      <c r="AM82" s="14">
        <f t="shared" si="4"/>
        <v>0</v>
      </c>
      <c r="AN82" s="19" t="str">
        <f t="array" ref="AN82">_xlfn.xlookup(C82,'SCC Certificate Review'!C:C,'SCC Certificate Review'!F:F)</f>
        <v/>
      </c>
    </row>
    <row r="83">
      <c r="A83" s="16">
        <v>82.0</v>
      </c>
      <c r="B83" s="6" t="s">
        <v>1278</v>
      </c>
      <c r="C83" s="6" t="s">
        <v>1321</v>
      </c>
      <c r="D83" s="6" t="s">
        <v>114</v>
      </c>
      <c r="E83" s="6" t="s">
        <v>114</v>
      </c>
      <c r="F83" s="6" t="s">
        <v>87</v>
      </c>
      <c r="G83" s="6" t="s">
        <v>1119</v>
      </c>
      <c r="H83" s="6" t="s">
        <v>1322</v>
      </c>
      <c r="I83" s="21">
        <v>45835.0</v>
      </c>
      <c r="J83" s="27"/>
      <c r="K83" s="6" t="s">
        <v>445</v>
      </c>
      <c r="M83" s="6" t="s">
        <v>90</v>
      </c>
      <c r="N83" s="6" t="b">
        <v>0</v>
      </c>
      <c r="O83" s="6">
        <v>20.0</v>
      </c>
      <c r="P83" s="6">
        <v>19.0</v>
      </c>
      <c r="Q83" s="20">
        <f t="shared" si="22"/>
        <v>0.95</v>
      </c>
      <c r="R83" s="6" t="s">
        <v>1277</v>
      </c>
      <c r="S83" s="25">
        <v>2850.0</v>
      </c>
      <c r="T83" s="16" t="b">
        <f>COUNTIF(Parcels!A:A, A83) &gt; 0</f>
        <v>1</v>
      </c>
      <c r="U83" s="16" t="b">
        <f>MAXIFS(Parcels!AC:AC, Parcels!A:A, A83) &gt; 0</f>
        <v>0</v>
      </c>
      <c r="V83" s="17">
        <f>SUMIF(Parcels!A:A,
       A83,
       Parcels!Z:Z)</f>
        <v>595337</v>
      </c>
      <c r="W83" s="17">
        <f>SUMIF(Parcels!$A:$A,
       $A83,
       Parcels!AC:AC)</f>
        <v>0</v>
      </c>
      <c r="X83" s="26">
        <f t="shared" si="6"/>
        <v>509013.135</v>
      </c>
      <c r="Y83" s="26">
        <f t="shared" si="7"/>
        <v>509013.135</v>
      </c>
      <c r="Z83" s="32">
        <f t="array" ref="Z83">_xlfn.XLOOKUP(
  A83,
  Parcels!A:A,
Parcels!AL:AL)</f>
        <v>0.0118738</v>
      </c>
      <c r="AA83" s="26">
        <f t="shared" si="18"/>
        <v>0</v>
      </c>
      <c r="AB83" s="26">
        <f t="shared" si="9"/>
        <v>6043.920162</v>
      </c>
      <c r="AC83" s="15"/>
      <c r="AD83" s="15"/>
      <c r="AE83" s="6" t="s">
        <v>474</v>
      </c>
      <c r="AJ83" s="14">
        <f t="shared" si="15"/>
        <v>12000</v>
      </c>
      <c r="AK83" s="14">
        <f t="shared" si="16"/>
        <v>4000</v>
      </c>
      <c r="AL83" s="19">
        <f t="shared" si="17"/>
        <v>0</v>
      </c>
      <c r="AM83" s="14">
        <f t="shared" si="4"/>
        <v>0</v>
      </c>
      <c r="AN83" s="19" t="str">
        <f t="array" ref="AN83">_xlfn.xlookup(C83,'SCC Certificate Review'!C:C,'SCC Certificate Review'!F:F)</f>
        <v/>
      </c>
    </row>
    <row r="84">
      <c r="A84" s="16">
        <v>83.0</v>
      </c>
      <c r="B84" s="6" t="s">
        <v>1286</v>
      </c>
      <c r="C84" s="6" t="s">
        <v>1336</v>
      </c>
      <c r="D84" s="6" t="s">
        <v>114</v>
      </c>
      <c r="E84" s="6" t="s">
        <v>114</v>
      </c>
      <c r="F84" s="6" t="s">
        <v>87</v>
      </c>
      <c r="G84" s="6" t="s">
        <v>1119</v>
      </c>
      <c r="H84" s="6" t="s">
        <v>1337</v>
      </c>
      <c r="I84" s="21">
        <v>45835.0</v>
      </c>
      <c r="J84" s="27"/>
      <c r="K84" s="6" t="s">
        <v>445</v>
      </c>
      <c r="M84" s="6" t="s">
        <v>90</v>
      </c>
      <c r="N84" s="6" t="b">
        <v>0</v>
      </c>
      <c r="O84" s="6">
        <v>28.0</v>
      </c>
      <c r="P84" s="6">
        <v>27.0</v>
      </c>
      <c r="Q84" s="20">
        <f t="shared" si="22"/>
        <v>0.9642857143</v>
      </c>
      <c r="R84" s="6" t="s">
        <v>1285</v>
      </c>
      <c r="S84" s="25">
        <v>4050.0</v>
      </c>
      <c r="T84" s="16" t="b">
        <f>COUNTIF(Parcels!A:A, A84) &gt; 0</f>
        <v>1</v>
      </c>
      <c r="U84" s="16" t="b">
        <f>MAXIFS(Parcels!AC:AC, Parcels!A:A, A84) &gt; 0</f>
        <v>0</v>
      </c>
      <c r="V84" s="17">
        <f>SUMIF(Parcels!A:A,
       A84,
       Parcels!Z:Z)</f>
        <v>426520</v>
      </c>
      <c r="W84" s="17">
        <f>SUMIF(Parcels!$A:$A,
       $A84,
       Parcels!AC:AC)</f>
        <v>0</v>
      </c>
      <c r="X84" s="26">
        <f t="shared" si="6"/>
        <v>370158.4286</v>
      </c>
      <c r="Y84" s="26">
        <f t="shared" si="7"/>
        <v>370158.4286</v>
      </c>
      <c r="Z84" s="32">
        <f t="array" ref="Z84">_xlfn.XLOOKUP(
  A84,
  Parcels!A:A,
Parcels!AL:AL)</f>
        <v>0.0118738</v>
      </c>
      <c r="AA84" s="26">
        <f t="shared" si="18"/>
        <v>0</v>
      </c>
      <c r="AB84" s="26">
        <f t="shared" si="9"/>
        <v>4395.187149</v>
      </c>
      <c r="AC84" s="15"/>
      <c r="AD84" s="15"/>
      <c r="AE84" s="6" t="s">
        <v>474</v>
      </c>
      <c r="AJ84" s="14">
        <f t="shared" si="15"/>
        <v>16800</v>
      </c>
      <c r="AK84" s="14">
        <f t="shared" si="16"/>
        <v>4200</v>
      </c>
      <c r="AL84" s="19">
        <f t="shared" si="17"/>
        <v>0</v>
      </c>
      <c r="AM84" s="14">
        <f t="shared" si="4"/>
        <v>0</v>
      </c>
      <c r="AN84" s="19" t="str">
        <f t="array" ref="AN84">_xlfn.xlookup(C84,'SCC Certificate Review'!C:C,'SCC Certificate Review'!F:F)</f>
        <v/>
      </c>
    </row>
    <row r="85">
      <c r="A85" s="16">
        <v>84.0</v>
      </c>
      <c r="B85" s="6" t="s">
        <v>1295</v>
      </c>
      <c r="C85" s="6" t="s">
        <v>1344</v>
      </c>
      <c r="D85" s="6" t="s">
        <v>114</v>
      </c>
      <c r="E85" s="6" t="s">
        <v>114</v>
      </c>
      <c r="F85" s="6" t="s">
        <v>87</v>
      </c>
      <c r="G85" s="6" t="s">
        <v>1119</v>
      </c>
      <c r="H85" s="6" t="s">
        <v>1345</v>
      </c>
      <c r="I85" s="21">
        <v>45835.0</v>
      </c>
      <c r="J85" s="27"/>
      <c r="K85" s="6" t="s">
        <v>445</v>
      </c>
      <c r="M85" s="6" t="s">
        <v>90</v>
      </c>
      <c r="N85" s="6" t="b">
        <v>0</v>
      </c>
      <c r="O85" s="6">
        <v>21.0</v>
      </c>
      <c r="P85" s="6">
        <v>20.0</v>
      </c>
      <c r="Q85" s="20">
        <f t="shared" si="22"/>
        <v>0.9523809524</v>
      </c>
      <c r="R85" s="6" t="s">
        <v>1294</v>
      </c>
      <c r="S85" s="25">
        <v>3000.0</v>
      </c>
      <c r="T85" s="16" t="b">
        <f>COUNTIF(Parcels!A:A, A85) &gt; 0</f>
        <v>1</v>
      </c>
      <c r="U85" s="16" t="b">
        <f>MAXIFS(Parcels!AC:AC, Parcels!A:A, A85) &gt; 0</f>
        <v>0</v>
      </c>
      <c r="V85" s="17">
        <f>SUMIF(Parcels!A:A,
       A85,
       Parcels!Z:Z)</f>
        <v>1352393</v>
      </c>
      <c r="W85" s="17">
        <f>SUMIF(Parcels!$A:$A,
       $A85,
       Parcels!AC:AC)</f>
        <v>0</v>
      </c>
      <c r="X85" s="26">
        <f t="shared" si="6"/>
        <v>1159194</v>
      </c>
      <c r="Y85" s="26">
        <f t="shared" si="7"/>
        <v>1159194</v>
      </c>
      <c r="Z85" s="32">
        <f t="array" ref="Z85">_xlfn.XLOOKUP(
  A85,
  Parcels!A:A,
Parcels!AL:AL)</f>
        <v>0.0118738</v>
      </c>
      <c r="AA85" s="26">
        <f t="shared" si="18"/>
        <v>0</v>
      </c>
      <c r="AB85" s="26">
        <f t="shared" si="9"/>
        <v>13764.03772</v>
      </c>
      <c r="AC85" s="15"/>
      <c r="AD85" s="15"/>
      <c r="AE85" s="6" t="s">
        <v>474</v>
      </c>
      <c r="AJ85" s="14">
        <f t="shared" si="15"/>
        <v>12600</v>
      </c>
      <c r="AK85" s="14">
        <f t="shared" si="16"/>
        <v>4000</v>
      </c>
      <c r="AL85" s="19">
        <f t="shared" si="17"/>
        <v>0</v>
      </c>
      <c r="AM85" s="14">
        <f t="shared" si="4"/>
        <v>0</v>
      </c>
      <c r="AN85" s="19" t="str">
        <f t="array" ref="AN85">_xlfn.xlookup(C85,'SCC Certificate Review'!C:C,'SCC Certificate Review'!F:F)</f>
        <v/>
      </c>
    </row>
    <row r="86">
      <c r="A86" s="16">
        <v>79.0</v>
      </c>
      <c r="B86" s="6" t="s">
        <v>1254</v>
      </c>
      <c r="C86" s="6" t="s">
        <v>1254</v>
      </c>
      <c r="D86" s="6" t="s">
        <v>114</v>
      </c>
      <c r="E86" s="6" t="s">
        <v>114</v>
      </c>
      <c r="F86" s="6" t="s">
        <v>87</v>
      </c>
      <c r="G86" s="6"/>
      <c r="H86" s="6" t="s">
        <v>1356</v>
      </c>
      <c r="I86" s="21">
        <v>45835.0</v>
      </c>
      <c r="J86" s="27"/>
      <c r="K86" s="6" t="s">
        <v>445</v>
      </c>
      <c r="M86" s="6" t="s">
        <v>90</v>
      </c>
      <c r="N86" s="6" t="b">
        <v>0</v>
      </c>
      <c r="O86" s="6">
        <v>29.0</v>
      </c>
      <c r="P86" s="6">
        <v>28.0</v>
      </c>
      <c r="Q86" s="20">
        <f t="shared" si="22"/>
        <v>0.9655172414</v>
      </c>
      <c r="R86" s="6" t="s">
        <v>1253</v>
      </c>
      <c r="S86" s="25">
        <v>4200.0</v>
      </c>
      <c r="T86" s="16" t="b">
        <f>COUNTIF(Parcels!A:A, A86) &gt; 0</f>
        <v>1</v>
      </c>
      <c r="U86" s="16" t="b">
        <f>MAXIFS(Parcels!AC:AC, Parcels!A:A, A86) &gt; 0</f>
        <v>0</v>
      </c>
      <c r="V86" s="17">
        <f>SUMIF(Parcels!A:A,
       A86,
       Parcels!Z:Z)</f>
        <v>689784</v>
      </c>
      <c r="W86" s="17">
        <f>SUMIF(Parcels!$A:$A,
       $A86,
       Parcels!AC:AC)</f>
        <v>0</v>
      </c>
      <c r="X86" s="26">
        <f t="shared" si="6"/>
        <v>599398.5103</v>
      </c>
      <c r="Y86" s="26">
        <f t="shared" si="7"/>
        <v>599398.5103</v>
      </c>
      <c r="Z86" s="32">
        <f t="array" ref="Z86">_xlfn.XLOOKUP(
  A86,
  Parcels!A:A,
Parcels!AL:AL)</f>
        <v>0.0118738</v>
      </c>
      <c r="AA86" s="26">
        <f t="shared" si="18"/>
        <v>0</v>
      </c>
      <c r="AB86" s="26">
        <f t="shared" si="9"/>
        <v>7117.138032</v>
      </c>
      <c r="AC86" s="15"/>
      <c r="AD86" s="15"/>
      <c r="AE86" s="6" t="s">
        <v>474</v>
      </c>
      <c r="AJ86" s="14">
        <f t="shared" si="15"/>
        <v>17400</v>
      </c>
      <c r="AK86" s="14">
        <f t="shared" si="16"/>
        <v>4350</v>
      </c>
      <c r="AL86" s="19">
        <f t="shared" si="17"/>
        <v>0</v>
      </c>
      <c r="AM86" s="14">
        <f t="shared" si="4"/>
        <v>0</v>
      </c>
      <c r="AN86" s="19" t="str">
        <f t="array" ref="AN86">_xlfn.xlookup(C86,'SCC Certificate Review'!C:C,'SCC Certificate Review'!F:F)</f>
        <v/>
      </c>
    </row>
    <row r="87">
      <c r="A87" s="16">
        <v>85.0</v>
      </c>
      <c r="B87" s="6" t="s">
        <v>1305</v>
      </c>
      <c r="C87" s="6" t="s">
        <v>1359</v>
      </c>
      <c r="D87" s="6" t="s">
        <v>114</v>
      </c>
      <c r="E87" s="6" t="s">
        <v>114</v>
      </c>
      <c r="F87" s="6" t="s">
        <v>87</v>
      </c>
      <c r="G87" s="6" t="s">
        <v>1119</v>
      </c>
      <c r="H87" s="6" t="s">
        <v>1360</v>
      </c>
      <c r="I87" s="21">
        <v>45835.0</v>
      </c>
      <c r="J87" s="27"/>
      <c r="K87" s="6" t="s">
        <v>445</v>
      </c>
      <c r="M87" s="6" t="s">
        <v>90</v>
      </c>
      <c r="N87" s="6" t="b">
        <v>0</v>
      </c>
      <c r="O87" s="6">
        <v>48.0</v>
      </c>
      <c r="P87" s="6">
        <v>47.0</v>
      </c>
      <c r="Q87" s="20">
        <f t="shared" si="22"/>
        <v>0.9791666667</v>
      </c>
      <c r="R87" s="6" t="s">
        <v>1304</v>
      </c>
      <c r="S87" s="25">
        <v>7050.0</v>
      </c>
      <c r="T87" s="16" t="b">
        <f>COUNTIF(Parcels!A:A, A87) &gt; 0</f>
        <v>1</v>
      </c>
      <c r="U87" s="16" t="b">
        <f>MAXIFS(Parcels!AC:AC, Parcels!A:A, A87) &gt; 0</f>
        <v>0</v>
      </c>
      <c r="V87" s="17">
        <f>SUMIF(Parcels!A:A,
       A87,
       Parcels!Z:Z)</f>
        <v>1363864</v>
      </c>
      <c r="W87" s="17">
        <f>SUMIF(Parcels!$A:$A,
       $A87,
       Parcels!AC:AC)</f>
        <v>0</v>
      </c>
      <c r="X87" s="26">
        <f t="shared" si="6"/>
        <v>1201905.15</v>
      </c>
      <c r="Y87" s="26">
        <f t="shared" si="7"/>
        <v>1201905.15</v>
      </c>
      <c r="Z87" s="32">
        <f t="array" ref="Z87">_xlfn.XLOOKUP(
  A87,
  Parcels!A:A,
Parcels!AL:AL)</f>
        <v>0.0118738</v>
      </c>
      <c r="AA87" s="26">
        <f t="shared" si="18"/>
        <v>0</v>
      </c>
      <c r="AB87" s="26">
        <f t="shared" si="9"/>
        <v>14271.18137</v>
      </c>
      <c r="AC87" s="15"/>
      <c r="AD87" s="15"/>
      <c r="AE87" s="6" t="s">
        <v>474</v>
      </c>
      <c r="AJ87" s="14">
        <f t="shared" si="15"/>
        <v>28800</v>
      </c>
      <c r="AK87" s="14">
        <f t="shared" si="16"/>
        <v>7200</v>
      </c>
      <c r="AL87" s="19">
        <f t="shared" si="17"/>
        <v>0</v>
      </c>
      <c r="AM87" s="14">
        <f t="shared" si="4"/>
        <v>0</v>
      </c>
      <c r="AN87" s="19" t="str">
        <f t="array" ref="AN87">_xlfn.xlookup(C87,'SCC Certificate Review'!C:C,'SCC Certificate Review'!F:F)</f>
        <v/>
      </c>
    </row>
    <row r="88">
      <c r="A88" s="16">
        <v>86.0</v>
      </c>
      <c r="B88" s="6" t="s">
        <v>1312</v>
      </c>
      <c r="C88" s="6" t="s">
        <v>1370</v>
      </c>
      <c r="D88" s="6" t="s">
        <v>114</v>
      </c>
      <c r="E88" s="6" t="s">
        <v>114</v>
      </c>
      <c r="F88" s="6" t="s">
        <v>87</v>
      </c>
      <c r="G88" s="6" t="s">
        <v>1119</v>
      </c>
      <c r="H88" s="6" t="s">
        <v>1371</v>
      </c>
      <c r="I88" s="21">
        <v>45835.0</v>
      </c>
      <c r="J88" s="27"/>
      <c r="K88" s="6" t="s">
        <v>445</v>
      </c>
      <c r="M88" s="6" t="s">
        <v>90</v>
      </c>
      <c r="N88" s="6" t="b">
        <v>0</v>
      </c>
      <c r="O88" s="6">
        <v>28.0</v>
      </c>
      <c r="P88" s="6">
        <v>27.0</v>
      </c>
      <c r="Q88" s="20">
        <f t="shared" si="22"/>
        <v>0.9642857143</v>
      </c>
      <c r="R88" s="6" t="s">
        <v>1311</v>
      </c>
      <c r="S88" s="25">
        <v>4050.0</v>
      </c>
      <c r="T88" s="16" t="b">
        <f>COUNTIF(Parcels!A:A, A88) &gt; 0</f>
        <v>1</v>
      </c>
      <c r="U88" s="16" t="b">
        <f>MAXIFS(Parcels!AC:AC, Parcels!A:A, A88) &gt; 0</f>
        <v>0</v>
      </c>
      <c r="V88" s="17">
        <f>SUMIF(Parcels!A:A,
       A88,
       Parcels!Z:Z)</f>
        <v>3002337</v>
      </c>
      <c r="W88" s="17">
        <f>SUMIF(Parcels!$A:$A,
       $A88,
       Parcels!AC:AC)</f>
        <v>0</v>
      </c>
      <c r="X88" s="26">
        <f t="shared" si="6"/>
        <v>2605599.611</v>
      </c>
      <c r="Y88" s="26">
        <f t="shared" si="7"/>
        <v>2605599.611</v>
      </c>
      <c r="Z88" s="32">
        <f t="array" ref="Z88">_xlfn.XLOOKUP(
  A88,
  Parcels!A:A,
Parcels!AL:AL)</f>
        <v>0.0118738</v>
      </c>
      <c r="AA88" s="26">
        <f t="shared" si="18"/>
        <v>0</v>
      </c>
      <c r="AB88" s="26">
        <f t="shared" si="9"/>
        <v>30938.36866</v>
      </c>
      <c r="AC88" s="15"/>
      <c r="AD88" s="15"/>
      <c r="AE88" s="6" t="s">
        <v>474</v>
      </c>
      <c r="AJ88" s="14">
        <f t="shared" si="15"/>
        <v>16800</v>
      </c>
      <c r="AK88" s="14">
        <f t="shared" si="16"/>
        <v>4200</v>
      </c>
      <c r="AL88" s="19">
        <f t="shared" si="17"/>
        <v>0</v>
      </c>
      <c r="AM88" s="14">
        <f t="shared" si="4"/>
        <v>0</v>
      </c>
      <c r="AN88" s="19" t="str">
        <f t="array" ref="AN88">_xlfn.xlookup(C88,'SCC Certificate Review'!C:C,'SCC Certificate Review'!F:F)</f>
        <v/>
      </c>
    </row>
    <row r="89">
      <c r="A89" s="16">
        <v>87.0</v>
      </c>
      <c r="B89" s="6" t="s">
        <v>1030</v>
      </c>
      <c r="C89" s="6" t="s">
        <v>1379</v>
      </c>
      <c r="D89" s="6" t="s">
        <v>114</v>
      </c>
      <c r="E89" s="6" t="s">
        <v>114</v>
      </c>
      <c r="F89" s="6" t="s">
        <v>87</v>
      </c>
      <c r="G89" s="6" t="s">
        <v>1119</v>
      </c>
      <c r="H89" s="6" t="s">
        <v>1380</v>
      </c>
      <c r="I89" s="21">
        <v>45835.0</v>
      </c>
      <c r="J89" s="27"/>
      <c r="K89" s="6" t="s">
        <v>1289</v>
      </c>
      <c r="L89" s="6" t="s">
        <v>1288</v>
      </c>
      <c r="M89" s="6" t="s">
        <v>1063</v>
      </c>
      <c r="N89" s="6" t="b">
        <v>0</v>
      </c>
      <c r="O89" s="6">
        <v>687.0</v>
      </c>
      <c r="P89" s="6">
        <v>687.0</v>
      </c>
      <c r="Q89" s="20">
        <f t="shared" si="22"/>
        <v>1</v>
      </c>
      <c r="R89" s="6" t="s">
        <v>1319</v>
      </c>
      <c r="S89" s="25">
        <v>74025.0</v>
      </c>
      <c r="T89" s="16" t="b">
        <f>COUNTIF(Parcels!A:A, A89) &gt; 0</f>
        <v>1</v>
      </c>
      <c r="U89" s="16" t="b">
        <f>MAXIFS(Parcels!AC:AC, Parcels!A:A, A89) &gt; 0</f>
        <v>0</v>
      </c>
      <c r="V89" s="17">
        <f>SUMIF(Parcels!A:A,
       A89,
       Parcels!Z:Z)</f>
        <v>129082596</v>
      </c>
      <c r="W89" s="17">
        <f>SUMIF(Parcels!$A:$A,
       $A89,
       Parcels!AC:AC)</f>
        <v>0</v>
      </c>
      <c r="X89" s="26">
        <f t="shared" si="6"/>
        <v>116174336.4</v>
      </c>
      <c r="Y89" s="26">
        <f t="shared" si="7"/>
        <v>116174336.4</v>
      </c>
      <c r="Z89" s="32">
        <f t="array" ref="Z89">_xlfn.XLOOKUP(
  A89,
  Parcels!A:A,
Parcels!AL:AL)</f>
        <v>0.0118738</v>
      </c>
      <c r="AA89" s="26">
        <f t="shared" si="18"/>
        <v>0</v>
      </c>
      <c r="AB89" s="26">
        <f t="shared" si="9"/>
        <v>1379430.836</v>
      </c>
      <c r="AC89" s="15"/>
      <c r="AD89" s="15"/>
      <c r="AE89" s="6" t="s">
        <v>92</v>
      </c>
      <c r="AJ89" s="14">
        <f t="shared" si="15"/>
        <v>412200</v>
      </c>
      <c r="AK89" s="14">
        <f t="shared" si="16"/>
        <v>103050</v>
      </c>
      <c r="AL89" s="19">
        <f t="shared" si="17"/>
        <v>1</v>
      </c>
      <c r="AM89" s="14">
        <f t="shared" si="4"/>
        <v>103050</v>
      </c>
      <c r="AN89" s="19" t="b">
        <f t="array" ref="AN89">_xlfn.xlookup(C89,'SCC Certificate Review'!C:C,'SCC Certificate Review'!F:F)</f>
        <v>1</v>
      </c>
    </row>
    <row r="90">
      <c r="A90" s="16">
        <v>77.0</v>
      </c>
      <c r="B90" s="40" t="s">
        <v>1242</v>
      </c>
      <c r="C90" s="40" t="s">
        <v>1393</v>
      </c>
      <c r="D90" s="118" t="s">
        <v>114</v>
      </c>
      <c r="E90" s="118" t="s">
        <v>114</v>
      </c>
      <c r="F90" s="6" t="s">
        <v>87</v>
      </c>
      <c r="G90" s="6"/>
      <c r="H90" s="118" t="s">
        <v>1394</v>
      </c>
      <c r="I90" s="21">
        <v>45835.0</v>
      </c>
      <c r="J90" s="27"/>
      <c r="K90" s="6" t="s">
        <v>445</v>
      </c>
      <c r="M90" s="6" t="s">
        <v>90</v>
      </c>
      <c r="N90" s="6" t="b">
        <v>0</v>
      </c>
      <c r="O90" s="6">
        <v>84.0</v>
      </c>
      <c r="P90" s="6">
        <v>17.0</v>
      </c>
      <c r="Q90" s="20">
        <f t="shared" si="22"/>
        <v>0.2023809524</v>
      </c>
      <c r="R90" s="6" t="s">
        <v>1241</v>
      </c>
      <c r="S90" s="25">
        <v>2550.0</v>
      </c>
      <c r="T90" s="16" t="b">
        <f>COUNTIF(Parcels!A:A, A90) &gt; 0</f>
        <v>1</v>
      </c>
      <c r="U90" s="16" t="b">
        <f>MAXIFS(Parcels!AC:AC, Parcels!A:A, A90) &gt; 0</f>
        <v>0</v>
      </c>
      <c r="V90" s="17">
        <f>SUMIF(Parcels!A:A,
       A90,
       Parcels!Z:Z)</f>
        <v>0</v>
      </c>
      <c r="W90" s="17">
        <f>SUMIF(Parcels!$A:$A,
       $A90,
       Parcels!AC:AC)</f>
        <v>0</v>
      </c>
      <c r="X90" s="26">
        <f t="shared" si="6"/>
        <v>0</v>
      </c>
      <c r="Y90" s="26">
        <f t="shared" si="7"/>
        <v>0</v>
      </c>
      <c r="Z90" s="32">
        <f t="array" ref="Z90">_xlfn.XLOOKUP(
  A90,
  Parcels!A:A,
Parcels!AL:AL)</f>
        <v>0.0118738</v>
      </c>
      <c r="AA90" s="26">
        <f t="shared" si="18"/>
        <v>0</v>
      </c>
      <c r="AB90" s="26">
        <f t="shared" si="9"/>
        <v>0</v>
      </c>
      <c r="AC90" s="15"/>
      <c r="AD90" s="15"/>
      <c r="AE90" s="6" t="s">
        <v>474</v>
      </c>
      <c r="AI90" s="47"/>
      <c r="AJ90" s="14">
        <f t="shared" si="15"/>
        <v>50400</v>
      </c>
      <c r="AK90" s="14">
        <f t="shared" si="16"/>
        <v>12600</v>
      </c>
      <c r="AL90" s="19">
        <f t="shared" si="17"/>
        <v>0</v>
      </c>
      <c r="AM90" s="14">
        <f t="shared" si="4"/>
        <v>0</v>
      </c>
      <c r="AN90" s="19" t="str">
        <f t="array" ref="AN90">_xlfn.xlookup(C90,'SCC Certificate Review'!C:C,'SCC Certificate Review'!F:F)</f>
        <v/>
      </c>
    </row>
    <row r="91">
      <c r="A91" s="16">
        <v>90.0</v>
      </c>
      <c r="B91" s="6" t="s">
        <v>871</v>
      </c>
      <c r="C91" s="6" t="s">
        <v>1401</v>
      </c>
      <c r="D91" s="6" t="s">
        <v>1402</v>
      </c>
      <c r="E91" s="6" t="s">
        <v>114</v>
      </c>
      <c r="F91" s="6" t="s">
        <v>87</v>
      </c>
      <c r="G91" s="6" t="s">
        <v>1119</v>
      </c>
      <c r="H91" s="6" t="s">
        <v>1403</v>
      </c>
      <c r="I91" s="21">
        <v>45856.0</v>
      </c>
      <c r="J91" s="27"/>
      <c r="K91" s="6" t="s">
        <v>1410</v>
      </c>
      <c r="M91" s="6" t="s">
        <v>90</v>
      </c>
      <c r="N91" s="6" t="b">
        <v>0</v>
      </c>
      <c r="O91" s="6">
        <v>84.0</v>
      </c>
      <c r="P91" s="6">
        <v>84.0</v>
      </c>
      <c r="Q91" s="20">
        <f t="shared" si="22"/>
        <v>1</v>
      </c>
      <c r="R91" s="6" t="s">
        <v>1333</v>
      </c>
      <c r="S91" s="25">
        <v>12600.0</v>
      </c>
      <c r="T91" s="16" t="b">
        <f>COUNTIF(Parcels!A:A, A91) &gt; 0</f>
        <v>1</v>
      </c>
      <c r="U91" s="16" t="b">
        <f>MAXIFS(Parcels!AC:AC, Parcels!A:A, A91) &gt; 0</f>
        <v>0</v>
      </c>
      <c r="V91" s="17">
        <f>SUMIF(Parcels!A:A,
       A91,
       Parcels!Z:Z)</f>
        <v>21864168</v>
      </c>
      <c r="W91" s="17">
        <f>SUMIF(Parcels!$A:$A,
       $A91,
       Parcels!AC:AC)</f>
        <v>0</v>
      </c>
      <c r="X91" s="26">
        <f t="shared" si="6"/>
        <v>19677751.2</v>
      </c>
      <c r="Y91" s="26">
        <f t="shared" si="7"/>
        <v>19677751.2</v>
      </c>
      <c r="Z91" s="32">
        <f t="array" ref="Z91">_xlfn.XLOOKUP(
  A91,
  Parcels!A:A,
Parcels!AL:AL)</f>
        <v>0.01175703</v>
      </c>
      <c r="AA91" s="26">
        <f t="shared" si="18"/>
        <v>0</v>
      </c>
      <c r="AB91" s="26">
        <f t="shared" si="9"/>
        <v>231351.9112</v>
      </c>
      <c r="AC91" s="15"/>
      <c r="AD91" s="15"/>
      <c r="AE91" s="6" t="s">
        <v>92</v>
      </c>
      <c r="AJ91" s="14">
        <f t="shared" si="15"/>
        <v>50400</v>
      </c>
      <c r="AK91" s="14">
        <f t="shared" si="16"/>
        <v>12600</v>
      </c>
      <c r="AL91" s="19">
        <f t="shared" si="17"/>
        <v>0</v>
      </c>
      <c r="AM91" s="14">
        <f t="shared" si="4"/>
        <v>0</v>
      </c>
      <c r="AN91" s="19" t="str">
        <f t="array" ref="AN91">_xlfn.xlookup(C91,'SCC Certificate Review'!C:C,'SCC Certificate Review'!F:F)</f>
        <v/>
      </c>
    </row>
    <row r="92">
      <c r="A92" s="16">
        <v>89.0</v>
      </c>
      <c r="B92" s="6" t="s">
        <v>766</v>
      </c>
      <c r="C92" s="6" t="s">
        <v>1425</v>
      </c>
      <c r="D92" s="6" t="s">
        <v>155</v>
      </c>
      <c r="E92" s="6" t="s">
        <v>129</v>
      </c>
      <c r="F92" s="6" t="s">
        <v>87</v>
      </c>
      <c r="G92" s="6" t="s">
        <v>1119</v>
      </c>
      <c r="H92" s="6" t="s">
        <v>1426</v>
      </c>
      <c r="I92" s="21">
        <v>45856.0</v>
      </c>
      <c r="J92" s="27"/>
      <c r="K92" s="6" t="s">
        <v>623</v>
      </c>
      <c r="M92" s="6" t="s">
        <v>1063</v>
      </c>
      <c r="N92" s="6" t="b">
        <v>0</v>
      </c>
      <c r="O92" s="6">
        <v>230.0</v>
      </c>
      <c r="P92" s="6">
        <v>230.0</v>
      </c>
      <c r="Q92" s="20"/>
      <c r="R92" s="122" t="s">
        <v>1434</v>
      </c>
      <c r="S92" s="25">
        <v>34500.0</v>
      </c>
      <c r="T92" s="16" t="b">
        <f>COUNTIF(Parcels!A:A, A92) &gt; 0</f>
        <v>1</v>
      </c>
      <c r="U92" s="16" t="b">
        <f>MAXIFS(Parcels!AC:AC, Parcels!A:A, A92) &gt; 0</f>
        <v>0</v>
      </c>
      <c r="V92" s="17">
        <f>SUMIF(Parcels!A:A,
       A92,
       Parcels!Z:Z)</f>
        <v>113197044</v>
      </c>
      <c r="W92" s="17">
        <f>SUMIF(Parcels!$A:$A,
       $A92,
       Parcels!AC:AC)</f>
        <v>0</v>
      </c>
      <c r="X92" s="26">
        <f t="shared" si="6"/>
        <v>101877339.6</v>
      </c>
      <c r="Y92" s="26">
        <f t="shared" si="7"/>
        <v>101877339.6</v>
      </c>
      <c r="Z92" s="34">
        <f t="array" ref="Z92">_xlfn.XLOOKUP(
  A92,
  Parcels!A:A,
Parcels!AL:AL)</f>
        <v>0.012401</v>
      </c>
      <c r="AA92" s="26">
        <f t="shared" si="18"/>
        <v>0</v>
      </c>
      <c r="AB92" s="26">
        <f t="shared" si="9"/>
        <v>1263380.888</v>
      </c>
      <c r="AG92" s="47"/>
      <c r="AH92" s="47">
        <v>45903.0</v>
      </c>
      <c r="AJ92" s="14">
        <f t="shared" si="15"/>
        <v>138000</v>
      </c>
      <c r="AK92" s="14">
        <f t="shared" si="16"/>
        <v>34500</v>
      </c>
      <c r="AL92" s="19">
        <f t="shared" si="17"/>
        <v>0</v>
      </c>
      <c r="AM92" s="14">
        <f t="shared" si="4"/>
        <v>0</v>
      </c>
      <c r="AN92" s="19" t="str">
        <f t="array" ref="AN92">_xlfn.xlookup(C92,'SCC Certificate Review'!C:C,'SCC Certificate Review'!F:F)</f>
        <v/>
      </c>
    </row>
    <row r="93">
      <c r="A93" s="16">
        <v>158.0</v>
      </c>
      <c r="B93" s="6" t="s">
        <v>1441</v>
      </c>
      <c r="C93" s="6" t="s">
        <v>1442</v>
      </c>
      <c r="D93" s="6" t="s">
        <v>114</v>
      </c>
      <c r="E93" s="6" t="s">
        <v>114</v>
      </c>
      <c r="F93" s="6" t="s">
        <v>87</v>
      </c>
      <c r="H93" s="6" t="s">
        <v>1443</v>
      </c>
      <c r="I93" s="21">
        <v>45856.0</v>
      </c>
      <c r="J93" s="38" t="b">
        <v>1</v>
      </c>
      <c r="K93" s="6" t="s">
        <v>1444</v>
      </c>
      <c r="M93" s="6" t="s">
        <v>1444</v>
      </c>
      <c r="N93" s="6" t="b">
        <v>0</v>
      </c>
      <c r="O93" s="6">
        <v>29.0</v>
      </c>
      <c r="P93" s="6">
        <v>29.0</v>
      </c>
      <c r="Q93" s="20">
        <f t="shared" ref="Q93:Q96" si="23">P93/O93</f>
        <v>1</v>
      </c>
      <c r="S93" s="25">
        <v>4350.0</v>
      </c>
      <c r="T93" s="16" t="b">
        <f>COUNTIF(Parcels!A:A, A93) &gt; 0</f>
        <v>1</v>
      </c>
      <c r="U93" s="16" t="b">
        <f>MAXIFS(Parcels!AC:AC, Parcels!A:A, A93) &gt; 0</f>
        <v>0</v>
      </c>
      <c r="V93" s="17">
        <f>SUMIF(Parcels!A:A,
       A93,
       Parcels!Z:Z)</f>
        <v>0</v>
      </c>
      <c r="W93" s="17">
        <f>SUMIF(Parcels!$A:$A,
       $A93,
       Parcels!AC:AC)</f>
        <v>0</v>
      </c>
      <c r="X93" s="26">
        <f t="shared" si="6"/>
        <v>0</v>
      </c>
      <c r="Y93" s="26">
        <f t="shared" si="7"/>
        <v>0</v>
      </c>
      <c r="Z93" s="15" t="str">
        <f t="array" ref="Z93">_xlfn.XLOOKUP(
  A93,
  Parcels!A:A,
Parcels!AL:AL)</f>
        <v/>
      </c>
      <c r="AA93" s="26">
        <f t="shared" si="18"/>
        <v>0</v>
      </c>
      <c r="AB93" s="26">
        <f t="shared" si="9"/>
        <v>0</v>
      </c>
      <c r="AC93" s="15"/>
      <c r="AD93" s="15"/>
      <c r="AE93" s="6" t="s">
        <v>474</v>
      </c>
      <c r="AJ93" s="14">
        <f t="shared" si="15"/>
        <v>17400</v>
      </c>
      <c r="AK93" s="14">
        <f t="shared" si="16"/>
        <v>4350</v>
      </c>
      <c r="AL93" s="19">
        <f t="shared" si="17"/>
        <v>0</v>
      </c>
      <c r="AM93" s="14">
        <f t="shared" si="4"/>
        <v>0</v>
      </c>
      <c r="AN93" s="19" t="str">
        <f t="array" ref="AN93">_xlfn.xlookup(C93,'SCC Certificate Review'!C:C,'SCC Certificate Review'!F:F)</f>
        <v/>
      </c>
    </row>
    <row r="94">
      <c r="A94" s="16">
        <v>88.0</v>
      </c>
      <c r="B94" s="6" t="s">
        <v>1326</v>
      </c>
      <c r="C94" s="6" t="s">
        <v>1456</v>
      </c>
      <c r="D94" s="6" t="s">
        <v>114</v>
      </c>
      <c r="E94" s="6" t="s">
        <v>114</v>
      </c>
      <c r="F94" s="6" t="s">
        <v>87</v>
      </c>
      <c r="G94" s="6" t="s">
        <v>1119</v>
      </c>
      <c r="H94" s="6" t="s">
        <v>1457</v>
      </c>
      <c r="I94" s="21">
        <v>45856.0</v>
      </c>
      <c r="J94" s="38"/>
      <c r="K94" s="6" t="s">
        <v>1458</v>
      </c>
      <c r="M94" s="6" t="s">
        <v>203</v>
      </c>
      <c r="N94" s="6" t="b">
        <v>0</v>
      </c>
      <c r="O94" s="6">
        <v>69.0</v>
      </c>
      <c r="P94" s="6">
        <v>68.0</v>
      </c>
      <c r="Q94" s="20">
        <f t="shared" si="23"/>
        <v>0.9855072464</v>
      </c>
      <c r="R94" s="6" t="s">
        <v>1325</v>
      </c>
      <c r="S94" s="25">
        <v>10200.0</v>
      </c>
      <c r="T94" s="16" t="b">
        <f>COUNTIF(Parcels!A:A, A94) &gt; 0</f>
        <v>1</v>
      </c>
      <c r="U94" s="16" t="b">
        <f>MAXIFS(Parcels!AC:AC, Parcels!A:A, A94) &gt; 0</f>
        <v>0</v>
      </c>
      <c r="V94" s="17">
        <f>SUMIF(Parcels!A:A,
       A94,
       Parcels!Z:Z)</f>
        <v>850000</v>
      </c>
      <c r="W94" s="17">
        <f>SUMIF(Parcels!$A:$A,
       $A94,
       Parcels!AC:AC)</f>
        <v>0</v>
      </c>
      <c r="X94" s="26">
        <f t="shared" si="6"/>
        <v>753913.0435</v>
      </c>
      <c r="Y94" s="26">
        <f t="shared" si="7"/>
        <v>753913.0435</v>
      </c>
      <c r="Z94" s="32">
        <f t="array" ref="Z94">_xlfn.XLOOKUP(
  A94,
  Parcels!A:A,
Parcels!AL:AL)</f>
        <v>0.0118738</v>
      </c>
      <c r="AA94" s="26">
        <f t="shared" si="18"/>
        <v>0</v>
      </c>
      <c r="AB94" s="26">
        <f t="shared" si="9"/>
        <v>8951.812696</v>
      </c>
      <c r="AC94" s="15"/>
      <c r="AD94" s="15"/>
      <c r="AE94" s="6" t="s">
        <v>474</v>
      </c>
      <c r="AJ94" s="14">
        <f t="shared" si="15"/>
        <v>41400</v>
      </c>
      <c r="AK94" s="14">
        <f t="shared" si="16"/>
        <v>10350</v>
      </c>
      <c r="AL94" s="19">
        <f t="shared" si="17"/>
        <v>0</v>
      </c>
      <c r="AM94" s="14">
        <f t="shared" si="4"/>
        <v>0</v>
      </c>
      <c r="AN94" s="19" t="str">
        <f t="array" ref="AN94">_xlfn.xlookup(C94,'SCC Certificate Review'!C:C,'SCC Certificate Review'!F:F)</f>
        <v/>
      </c>
    </row>
    <row r="95">
      <c r="A95" s="16">
        <v>97.0</v>
      </c>
      <c r="B95" s="6" t="s">
        <v>1365</v>
      </c>
      <c r="C95" s="6" t="s">
        <v>1465</v>
      </c>
      <c r="D95" s="6" t="s">
        <v>1402</v>
      </c>
      <c r="E95" s="6" t="s">
        <v>114</v>
      </c>
      <c r="F95" s="6" t="s">
        <v>87</v>
      </c>
      <c r="G95" s="6" t="s">
        <v>1119</v>
      </c>
      <c r="H95" s="6" t="s">
        <v>1466</v>
      </c>
      <c r="I95" s="21">
        <v>45877.0</v>
      </c>
      <c r="J95" s="27"/>
      <c r="K95" s="6" t="s">
        <v>1162</v>
      </c>
      <c r="M95" s="6" t="s">
        <v>203</v>
      </c>
      <c r="N95" s="6" t="b">
        <v>0</v>
      </c>
      <c r="O95" s="6">
        <v>112.0</v>
      </c>
      <c r="P95" s="6">
        <v>112.0</v>
      </c>
      <c r="Q95" s="20">
        <f t="shared" si="23"/>
        <v>1</v>
      </c>
      <c r="R95" s="6" t="s">
        <v>1364</v>
      </c>
      <c r="S95" s="25">
        <v>16800.0</v>
      </c>
      <c r="T95" s="16" t="b">
        <f>COUNTIF(Parcels!A:A, A95) &gt; 0</f>
        <v>1</v>
      </c>
      <c r="U95" s="16" t="b">
        <f>MAXIFS(Parcels!AC:AC, Parcels!A:A, A95) &gt; 0</f>
        <v>0</v>
      </c>
      <c r="V95" s="17">
        <f>SUMIF(Parcels!A:A,
       A95,
       Parcels!Z:Z)</f>
        <v>13224803</v>
      </c>
      <c r="W95" s="17">
        <f>SUMIF(Parcels!$A:$A,
       $A95,
       Parcels!AC:AC)</f>
        <v>0</v>
      </c>
      <c r="X95" s="26">
        <f t="shared" si="6"/>
        <v>11902322.7</v>
      </c>
      <c r="Y95" s="26">
        <f t="shared" si="7"/>
        <v>11902322.7</v>
      </c>
      <c r="Z95" s="32">
        <f t="array" ref="Z95">_xlfn.XLOOKUP(
  A95,
  Parcels!A:A,
Parcels!AL:AL)</f>
        <v>0.0116448</v>
      </c>
      <c r="AA95" s="26">
        <f t="shared" si="18"/>
        <v>0</v>
      </c>
      <c r="AB95" s="26">
        <f t="shared" si="9"/>
        <v>138600.1674</v>
      </c>
      <c r="AC95" s="15"/>
      <c r="AD95" s="15"/>
      <c r="AE95" s="6" t="s">
        <v>92</v>
      </c>
      <c r="AJ95" s="14">
        <f t="shared" si="15"/>
        <v>67200</v>
      </c>
      <c r="AK95" s="14">
        <f t="shared" si="16"/>
        <v>16800</v>
      </c>
      <c r="AL95" s="19">
        <f t="shared" si="17"/>
        <v>0</v>
      </c>
      <c r="AM95" s="14">
        <f t="shared" si="4"/>
        <v>0</v>
      </c>
      <c r="AN95" s="19" t="str">
        <f t="array" ref="AN95">_xlfn.xlookup(C95,'SCC Certificate Review'!C:C,'SCC Certificate Review'!F:F)</f>
        <v/>
      </c>
    </row>
    <row r="96">
      <c r="A96" s="16">
        <v>96.0</v>
      </c>
      <c r="B96" s="6" t="s">
        <v>1492</v>
      </c>
      <c r="C96" s="6" t="s">
        <v>1493</v>
      </c>
      <c r="D96" s="6" t="s">
        <v>155</v>
      </c>
      <c r="E96" s="6" t="s">
        <v>129</v>
      </c>
      <c r="F96" s="6" t="s">
        <v>87</v>
      </c>
      <c r="G96" s="6" t="s">
        <v>1119</v>
      </c>
      <c r="H96" s="6" t="s">
        <v>1495</v>
      </c>
      <c r="I96" s="21">
        <v>45877.0</v>
      </c>
      <c r="J96" s="27"/>
      <c r="K96" s="6" t="s">
        <v>89</v>
      </c>
      <c r="L96" s="6" t="s">
        <v>1507</v>
      </c>
      <c r="M96" s="6" t="s">
        <v>90</v>
      </c>
      <c r="N96" s="6" t="b">
        <v>0</v>
      </c>
      <c r="O96" s="6">
        <v>948.0</v>
      </c>
      <c r="P96" s="6">
        <v>948.0</v>
      </c>
      <c r="Q96" s="20">
        <f t="shared" si="23"/>
        <v>1</v>
      </c>
      <c r="R96" s="122" t="s">
        <v>1509</v>
      </c>
      <c r="S96" s="25">
        <v>93600.0</v>
      </c>
      <c r="T96" s="16" t="b">
        <f>COUNTIF(Parcels!A:A, A96) &gt; 0</f>
        <v>1</v>
      </c>
      <c r="U96" s="16" t="b">
        <f>MAXIFS(Parcels!AC:AC, Parcels!A:A, A96) &gt; 0</f>
        <v>0</v>
      </c>
      <c r="V96" s="17">
        <f>SUMIF(Parcels!A:A,
       A96,
       Parcels!Z:Z)</f>
        <v>297316740</v>
      </c>
      <c r="W96" s="17">
        <f>SUMIF(Parcels!$A:$A,
       $A96,
       Parcels!AC:AC)</f>
        <v>0</v>
      </c>
      <c r="X96" s="26">
        <f t="shared" si="6"/>
        <v>267585066</v>
      </c>
      <c r="Y96" s="26">
        <f t="shared" si="7"/>
        <v>267585066</v>
      </c>
      <c r="Z96" s="34">
        <f t="array" ref="Z96">_xlfn.XLOOKUP(
  A96,
  Parcels!A:A,
Parcels!AL:AL)</f>
        <v>0.012401</v>
      </c>
      <c r="AA96" s="26">
        <f t="shared" si="18"/>
        <v>0</v>
      </c>
      <c r="AB96" s="26">
        <f t="shared" si="9"/>
        <v>3318322.403</v>
      </c>
      <c r="AF96" s="6">
        <v>1972.0</v>
      </c>
      <c r="AG96" s="6">
        <v>410.0</v>
      </c>
      <c r="AH96" s="47">
        <v>45896.0</v>
      </c>
      <c r="AI96" s="47"/>
      <c r="AJ96" s="14">
        <f t="shared" si="15"/>
        <v>568800</v>
      </c>
      <c r="AK96" s="14">
        <f t="shared" si="16"/>
        <v>142200</v>
      </c>
      <c r="AL96" s="19">
        <f t="shared" si="17"/>
        <v>0</v>
      </c>
      <c r="AM96" s="14">
        <f t="shared" si="4"/>
        <v>0</v>
      </c>
      <c r="AN96" s="19" t="b">
        <f t="array" ref="AN96">_xlfn.xlookup(C96,'SCC Certificate Review'!C:C,'SCC Certificate Review'!F:F)</f>
        <v>1</v>
      </c>
    </row>
    <row r="97">
      <c r="A97" s="16">
        <v>95.0</v>
      </c>
      <c r="B97" s="6" t="s">
        <v>1529</v>
      </c>
      <c r="C97" s="6" t="s">
        <v>1530</v>
      </c>
      <c r="D97" s="6" t="s">
        <v>155</v>
      </c>
      <c r="E97" s="6" t="s">
        <v>129</v>
      </c>
      <c r="F97" s="6" t="s">
        <v>87</v>
      </c>
      <c r="G97" s="6" t="s">
        <v>1119</v>
      </c>
      <c r="H97" s="6" t="s">
        <v>1531</v>
      </c>
      <c r="I97" s="21">
        <v>45877.0</v>
      </c>
      <c r="J97" s="27"/>
      <c r="K97" s="6" t="s">
        <v>1532</v>
      </c>
      <c r="L97" s="6" t="s">
        <v>1533</v>
      </c>
      <c r="M97" s="6" t="s">
        <v>1534</v>
      </c>
      <c r="N97" s="6" t="b">
        <v>0</v>
      </c>
      <c r="O97" s="6">
        <v>164.0</v>
      </c>
      <c r="P97" s="6">
        <v>164.0</v>
      </c>
      <c r="Q97" s="20"/>
      <c r="R97" s="122" t="s">
        <v>1535</v>
      </c>
      <c r="S97" s="25">
        <v>24600.0</v>
      </c>
      <c r="T97" s="16" t="b">
        <f>COUNTIF(Parcels!A:A, A97) &gt; 0</f>
        <v>1</v>
      </c>
      <c r="U97" s="16" t="b">
        <f>MAXIFS(Parcels!AC:AC, Parcels!A:A, A97) &gt; 0</f>
        <v>0</v>
      </c>
      <c r="V97" s="17">
        <f>SUMIF(Parcels!A:A,
       A97,
       Parcels!Z:Z)</f>
        <v>4853048</v>
      </c>
      <c r="W97" s="17">
        <f>SUMIF(Parcels!$A:$A,
       $A97,
       Parcels!AC:AC)</f>
        <v>0</v>
      </c>
      <c r="X97" s="26">
        <f t="shared" si="6"/>
        <v>4367743.2</v>
      </c>
      <c r="Y97" s="26">
        <f t="shared" si="7"/>
        <v>4367743.2</v>
      </c>
      <c r="Z97" s="34">
        <f t="array" ref="Z97">_xlfn.XLOOKUP(
  A97,
  Parcels!A:A,
Parcels!AL:AL)</f>
        <v>0.012401</v>
      </c>
      <c r="AA97" s="26">
        <f t="shared" si="18"/>
        <v>0</v>
      </c>
      <c r="AB97" s="26">
        <f t="shared" si="9"/>
        <v>54164.38342</v>
      </c>
      <c r="AC97" s="117" t="s">
        <v>1537</v>
      </c>
      <c r="AE97" s="6"/>
      <c r="AH97" s="47">
        <v>45898.0</v>
      </c>
      <c r="AI97" s="47"/>
      <c r="AJ97" s="14">
        <f t="shared" si="15"/>
        <v>98400</v>
      </c>
      <c r="AK97" s="14">
        <f t="shared" si="16"/>
        <v>24600</v>
      </c>
      <c r="AL97" s="19">
        <f t="shared" si="17"/>
        <v>0</v>
      </c>
      <c r="AM97" s="14">
        <f t="shared" si="4"/>
        <v>0</v>
      </c>
      <c r="AN97" s="19" t="b">
        <f t="array" ref="AN97">_xlfn.xlookup(C97,'SCC Certificate Review'!C:C,'SCC Certificate Review'!F:F)</f>
        <v>1</v>
      </c>
    </row>
    <row r="98">
      <c r="A98" s="16">
        <v>92.0</v>
      </c>
      <c r="B98" s="6" t="s">
        <v>1351</v>
      </c>
      <c r="C98" s="6" t="s">
        <v>1555</v>
      </c>
      <c r="D98" s="6" t="s">
        <v>1556</v>
      </c>
      <c r="E98" s="6" t="s">
        <v>114</v>
      </c>
      <c r="F98" s="6" t="s">
        <v>87</v>
      </c>
      <c r="G98" s="6" t="s">
        <v>1119</v>
      </c>
      <c r="H98" s="6" t="s">
        <v>1557</v>
      </c>
      <c r="I98" s="21">
        <v>45877.0</v>
      </c>
      <c r="J98" s="27"/>
      <c r="K98" s="6" t="s">
        <v>1533</v>
      </c>
      <c r="M98" s="6" t="s">
        <v>951</v>
      </c>
      <c r="N98" s="6" t="b">
        <v>0</v>
      </c>
      <c r="O98" s="6">
        <v>177.0</v>
      </c>
      <c r="P98" s="6">
        <v>177.0</v>
      </c>
      <c r="Q98" s="20">
        <f>P98/O98</f>
        <v>1</v>
      </c>
      <c r="R98" s="6" t="s">
        <v>1350</v>
      </c>
      <c r="S98" s="25">
        <v>26550.0</v>
      </c>
      <c r="T98" s="16" t="b">
        <f>COUNTIF(Parcels!A:A, A98) &gt; 0</f>
        <v>1</v>
      </c>
      <c r="U98" s="16" t="b">
        <f>MAXIFS(Parcels!AC:AC, Parcels!A:A, A98) &gt; 0</f>
        <v>0</v>
      </c>
      <c r="V98" s="17">
        <f>SUMIF(Parcels!A:A,
       A98,
       Parcels!Z:Z)</f>
        <v>45003808</v>
      </c>
      <c r="W98" s="17">
        <f>SUMIF(Parcels!$A:$A,
       $A98,
       Parcels!AC:AC)</f>
        <v>0</v>
      </c>
      <c r="X98" s="26">
        <f t="shared" si="6"/>
        <v>40503427.2</v>
      </c>
      <c r="Y98" s="26">
        <f t="shared" si="7"/>
        <v>40503427.2</v>
      </c>
      <c r="Z98" s="32">
        <f t="array" ref="Z98">_xlfn.XLOOKUP(
  A98,
  Parcels!A:A,
Parcels!AL:AL)</f>
        <v>0.01323192</v>
      </c>
      <c r="AA98" s="26">
        <f t="shared" si="18"/>
        <v>0</v>
      </c>
      <c r="AB98" s="26">
        <f t="shared" si="9"/>
        <v>535938.1084</v>
      </c>
      <c r="AC98" s="15"/>
      <c r="AD98" s="15"/>
      <c r="AE98" s="6" t="s">
        <v>92</v>
      </c>
      <c r="AJ98" s="14">
        <f t="shared" si="15"/>
        <v>106200</v>
      </c>
      <c r="AK98" s="14">
        <f t="shared" si="16"/>
        <v>26550</v>
      </c>
      <c r="AL98" s="19">
        <f t="shared" si="17"/>
        <v>0</v>
      </c>
      <c r="AM98" s="14">
        <f t="shared" si="4"/>
        <v>0</v>
      </c>
      <c r="AN98" s="19" t="b">
        <f t="array" ref="AN98">_xlfn.xlookup(C98,'SCC Certificate Review'!C:C,'SCC Certificate Review'!F:F)</f>
        <v>1</v>
      </c>
    </row>
    <row r="99">
      <c r="A99" s="16">
        <v>93.0</v>
      </c>
      <c r="B99" s="6" t="s">
        <v>1564</v>
      </c>
      <c r="C99" s="6" t="s">
        <v>1565</v>
      </c>
      <c r="D99" s="6" t="s">
        <v>251</v>
      </c>
      <c r="E99" s="6" t="s">
        <v>118</v>
      </c>
      <c r="F99" s="6" t="s">
        <v>87</v>
      </c>
      <c r="G99" s="6" t="s">
        <v>1119</v>
      </c>
      <c r="H99" s="6" t="s">
        <v>1566</v>
      </c>
      <c r="I99" s="21">
        <v>45877.0</v>
      </c>
      <c r="J99" s="27"/>
      <c r="K99" s="6" t="s">
        <v>1567</v>
      </c>
      <c r="M99" s="6" t="s">
        <v>1567</v>
      </c>
      <c r="N99" s="6" t="b">
        <v>0</v>
      </c>
      <c r="O99" s="6">
        <v>148.0</v>
      </c>
      <c r="P99" s="6">
        <v>148.0</v>
      </c>
      <c r="Q99" s="20"/>
      <c r="R99" s="6" t="s">
        <v>1571</v>
      </c>
      <c r="S99" s="25">
        <v>22200.0</v>
      </c>
      <c r="T99" s="16" t="b">
        <f>COUNTIF(Parcels!A:A, A99) &gt; 0</f>
        <v>1</v>
      </c>
      <c r="U99" s="16" t="b">
        <f>MAXIFS(Parcels!AC:AC, Parcels!A:A, A99) &gt; 0</f>
        <v>0</v>
      </c>
      <c r="V99" s="17">
        <f>SUMIF(Parcels!A:A,
       A99,
       Parcels!Z:Z)</f>
        <v>46693244</v>
      </c>
      <c r="W99" s="17">
        <f>SUMIF(Parcels!$A:$A,
       $A99,
       Parcels!AC:AC)</f>
        <v>0</v>
      </c>
      <c r="X99" s="26">
        <f t="shared" si="6"/>
        <v>42023919.6</v>
      </c>
      <c r="Y99" s="26">
        <f t="shared" si="7"/>
        <v>42023919.6</v>
      </c>
      <c r="Z99" s="34">
        <f t="array" ref="Z99">_xlfn.XLOOKUP(
  A99,
  Parcels!A:A,
Parcels!AL:AL)</f>
        <v>0.010944</v>
      </c>
      <c r="AA99" s="26">
        <f t="shared" si="18"/>
        <v>0</v>
      </c>
      <c r="AB99" s="26">
        <f t="shared" si="9"/>
        <v>459909.7761</v>
      </c>
      <c r="AE99" s="6" t="s">
        <v>92</v>
      </c>
      <c r="AJ99" s="14">
        <f t="shared" si="15"/>
        <v>88800</v>
      </c>
      <c r="AK99" s="14">
        <f t="shared" si="16"/>
        <v>22200</v>
      </c>
      <c r="AL99" s="19">
        <f t="shared" si="17"/>
        <v>0</v>
      </c>
      <c r="AM99" s="14">
        <f t="shared" si="4"/>
        <v>0</v>
      </c>
      <c r="AN99" s="19" t="str">
        <f t="array" ref="AN99">_xlfn.xlookup(C99,'SCC Certificate Review'!C:C,'SCC Certificate Review'!F:F)</f>
        <v/>
      </c>
    </row>
    <row r="100">
      <c r="A100" s="16">
        <v>94.0</v>
      </c>
      <c r="B100" s="6" t="s">
        <v>837</v>
      </c>
      <c r="C100" s="6" t="s">
        <v>1577</v>
      </c>
      <c r="D100" s="6" t="s">
        <v>178</v>
      </c>
      <c r="E100" s="6" t="s">
        <v>122</v>
      </c>
      <c r="F100" s="6" t="s">
        <v>87</v>
      </c>
      <c r="G100" s="6" t="s">
        <v>1119</v>
      </c>
      <c r="H100" s="6" t="s">
        <v>1578</v>
      </c>
      <c r="I100" s="21">
        <v>45877.0</v>
      </c>
      <c r="J100" s="27"/>
      <c r="K100" s="6" t="s">
        <v>622</v>
      </c>
      <c r="M100" s="6" t="s">
        <v>560</v>
      </c>
      <c r="N100" s="6" t="b">
        <v>0</v>
      </c>
      <c r="O100" s="6">
        <v>183.0</v>
      </c>
      <c r="P100" s="6">
        <v>183.0</v>
      </c>
      <c r="Q100" s="20"/>
      <c r="R100" s="6" t="s">
        <v>1579</v>
      </c>
      <c r="S100" s="25">
        <v>27450.0</v>
      </c>
      <c r="T100" s="16" t="b">
        <f>COUNTIF(Parcels!A:A, A100) &gt; 0</f>
        <v>1</v>
      </c>
      <c r="U100" s="16" t="b">
        <f>MAXIFS(Parcels!AC:AC, Parcels!A:A, A100) &gt; 0</f>
        <v>0</v>
      </c>
      <c r="V100" s="17">
        <f>SUMIF(Parcels!A:A,
       A100,
       Parcels!Z:Z)</f>
        <v>51548563</v>
      </c>
      <c r="W100" s="17">
        <f>SUMIF(Parcels!$A:$A,
       $A100,
       Parcels!AC:AC)</f>
        <v>0</v>
      </c>
      <c r="X100" s="26">
        <f t="shared" si="6"/>
        <v>46393706.7</v>
      </c>
      <c r="Y100" s="26">
        <f t="shared" si="7"/>
        <v>46393706.7</v>
      </c>
      <c r="Z100" s="34">
        <f t="array" ref="Z100">_xlfn.XLOOKUP(
  A100,
  Parcels!A:A,
Parcels!AL:AL)</f>
        <v>0.0118748</v>
      </c>
      <c r="AA100" s="26">
        <f t="shared" si="18"/>
        <v>0</v>
      </c>
      <c r="AB100" s="26">
        <f t="shared" si="9"/>
        <v>550915.9883</v>
      </c>
      <c r="AE100" s="6" t="s">
        <v>92</v>
      </c>
      <c r="AF100" s="6">
        <v>1981.0</v>
      </c>
      <c r="AJ100" s="14">
        <f t="shared" si="15"/>
        <v>109800</v>
      </c>
      <c r="AK100" s="14">
        <f t="shared" si="16"/>
        <v>27450</v>
      </c>
      <c r="AL100" s="19">
        <f t="shared" si="17"/>
        <v>0</v>
      </c>
      <c r="AM100" s="14">
        <f t="shared" si="4"/>
        <v>0</v>
      </c>
      <c r="AN100" s="19" t="b">
        <f t="array" ref="AN100">_xlfn.xlookup(C100,'SCC Certificate Review'!C:C,'SCC Certificate Review'!F:F)</f>
        <v>1</v>
      </c>
    </row>
    <row r="101">
      <c r="A101" s="16">
        <v>91.0</v>
      </c>
      <c r="B101" s="6" t="s">
        <v>1342</v>
      </c>
      <c r="C101" s="6" t="s">
        <v>1586</v>
      </c>
      <c r="D101" s="6" t="s">
        <v>114</v>
      </c>
      <c r="E101" s="6" t="s">
        <v>114</v>
      </c>
      <c r="F101" s="6" t="s">
        <v>87</v>
      </c>
      <c r="G101" s="6" t="s">
        <v>1119</v>
      </c>
      <c r="H101" s="6" t="s">
        <v>1587</v>
      </c>
      <c r="I101" s="21">
        <v>45877.0</v>
      </c>
      <c r="J101" s="27"/>
      <c r="K101" s="6" t="s">
        <v>1588</v>
      </c>
      <c r="M101" s="6" t="s">
        <v>951</v>
      </c>
      <c r="N101" s="6" t="b">
        <v>0</v>
      </c>
      <c r="O101" s="6">
        <v>38.0</v>
      </c>
      <c r="P101" s="6">
        <v>37.0</v>
      </c>
      <c r="Q101" s="20">
        <f>P101/O101</f>
        <v>0.9736842105</v>
      </c>
      <c r="R101" s="6" t="s">
        <v>1341</v>
      </c>
      <c r="S101" s="25">
        <v>5550.0</v>
      </c>
      <c r="T101" s="16" t="b">
        <f>COUNTIF(Parcels!A:A, A101) &gt; 0</f>
        <v>1</v>
      </c>
      <c r="U101" s="16" t="b">
        <f>MAXIFS(Parcels!AC:AC, Parcels!A:A, A101) &gt; 0</f>
        <v>0</v>
      </c>
      <c r="V101" s="17">
        <f>SUMIF(Parcels!A:A,
       A101,
       Parcels!Z:Z)</f>
        <v>1417800</v>
      </c>
      <c r="W101" s="17">
        <f>SUMIF(Parcels!$A:$A,
       $A101,
       Parcels!AC:AC)</f>
        <v>0</v>
      </c>
      <c r="X101" s="26">
        <f t="shared" si="6"/>
        <v>1242440.526</v>
      </c>
      <c r="Y101" s="26">
        <f t="shared" si="7"/>
        <v>1242440.526</v>
      </c>
      <c r="Z101" s="32">
        <f t="array" ref="Z101">_xlfn.XLOOKUP(
  A101,
  Parcels!A:A,
Parcels!AL:AL)</f>
        <v>0.0118738</v>
      </c>
      <c r="AA101" s="26">
        <f t="shared" si="18"/>
        <v>0</v>
      </c>
      <c r="AB101" s="26">
        <f t="shared" si="9"/>
        <v>14752.49032</v>
      </c>
      <c r="AC101" s="15"/>
      <c r="AD101" s="15"/>
      <c r="AE101" s="6" t="s">
        <v>474</v>
      </c>
      <c r="AJ101" s="14">
        <f t="shared" si="15"/>
        <v>22800</v>
      </c>
      <c r="AK101" s="14">
        <f t="shared" si="16"/>
        <v>5700</v>
      </c>
      <c r="AL101" s="19">
        <f t="shared" si="17"/>
        <v>0</v>
      </c>
      <c r="AM101" s="14">
        <f t="shared" si="4"/>
        <v>0</v>
      </c>
      <c r="AN101" s="19" t="str">
        <f t="array" ref="AN101">_xlfn.xlookup(C101,'SCC Certificate Review'!C:C,'SCC Certificate Review'!F:F)</f>
        <v/>
      </c>
    </row>
    <row r="102">
      <c r="A102" s="16">
        <v>98.0</v>
      </c>
      <c r="B102" s="6" t="s">
        <v>1629</v>
      </c>
      <c r="C102" s="6" t="s">
        <v>1630</v>
      </c>
      <c r="D102" s="6" t="s">
        <v>212</v>
      </c>
      <c r="E102" s="6" t="s">
        <v>86</v>
      </c>
      <c r="F102" s="6" t="s">
        <v>87</v>
      </c>
      <c r="G102" s="6" t="s">
        <v>1119</v>
      </c>
      <c r="H102" s="6" t="s">
        <v>1632</v>
      </c>
      <c r="I102" s="21">
        <v>45898.0</v>
      </c>
      <c r="J102" s="38" t="b">
        <v>1</v>
      </c>
      <c r="K102" s="6" t="s">
        <v>1533</v>
      </c>
      <c r="M102" s="6" t="s">
        <v>951</v>
      </c>
      <c r="N102" s="6" t="b">
        <v>0</v>
      </c>
      <c r="O102" s="6">
        <v>192.0</v>
      </c>
      <c r="P102" s="6">
        <v>192.0</v>
      </c>
      <c r="Q102" s="20"/>
      <c r="R102" s="122" t="s">
        <v>1641</v>
      </c>
      <c r="S102" s="25">
        <v>28800.0</v>
      </c>
      <c r="T102" s="16" t="b">
        <f>COUNTIF(Parcels!A:A, A102) &gt; 0</f>
        <v>1</v>
      </c>
      <c r="U102" s="16" t="b">
        <f>MAXIFS(Parcels!AC:AC, Parcels!A:A, A102) &gt; 0</f>
        <v>0</v>
      </c>
      <c r="V102" s="17">
        <f>SUMIF(Parcels!A:A,
       A102,
       Parcels!Z:Z)</f>
        <v>73418537</v>
      </c>
      <c r="W102" s="17">
        <f>SUMIF(Parcels!$A:$A,
       $A102,
       Parcels!AC:AC)</f>
        <v>0</v>
      </c>
      <c r="X102" s="26">
        <f t="shared" si="6"/>
        <v>66076683.3</v>
      </c>
      <c r="Y102" s="26">
        <f t="shared" si="7"/>
        <v>66076683.3</v>
      </c>
      <c r="Z102" s="34">
        <f t="array" ref="Z102">_xlfn.XLOOKUP(
  A102,
  Parcels!A:A,
Parcels!AL:AL)</f>
        <v>0.011741</v>
      </c>
      <c r="AA102" s="26">
        <f t="shared" si="18"/>
        <v>0</v>
      </c>
      <c r="AB102" s="26">
        <f t="shared" si="9"/>
        <v>775806.3386</v>
      </c>
      <c r="AD102" s="117" t="s">
        <v>1665</v>
      </c>
      <c r="AE102" s="6" t="s">
        <v>92</v>
      </c>
      <c r="AJ102" s="14">
        <f t="shared" si="15"/>
        <v>115200</v>
      </c>
      <c r="AK102" s="14">
        <f t="shared" si="16"/>
        <v>28800</v>
      </c>
      <c r="AL102" s="19">
        <f t="shared" si="17"/>
        <v>0</v>
      </c>
      <c r="AM102" s="14">
        <f t="shared" si="4"/>
        <v>0</v>
      </c>
      <c r="AN102" s="19" t="str">
        <f t="array" ref="AN102">_xlfn.xlookup(C102,'SCC Certificate Review'!C:C,'SCC Certificate Review'!F:F)</f>
        <v/>
      </c>
    </row>
    <row r="103">
      <c r="A103" s="16">
        <v>99.0</v>
      </c>
      <c r="B103" s="6" t="s">
        <v>1376</v>
      </c>
      <c r="C103" s="6" t="s">
        <v>1683</v>
      </c>
      <c r="D103" s="6" t="s">
        <v>114</v>
      </c>
      <c r="E103" s="6" t="s">
        <v>114</v>
      </c>
      <c r="F103" s="6" t="s">
        <v>87</v>
      </c>
      <c r="G103" s="6" t="s">
        <v>1119</v>
      </c>
      <c r="H103" s="6" t="s">
        <v>1687</v>
      </c>
      <c r="I103" s="21">
        <v>45898.0</v>
      </c>
      <c r="J103" s="27"/>
      <c r="K103" s="6" t="s">
        <v>1690</v>
      </c>
      <c r="M103" s="6" t="s">
        <v>90</v>
      </c>
      <c r="N103" s="6" t="b">
        <v>0</v>
      </c>
      <c r="O103" s="6">
        <v>53.0</v>
      </c>
      <c r="P103" s="6">
        <v>53.0</v>
      </c>
      <c r="Q103" s="20">
        <f t="shared" ref="Q103:Q123" si="24">P103/O103</f>
        <v>1</v>
      </c>
      <c r="R103" s="6" t="s">
        <v>1375</v>
      </c>
      <c r="S103" s="25">
        <v>7800.0</v>
      </c>
      <c r="T103" s="16" t="b">
        <f>COUNTIF(Parcels!A:A, A103) &gt; 0</f>
        <v>1</v>
      </c>
      <c r="U103" s="16" t="b">
        <f>MAXIFS(Parcels!AC:AC, Parcels!A:A, A103) &gt; 0</f>
        <v>0</v>
      </c>
      <c r="V103" s="17">
        <f>SUMIF(Parcels!A:A,
       A103,
       Parcels!Z:Z)</f>
        <v>2225000</v>
      </c>
      <c r="W103" s="17">
        <f>SUMIF(Parcels!$A:$A,
       $A103,
       Parcels!AC:AC)</f>
        <v>0</v>
      </c>
      <c r="X103" s="26">
        <f t="shared" si="6"/>
        <v>2002500</v>
      </c>
      <c r="Y103" s="26">
        <f t="shared" si="7"/>
        <v>2002500</v>
      </c>
      <c r="Z103" s="32">
        <f t="array" ref="Z103">_xlfn.XLOOKUP(
  A103,
  Parcels!A:A,
Parcels!AL:AL)</f>
        <v>0.0118738</v>
      </c>
      <c r="AA103" s="26">
        <f t="shared" si="18"/>
        <v>0</v>
      </c>
      <c r="AB103" s="26">
        <f t="shared" si="9"/>
        <v>23777.2845</v>
      </c>
      <c r="AC103" s="15"/>
      <c r="AD103" s="15"/>
      <c r="AE103" s="6" t="s">
        <v>474</v>
      </c>
      <c r="AJ103" s="14">
        <f t="shared" si="15"/>
        <v>31800</v>
      </c>
      <c r="AK103" s="14">
        <f t="shared" si="16"/>
        <v>7950</v>
      </c>
      <c r="AL103" s="19">
        <f t="shared" si="17"/>
        <v>0</v>
      </c>
      <c r="AM103" s="14">
        <f t="shared" si="4"/>
        <v>0</v>
      </c>
      <c r="AN103" s="19" t="b">
        <f t="array" ref="AN103">_xlfn.xlookup(C103,'SCC Certificate Review'!C:C,'SCC Certificate Review'!F:F)</f>
        <v>1</v>
      </c>
    </row>
    <row r="104">
      <c r="A104" s="16">
        <v>100.0</v>
      </c>
      <c r="B104" s="6" t="s">
        <v>1385</v>
      </c>
      <c r="C104" s="6" t="s">
        <v>1722</v>
      </c>
      <c r="D104" s="6" t="s">
        <v>114</v>
      </c>
      <c r="E104" s="6" t="s">
        <v>114</v>
      </c>
      <c r="F104" s="6" t="s">
        <v>87</v>
      </c>
      <c r="G104" s="6" t="s">
        <v>1119</v>
      </c>
      <c r="H104" s="6" t="s">
        <v>1723</v>
      </c>
      <c r="I104" s="21">
        <v>45898.0</v>
      </c>
      <c r="J104" s="27"/>
      <c r="K104" s="6" t="s">
        <v>1690</v>
      </c>
      <c r="M104" s="6" t="s">
        <v>90</v>
      </c>
      <c r="N104" s="6" t="b">
        <v>0</v>
      </c>
      <c r="O104" s="6">
        <v>72.0</v>
      </c>
      <c r="P104" s="6">
        <v>71.0</v>
      </c>
      <c r="Q104" s="20">
        <f t="shared" si="24"/>
        <v>0.9861111111</v>
      </c>
      <c r="R104" s="6" t="s">
        <v>1384</v>
      </c>
      <c r="S104" s="25">
        <v>10650.0</v>
      </c>
      <c r="T104" s="16" t="b">
        <f>COUNTIF(Parcels!A:A, A104) &gt; 0</f>
        <v>1</v>
      </c>
      <c r="U104" s="16" t="b">
        <f>MAXIFS(Parcels!AC:AC, Parcels!A:A, A104) &gt; 0</f>
        <v>0</v>
      </c>
      <c r="V104" s="17">
        <f>SUMIF(Parcels!A:A,
       A104,
       Parcels!Z:Z)</f>
        <v>1630000</v>
      </c>
      <c r="W104" s="17">
        <f>SUMIF(Parcels!$A:$A,
       $A104,
       Parcels!AC:AC)</f>
        <v>0</v>
      </c>
      <c r="X104" s="26">
        <f t="shared" si="6"/>
        <v>1446625</v>
      </c>
      <c r="Y104" s="26">
        <f t="shared" si="7"/>
        <v>1446625</v>
      </c>
      <c r="Z104" s="32">
        <f t="array" ref="Z104">_xlfn.XLOOKUP(
  A104,
  Parcels!A:A,
Parcels!AL:AL)</f>
        <v>0.0118738</v>
      </c>
      <c r="AA104" s="26">
        <f t="shared" si="18"/>
        <v>0</v>
      </c>
      <c r="AB104" s="26">
        <f t="shared" si="9"/>
        <v>17176.93593</v>
      </c>
      <c r="AC104" s="15"/>
      <c r="AD104" s="15"/>
      <c r="AE104" s="6" t="s">
        <v>474</v>
      </c>
      <c r="AJ104" s="14">
        <f t="shared" si="15"/>
        <v>43200</v>
      </c>
      <c r="AK104" s="14">
        <f t="shared" si="16"/>
        <v>10800</v>
      </c>
      <c r="AL104" s="19">
        <f t="shared" si="17"/>
        <v>0</v>
      </c>
      <c r="AM104" s="14">
        <f t="shared" si="4"/>
        <v>0</v>
      </c>
      <c r="AN104" s="19" t="b">
        <f t="array" ref="AN104">_xlfn.xlookup(C104,'SCC Certificate Review'!C:C,'SCC Certificate Review'!F:F)</f>
        <v>1</v>
      </c>
    </row>
    <row r="105">
      <c r="A105" s="16">
        <v>101.0</v>
      </c>
      <c r="B105" s="6" t="s">
        <v>1391</v>
      </c>
      <c r="C105" s="6" t="s">
        <v>1759</v>
      </c>
      <c r="D105" s="6" t="s">
        <v>114</v>
      </c>
      <c r="E105" s="6" t="s">
        <v>114</v>
      </c>
      <c r="F105" s="6" t="s">
        <v>87</v>
      </c>
      <c r="G105" s="6" t="s">
        <v>1119</v>
      </c>
      <c r="H105" s="6" t="s">
        <v>1760</v>
      </c>
      <c r="I105" s="21">
        <v>45898.0</v>
      </c>
      <c r="J105" s="27"/>
      <c r="K105" s="6" t="s">
        <v>1690</v>
      </c>
      <c r="M105" s="6" t="s">
        <v>90</v>
      </c>
      <c r="N105" s="6" t="b">
        <v>0</v>
      </c>
      <c r="O105" s="6">
        <v>73.0</v>
      </c>
      <c r="P105" s="6">
        <v>72.0</v>
      </c>
      <c r="Q105" s="20">
        <f t="shared" si="24"/>
        <v>0.9863013699</v>
      </c>
      <c r="R105" s="6" t="s">
        <v>1390</v>
      </c>
      <c r="S105" s="25">
        <v>10800.0</v>
      </c>
      <c r="T105" s="16" t="b">
        <f>COUNTIF(Parcels!A:A, A105) &gt; 0</f>
        <v>1</v>
      </c>
      <c r="U105" s="16" t="b">
        <f>MAXIFS(Parcels!AC:AC, Parcels!A:A, A105) &gt; 0</f>
        <v>0</v>
      </c>
      <c r="V105" s="17">
        <f>SUMIF(Parcels!A:A,
       A105,
       Parcels!Z:Z)</f>
        <v>2190000</v>
      </c>
      <c r="W105" s="17">
        <f>SUMIF(Parcels!$A:$A,
       $A105,
       Parcels!AC:AC)</f>
        <v>0</v>
      </c>
      <c r="X105" s="26">
        <f t="shared" si="6"/>
        <v>1944000</v>
      </c>
      <c r="Y105" s="26">
        <f t="shared" si="7"/>
        <v>1944000</v>
      </c>
      <c r="Z105" s="32">
        <f t="array" ref="Z105">_xlfn.XLOOKUP(
  A105,
  Parcels!A:A,
Parcels!AL:AL)</f>
        <v>0.0118738</v>
      </c>
      <c r="AA105" s="26">
        <f t="shared" si="18"/>
        <v>0</v>
      </c>
      <c r="AB105" s="26">
        <f t="shared" si="9"/>
        <v>23082.6672</v>
      </c>
      <c r="AC105" s="15"/>
      <c r="AD105" s="15"/>
      <c r="AE105" s="6" t="s">
        <v>474</v>
      </c>
      <c r="AJ105" s="14">
        <f t="shared" si="15"/>
        <v>43800</v>
      </c>
      <c r="AK105" s="14">
        <f t="shared" si="16"/>
        <v>10950</v>
      </c>
      <c r="AL105" s="19">
        <f t="shared" si="17"/>
        <v>0</v>
      </c>
      <c r="AM105" s="14">
        <f t="shared" si="4"/>
        <v>0</v>
      </c>
      <c r="AN105" s="19" t="b">
        <f t="array" ref="AN105">_xlfn.xlookup(C105,'SCC Certificate Review'!C:C,'SCC Certificate Review'!F:F)</f>
        <v>1</v>
      </c>
    </row>
    <row r="106">
      <c r="A106" s="16">
        <v>102.0</v>
      </c>
      <c r="B106" s="6" t="s">
        <v>1399</v>
      </c>
      <c r="C106" s="6" t="s">
        <v>1769</v>
      </c>
      <c r="D106" s="6" t="s">
        <v>114</v>
      </c>
      <c r="E106" s="6" t="s">
        <v>114</v>
      </c>
      <c r="F106" s="6" t="s">
        <v>87</v>
      </c>
      <c r="G106" s="6" t="s">
        <v>1119</v>
      </c>
      <c r="H106" s="6" t="s">
        <v>1773</v>
      </c>
      <c r="I106" s="21">
        <v>45898.0</v>
      </c>
      <c r="J106" s="27"/>
      <c r="K106" s="6" t="s">
        <v>1690</v>
      </c>
      <c r="M106" s="6" t="s">
        <v>90</v>
      </c>
      <c r="N106" s="6" t="b">
        <v>0</v>
      </c>
      <c r="O106" s="6">
        <v>53.0</v>
      </c>
      <c r="P106" s="6">
        <v>52.0</v>
      </c>
      <c r="Q106" s="20">
        <f t="shared" si="24"/>
        <v>0.9811320755</v>
      </c>
      <c r="R106" s="6" t="s">
        <v>1398</v>
      </c>
      <c r="S106" s="25">
        <v>7800.0</v>
      </c>
      <c r="T106" s="16" t="b">
        <f>COUNTIF(Parcels!A:A, A106) &gt; 0</f>
        <v>1</v>
      </c>
      <c r="U106" s="16" t="b">
        <f>MAXIFS(Parcels!AC:AC, Parcels!A:A, A106) &gt; 0</f>
        <v>0</v>
      </c>
      <c r="V106" s="17">
        <f>SUMIF(Parcels!A:A,
       A106,
       Parcels!Z:Z)</f>
        <v>1845000</v>
      </c>
      <c r="W106" s="17">
        <f>SUMIF(Parcels!$A:$A,
       $A106,
       Parcels!AC:AC)</f>
        <v>0</v>
      </c>
      <c r="X106" s="26">
        <f t="shared" si="6"/>
        <v>1629169.811</v>
      </c>
      <c r="Y106" s="26">
        <f t="shared" si="7"/>
        <v>1629169.811</v>
      </c>
      <c r="Z106" s="32">
        <f t="array" ref="Z106">_xlfn.XLOOKUP(
  A106,
  Parcels!A:A,
Parcels!AL:AL)</f>
        <v>0.0118738</v>
      </c>
      <c r="AA106" s="26">
        <f t="shared" si="18"/>
        <v>0</v>
      </c>
      <c r="AB106" s="26">
        <f t="shared" si="9"/>
        <v>19344.43651</v>
      </c>
      <c r="AC106" s="15"/>
      <c r="AD106" s="15"/>
      <c r="AE106" s="6" t="s">
        <v>474</v>
      </c>
      <c r="AJ106" s="14">
        <f t="shared" si="15"/>
        <v>31800</v>
      </c>
      <c r="AK106" s="14">
        <f t="shared" si="16"/>
        <v>7950</v>
      </c>
      <c r="AL106" s="19">
        <f t="shared" si="17"/>
        <v>0</v>
      </c>
      <c r="AM106" s="14">
        <f t="shared" si="4"/>
        <v>0</v>
      </c>
      <c r="AN106" s="19" t="b">
        <f t="array" ref="AN106">_xlfn.xlookup(C106,'SCC Certificate Review'!C:C,'SCC Certificate Review'!F:F)</f>
        <v>1</v>
      </c>
    </row>
    <row r="107">
      <c r="A107" s="16">
        <v>103.0</v>
      </c>
      <c r="B107" s="6" t="s">
        <v>1408</v>
      </c>
      <c r="C107" s="6" t="s">
        <v>1781</v>
      </c>
      <c r="D107" s="6" t="s">
        <v>114</v>
      </c>
      <c r="E107" s="6" t="s">
        <v>114</v>
      </c>
      <c r="F107" s="6" t="s">
        <v>87</v>
      </c>
      <c r="G107" s="6" t="s">
        <v>1782</v>
      </c>
      <c r="H107" s="6" t="s">
        <v>1783</v>
      </c>
      <c r="I107" s="21">
        <v>45919.0</v>
      </c>
      <c r="J107" s="27"/>
      <c r="K107" s="6" t="s">
        <v>1615</v>
      </c>
      <c r="M107" s="6" t="s">
        <v>203</v>
      </c>
      <c r="N107" s="6" t="b">
        <v>0</v>
      </c>
      <c r="O107" s="6">
        <v>25.0</v>
      </c>
      <c r="P107" s="6">
        <v>25.0</v>
      </c>
      <c r="Q107" s="20">
        <f t="shared" si="24"/>
        <v>1</v>
      </c>
      <c r="R107" s="6" t="s">
        <v>1407</v>
      </c>
      <c r="S107" s="25">
        <v>3750.0</v>
      </c>
      <c r="T107" s="16" t="b">
        <f>COUNTIF(Parcels!A:A, A107) &gt; 0</f>
        <v>1</v>
      </c>
      <c r="U107" s="16" t="b">
        <f>MAXIFS(Parcels!AC:AC, Parcels!A:A, A107) &gt; 0</f>
        <v>0</v>
      </c>
      <c r="V107" s="17">
        <f>SUMIF(Parcels!A:A,
       A107,
       Parcels!Z:Z)</f>
        <v>4166030</v>
      </c>
      <c r="W107" s="17">
        <f>SUMIF(Parcels!$A:$A,
       $A107,
       Parcels!AC:AC)</f>
        <v>0</v>
      </c>
      <c r="X107" s="26">
        <f t="shared" si="6"/>
        <v>3749427</v>
      </c>
      <c r="Y107" s="26">
        <f t="shared" si="7"/>
        <v>3749427</v>
      </c>
      <c r="Z107" s="32">
        <f t="array" ref="Z107">_xlfn.XLOOKUP(
  A107,
  Parcels!A:A,
Parcels!AL:AL)</f>
        <v>0.0118738</v>
      </c>
      <c r="AA107" s="26">
        <f t="shared" si="18"/>
        <v>0</v>
      </c>
      <c r="AB107" s="26">
        <f t="shared" si="9"/>
        <v>44519.94631</v>
      </c>
      <c r="AC107" s="15"/>
      <c r="AD107" s="15"/>
      <c r="AE107" s="6" t="s">
        <v>92</v>
      </c>
      <c r="AJ107" s="14">
        <f t="shared" si="15"/>
        <v>15000</v>
      </c>
      <c r="AK107" s="14">
        <f t="shared" si="16"/>
        <v>4000</v>
      </c>
      <c r="AL107" s="19">
        <f t="shared" si="17"/>
        <v>0</v>
      </c>
      <c r="AM107" s="14">
        <f t="shared" si="4"/>
        <v>0</v>
      </c>
      <c r="AN107" s="19" t="str">
        <f t="array" ref="AN107">_xlfn.xlookup(C107,'SCC Certificate Review'!C:C,'SCC Certificate Review'!F:F)</f>
        <v/>
      </c>
    </row>
    <row r="108">
      <c r="A108" s="16">
        <v>104.0</v>
      </c>
      <c r="B108" s="6" t="s">
        <v>1415</v>
      </c>
      <c r="C108" s="6" t="s">
        <v>1796</v>
      </c>
      <c r="D108" s="6" t="s">
        <v>114</v>
      </c>
      <c r="E108" s="6" t="s">
        <v>114</v>
      </c>
      <c r="F108" s="6" t="s">
        <v>87</v>
      </c>
      <c r="G108" s="6" t="s">
        <v>1782</v>
      </c>
      <c r="H108" s="6" t="s">
        <v>1797</v>
      </c>
      <c r="I108" s="21">
        <v>45919.0</v>
      </c>
      <c r="J108" s="27"/>
      <c r="K108" s="6" t="s">
        <v>1615</v>
      </c>
      <c r="M108" s="6" t="s">
        <v>203</v>
      </c>
      <c r="N108" s="6" t="b">
        <v>0</v>
      </c>
      <c r="O108" s="6">
        <v>27.0</v>
      </c>
      <c r="P108" s="6">
        <v>27.0</v>
      </c>
      <c r="Q108" s="20">
        <f t="shared" si="24"/>
        <v>1</v>
      </c>
      <c r="R108" s="6" t="s">
        <v>1414</v>
      </c>
      <c r="S108" s="25">
        <v>4050.0</v>
      </c>
      <c r="T108" s="16" t="b">
        <f>COUNTIF(Parcels!A:A, A108) &gt; 0</f>
        <v>1</v>
      </c>
      <c r="U108" s="16" t="b">
        <f>MAXIFS(Parcels!AC:AC, Parcels!A:A, A108) &gt; 0</f>
        <v>0</v>
      </c>
      <c r="V108" s="17">
        <f>SUMIF(Parcels!A:A,
       A108,
       Parcels!Z:Z)</f>
        <v>4457073</v>
      </c>
      <c r="W108" s="17">
        <f>SUMIF(Parcels!$A:$A,
       $A108,
       Parcels!AC:AC)</f>
        <v>0</v>
      </c>
      <c r="X108" s="26">
        <f t="shared" si="6"/>
        <v>4011365.7</v>
      </c>
      <c r="Y108" s="26">
        <f t="shared" si="7"/>
        <v>4011365.7</v>
      </c>
      <c r="Z108" s="32">
        <f t="array" ref="Z108">_xlfn.XLOOKUP(
  A108,
  Parcels!A:A,
Parcels!AL:AL)</f>
        <v>0.0118738</v>
      </c>
      <c r="AA108" s="26">
        <f t="shared" si="18"/>
        <v>0</v>
      </c>
      <c r="AB108" s="26">
        <f t="shared" si="9"/>
        <v>47630.15405</v>
      </c>
      <c r="AC108" s="15"/>
      <c r="AD108" s="15"/>
      <c r="AE108" s="6" t="s">
        <v>92</v>
      </c>
      <c r="AJ108" s="14">
        <f t="shared" si="15"/>
        <v>16200</v>
      </c>
      <c r="AK108" s="14">
        <f t="shared" si="16"/>
        <v>4050</v>
      </c>
      <c r="AL108" s="19">
        <f t="shared" si="17"/>
        <v>0</v>
      </c>
      <c r="AM108" s="14">
        <f t="shared" si="4"/>
        <v>0</v>
      </c>
      <c r="AN108" s="19" t="str">
        <f t="array" ref="AN108">_xlfn.xlookup(C108,'SCC Certificate Review'!C:C,'SCC Certificate Review'!F:F)</f>
        <v/>
      </c>
    </row>
    <row r="109">
      <c r="A109" s="16">
        <v>105.0</v>
      </c>
      <c r="B109" s="6" t="s">
        <v>1431</v>
      </c>
      <c r="C109" s="6" t="s">
        <v>1804</v>
      </c>
      <c r="D109" s="6" t="s">
        <v>114</v>
      </c>
      <c r="E109" s="6" t="s">
        <v>114</v>
      </c>
      <c r="F109" s="6" t="s">
        <v>87</v>
      </c>
      <c r="G109" s="6" t="s">
        <v>1782</v>
      </c>
      <c r="H109" s="6" t="s">
        <v>1805</v>
      </c>
      <c r="I109" s="21">
        <v>45919.0</v>
      </c>
      <c r="J109" s="27"/>
      <c r="K109" s="6" t="s">
        <v>1615</v>
      </c>
      <c r="M109" s="6" t="s">
        <v>203</v>
      </c>
      <c r="N109" s="6" t="b">
        <v>0</v>
      </c>
      <c r="O109" s="6">
        <v>49.0</v>
      </c>
      <c r="P109" s="6">
        <v>49.0</v>
      </c>
      <c r="Q109" s="20">
        <f t="shared" si="24"/>
        <v>1</v>
      </c>
      <c r="R109" s="6" t="s">
        <v>1430</v>
      </c>
      <c r="S109" s="25">
        <v>7350.0</v>
      </c>
      <c r="T109" s="16" t="b">
        <f>COUNTIF(Parcels!A:A, A109) &gt; 0</f>
        <v>1</v>
      </c>
      <c r="U109" s="16" t="b">
        <f>MAXIFS(Parcels!AC:AC, Parcels!A:A, A109) &gt; 0</f>
        <v>0</v>
      </c>
      <c r="V109" s="17">
        <f>SUMIF(Parcels!A:A,
       A109,
       Parcels!Z:Z)</f>
        <v>7984000</v>
      </c>
      <c r="W109" s="17">
        <f>SUMIF(Parcels!$A:$A,
       $A109,
       Parcels!AC:AC)</f>
        <v>0</v>
      </c>
      <c r="X109" s="26">
        <f t="shared" si="6"/>
        <v>7185600</v>
      </c>
      <c r="Y109" s="26">
        <f t="shared" si="7"/>
        <v>7185600</v>
      </c>
      <c r="Z109" s="32">
        <f t="array" ref="Z109">_xlfn.XLOOKUP(
  A109,
  Parcels!A:A,
Parcels!AL:AL)</f>
        <v>0.0118738</v>
      </c>
      <c r="AA109" s="26">
        <f t="shared" si="18"/>
        <v>0</v>
      </c>
      <c r="AB109" s="26">
        <f t="shared" si="9"/>
        <v>85320.37728</v>
      </c>
      <c r="AC109" s="15"/>
      <c r="AD109" s="15"/>
      <c r="AE109" s="6" t="s">
        <v>92</v>
      </c>
      <c r="AJ109" s="14">
        <f t="shared" si="15"/>
        <v>29400</v>
      </c>
      <c r="AK109" s="14">
        <f t="shared" si="16"/>
        <v>7350</v>
      </c>
      <c r="AL109" s="19">
        <f t="shared" si="17"/>
        <v>0</v>
      </c>
      <c r="AM109" s="14">
        <f t="shared" si="4"/>
        <v>0</v>
      </c>
      <c r="AN109" s="19" t="str">
        <f t="array" ref="AN109">_xlfn.xlookup(C109,'SCC Certificate Review'!C:C,'SCC Certificate Review'!F:F)</f>
        <v/>
      </c>
    </row>
    <row r="110">
      <c r="A110" s="16">
        <v>106.0</v>
      </c>
      <c r="B110" s="6" t="s">
        <v>1439</v>
      </c>
      <c r="C110" s="6" t="s">
        <v>1814</v>
      </c>
      <c r="D110" s="6" t="s">
        <v>114</v>
      </c>
      <c r="E110" s="6" t="s">
        <v>114</v>
      </c>
      <c r="F110" s="6" t="s">
        <v>87</v>
      </c>
      <c r="G110" s="6" t="s">
        <v>1782</v>
      </c>
      <c r="H110" s="6" t="s">
        <v>1815</v>
      </c>
      <c r="I110" s="21">
        <v>45919.0</v>
      </c>
      <c r="J110" s="27"/>
      <c r="K110" s="6" t="s">
        <v>1615</v>
      </c>
      <c r="M110" s="6" t="s">
        <v>203</v>
      </c>
      <c r="N110" s="6" t="b">
        <v>0</v>
      </c>
      <c r="O110" s="6">
        <v>48.0</v>
      </c>
      <c r="P110" s="6">
        <v>48.0</v>
      </c>
      <c r="Q110" s="20">
        <f t="shared" si="24"/>
        <v>1</v>
      </c>
      <c r="R110" s="6" t="s">
        <v>1438</v>
      </c>
      <c r="S110" s="25">
        <v>7200.0</v>
      </c>
      <c r="T110" s="16" t="b">
        <f>COUNTIF(Parcels!A:A, A110) &gt; 0</f>
        <v>1</v>
      </c>
      <c r="U110" s="16" t="b">
        <f>MAXIFS(Parcels!AC:AC, Parcels!A:A, A110) &gt; 0</f>
        <v>0</v>
      </c>
      <c r="V110" s="17">
        <f>SUMIF(Parcels!A:A,
       A110,
       Parcels!Z:Z)</f>
        <v>7490880</v>
      </c>
      <c r="W110" s="17">
        <f>SUMIF(Parcels!$A:$A,
       $A110,
       Parcels!AC:AC)</f>
        <v>0</v>
      </c>
      <c r="X110" s="26">
        <f t="shared" si="6"/>
        <v>6741792</v>
      </c>
      <c r="Y110" s="26">
        <f t="shared" si="7"/>
        <v>6741792</v>
      </c>
      <c r="Z110" s="32">
        <f t="array" ref="Z110">_xlfn.XLOOKUP(
  A110,
  Parcels!A:A,
Parcels!AL:AL)</f>
        <v>0.0118738</v>
      </c>
      <c r="AA110" s="26">
        <f t="shared" si="18"/>
        <v>0</v>
      </c>
      <c r="AB110" s="26">
        <f t="shared" si="9"/>
        <v>80050.68985</v>
      </c>
      <c r="AC110" s="15"/>
      <c r="AD110" s="15"/>
      <c r="AE110" s="6" t="s">
        <v>92</v>
      </c>
      <c r="AJ110" s="14">
        <f t="shared" si="15"/>
        <v>28800</v>
      </c>
      <c r="AK110" s="14">
        <f t="shared" si="16"/>
        <v>7200</v>
      </c>
      <c r="AL110" s="19">
        <f t="shared" si="17"/>
        <v>0</v>
      </c>
      <c r="AM110" s="14">
        <f t="shared" si="4"/>
        <v>0</v>
      </c>
      <c r="AN110" s="19" t="str">
        <f t="array" ref="AN110">_xlfn.xlookup(C110,'SCC Certificate Review'!C:C,'SCC Certificate Review'!F:F)</f>
        <v/>
      </c>
    </row>
    <row r="111">
      <c r="A111" s="16">
        <v>107.0</v>
      </c>
      <c r="B111" s="6" t="s">
        <v>889</v>
      </c>
      <c r="C111" s="6" t="s">
        <v>1824</v>
      </c>
      <c r="D111" s="6" t="s">
        <v>114</v>
      </c>
      <c r="E111" s="6" t="s">
        <v>114</v>
      </c>
      <c r="F111" s="6" t="s">
        <v>87</v>
      </c>
      <c r="G111" s="6" t="s">
        <v>1782</v>
      </c>
      <c r="H111" s="6" t="s">
        <v>1828</v>
      </c>
      <c r="I111" s="21">
        <v>45919.0</v>
      </c>
      <c r="J111" s="27"/>
      <c r="K111" s="6" t="s">
        <v>1615</v>
      </c>
      <c r="M111" s="6" t="s">
        <v>203</v>
      </c>
      <c r="N111" s="6" t="b">
        <v>0</v>
      </c>
      <c r="O111" s="6">
        <v>43.0</v>
      </c>
      <c r="P111" s="6">
        <v>43.0</v>
      </c>
      <c r="Q111" s="20">
        <f t="shared" si="24"/>
        <v>1</v>
      </c>
      <c r="R111" s="6" t="s">
        <v>1448</v>
      </c>
      <c r="S111" s="25">
        <v>6450.0</v>
      </c>
      <c r="T111" s="16" t="b">
        <f>COUNTIF(Parcels!A:A, A111) &gt; 0</f>
        <v>1</v>
      </c>
      <c r="U111" s="16" t="b">
        <f>MAXIFS(Parcels!AC:AC, Parcels!A:A, A111) &gt; 0</f>
        <v>0</v>
      </c>
      <c r="V111" s="17">
        <f>SUMIF(Parcels!A:A,
       A111,
       Parcels!Z:Z)</f>
        <v>10674504</v>
      </c>
      <c r="W111" s="17">
        <f>SUMIF(Parcels!$A:$A,
       $A111,
       Parcels!AC:AC)</f>
        <v>0</v>
      </c>
      <c r="X111" s="26">
        <f t="shared" si="6"/>
        <v>9607053.6</v>
      </c>
      <c r="Y111" s="26">
        <f t="shared" si="7"/>
        <v>9607053.6</v>
      </c>
      <c r="Z111" s="32">
        <f t="array" ref="Z111">_xlfn.XLOOKUP(
  A111,
  Parcels!A:A,
Parcels!AL:AL)</f>
        <v>0.0118738</v>
      </c>
      <c r="AA111" s="26">
        <f t="shared" si="18"/>
        <v>0</v>
      </c>
      <c r="AB111" s="26">
        <f t="shared" si="9"/>
        <v>114072.233</v>
      </c>
      <c r="AC111" s="15"/>
      <c r="AD111" s="15"/>
      <c r="AE111" s="6" t="s">
        <v>92</v>
      </c>
      <c r="AJ111" s="14">
        <f t="shared" si="15"/>
        <v>25800</v>
      </c>
      <c r="AK111" s="14">
        <f t="shared" si="16"/>
        <v>6450</v>
      </c>
      <c r="AL111" s="19">
        <f t="shared" si="17"/>
        <v>0</v>
      </c>
      <c r="AM111" s="14">
        <f t="shared" si="4"/>
        <v>0</v>
      </c>
      <c r="AN111" s="19" t="str">
        <f t="array" ref="AN111">_xlfn.xlookup(C111,'SCC Certificate Review'!C:C,'SCC Certificate Review'!F:F)</f>
        <v/>
      </c>
    </row>
    <row r="112">
      <c r="A112" s="16">
        <v>108.0</v>
      </c>
      <c r="B112" s="6" t="s">
        <v>1454</v>
      </c>
      <c r="C112" s="6" t="s">
        <v>1832</v>
      </c>
      <c r="D112" s="6" t="s">
        <v>114</v>
      </c>
      <c r="E112" s="6" t="s">
        <v>114</v>
      </c>
      <c r="F112" s="6" t="s">
        <v>87</v>
      </c>
      <c r="G112" s="6" t="s">
        <v>1782</v>
      </c>
      <c r="H112" s="6" t="s">
        <v>1833</v>
      </c>
      <c r="I112" s="21">
        <v>45919.0</v>
      </c>
      <c r="J112" s="27"/>
      <c r="K112" s="6" t="s">
        <v>1615</v>
      </c>
      <c r="M112" s="6" t="s">
        <v>203</v>
      </c>
      <c r="N112" s="6" t="b">
        <v>0</v>
      </c>
      <c r="O112" s="6">
        <v>38.0</v>
      </c>
      <c r="P112" s="6">
        <v>38.0</v>
      </c>
      <c r="Q112" s="20">
        <f t="shared" si="24"/>
        <v>1</v>
      </c>
      <c r="R112" s="6" t="s">
        <v>1453</v>
      </c>
      <c r="S112" s="25">
        <v>5700.0</v>
      </c>
      <c r="T112" s="16" t="b">
        <f>COUNTIF(Parcels!A:A, A112) &gt; 0</f>
        <v>1</v>
      </c>
      <c r="U112" s="16" t="b">
        <f>MAXIFS(Parcels!AC:AC, Parcels!A:A, A112) &gt; 0</f>
        <v>0</v>
      </c>
      <c r="V112" s="17">
        <f>SUMIF(Parcels!A:A,
       A112,
       Parcels!Z:Z)</f>
        <v>7216214</v>
      </c>
      <c r="W112" s="17">
        <f>SUMIF(Parcels!$A:$A,
       $A112,
       Parcels!AC:AC)</f>
        <v>0</v>
      </c>
      <c r="X112" s="26">
        <f t="shared" si="6"/>
        <v>6494592.6</v>
      </c>
      <c r="Y112" s="26">
        <f t="shared" si="7"/>
        <v>6494592.6</v>
      </c>
      <c r="Z112" s="32">
        <f t="array" ref="Z112">_xlfn.XLOOKUP(
  A112,
  Parcels!A:A,
Parcels!AL:AL)</f>
        <v>0.0118738</v>
      </c>
      <c r="AA112" s="26">
        <f t="shared" si="18"/>
        <v>0</v>
      </c>
      <c r="AB112" s="26">
        <f t="shared" si="9"/>
        <v>77115.49361</v>
      </c>
      <c r="AC112" s="15"/>
      <c r="AD112" s="15"/>
      <c r="AE112" s="6" t="s">
        <v>92</v>
      </c>
      <c r="AJ112" s="14">
        <f t="shared" si="15"/>
        <v>22800</v>
      </c>
      <c r="AK112" s="14">
        <f t="shared" si="16"/>
        <v>5700</v>
      </c>
      <c r="AL112" s="19">
        <f t="shared" si="17"/>
        <v>0</v>
      </c>
      <c r="AM112" s="14">
        <f t="shared" si="4"/>
        <v>0</v>
      </c>
      <c r="AN112" s="19" t="str">
        <f t="array" ref="AN112">_xlfn.xlookup(C112,'SCC Certificate Review'!C:C,'SCC Certificate Review'!F:F)</f>
        <v/>
      </c>
    </row>
    <row r="113">
      <c r="A113" s="16">
        <v>109.0</v>
      </c>
      <c r="B113" s="6" t="s">
        <v>1463</v>
      </c>
      <c r="C113" s="6" t="s">
        <v>1843</v>
      </c>
      <c r="D113" s="6" t="s">
        <v>114</v>
      </c>
      <c r="E113" s="6" t="s">
        <v>114</v>
      </c>
      <c r="F113" s="6" t="s">
        <v>87</v>
      </c>
      <c r="G113" s="6" t="s">
        <v>1782</v>
      </c>
      <c r="H113" s="6" t="s">
        <v>1844</v>
      </c>
      <c r="I113" s="21">
        <v>45919.0</v>
      </c>
      <c r="J113" s="27"/>
      <c r="K113" s="6" t="s">
        <v>1615</v>
      </c>
      <c r="M113" s="6" t="s">
        <v>203</v>
      </c>
      <c r="N113" s="6" t="b">
        <v>0</v>
      </c>
      <c r="O113" s="6">
        <v>32.0</v>
      </c>
      <c r="P113" s="6">
        <v>32.0</v>
      </c>
      <c r="Q113" s="20">
        <f t="shared" si="24"/>
        <v>1</v>
      </c>
      <c r="R113" s="6" t="s">
        <v>1462</v>
      </c>
      <c r="S113" s="25">
        <v>4800.0</v>
      </c>
      <c r="T113" s="16" t="b">
        <f>COUNTIF(Parcels!A:A, A113) &gt; 0</f>
        <v>1</v>
      </c>
      <c r="U113" s="16" t="b">
        <f>MAXIFS(Parcels!AC:AC, Parcels!A:A, A113) &gt; 0</f>
        <v>0</v>
      </c>
      <c r="V113" s="17">
        <f>SUMIF(Parcels!A:A,
       A113,
       Parcels!Z:Z)</f>
        <v>7195628</v>
      </c>
      <c r="W113" s="17">
        <f>SUMIF(Parcels!$A:$A,
       $A113,
       Parcels!AC:AC)</f>
        <v>0</v>
      </c>
      <c r="X113" s="26">
        <f t="shared" si="6"/>
        <v>6476065.2</v>
      </c>
      <c r="Y113" s="26">
        <f t="shared" si="7"/>
        <v>6476065.2</v>
      </c>
      <c r="Z113" s="32">
        <f t="array" ref="Z113">_xlfn.XLOOKUP(
  A113,
  Parcels!A:A,
Parcels!AL:AL)</f>
        <v>0.0118738</v>
      </c>
      <c r="AA113" s="26">
        <f t="shared" si="18"/>
        <v>0</v>
      </c>
      <c r="AB113" s="26">
        <f t="shared" si="9"/>
        <v>76895.50297</v>
      </c>
      <c r="AC113" s="15"/>
      <c r="AD113" s="15"/>
      <c r="AE113" s="6" t="s">
        <v>92</v>
      </c>
      <c r="AJ113" s="14">
        <f t="shared" si="15"/>
        <v>19200</v>
      </c>
      <c r="AK113" s="14">
        <f t="shared" si="16"/>
        <v>4800</v>
      </c>
      <c r="AL113" s="19">
        <f t="shared" si="17"/>
        <v>0</v>
      </c>
      <c r="AM113" s="14">
        <f t="shared" si="4"/>
        <v>0</v>
      </c>
      <c r="AN113" s="19" t="str">
        <f t="array" ref="AN113">_xlfn.xlookup(C113,'SCC Certificate Review'!C:C,'SCC Certificate Review'!F:F)</f>
        <v/>
      </c>
    </row>
    <row r="114">
      <c r="A114" s="16">
        <v>110.0</v>
      </c>
      <c r="B114" s="6" t="s">
        <v>1471</v>
      </c>
      <c r="C114" s="6" t="s">
        <v>1848</v>
      </c>
      <c r="D114" s="6" t="s">
        <v>114</v>
      </c>
      <c r="E114" s="6" t="s">
        <v>114</v>
      </c>
      <c r="F114" s="6" t="s">
        <v>87</v>
      </c>
      <c r="G114" s="6" t="s">
        <v>1782</v>
      </c>
      <c r="H114" s="6" t="s">
        <v>1849</v>
      </c>
      <c r="I114" s="21">
        <v>45919.0</v>
      </c>
      <c r="J114" s="27"/>
      <c r="K114" s="6" t="s">
        <v>1615</v>
      </c>
      <c r="M114" s="6" t="s">
        <v>203</v>
      </c>
      <c r="N114" s="6" t="b">
        <v>0</v>
      </c>
      <c r="O114" s="6">
        <v>42.0</v>
      </c>
      <c r="P114" s="6">
        <v>42.0</v>
      </c>
      <c r="Q114" s="20">
        <f t="shared" si="24"/>
        <v>1</v>
      </c>
      <c r="R114" s="6" t="s">
        <v>1470</v>
      </c>
      <c r="S114" s="25">
        <v>3600.0</v>
      </c>
      <c r="T114" s="16" t="b">
        <f>COUNTIF(Parcels!A:A, A114) &gt; 0</f>
        <v>1</v>
      </c>
      <c r="U114" s="16" t="b">
        <f>MAXIFS(Parcels!AC:AC, Parcels!A:A, A114) &gt; 0</f>
        <v>0</v>
      </c>
      <c r="V114" s="17">
        <f>SUMIF(Parcels!A:A,
       A114,
       Parcels!Z:Z)</f>
        <v>4338468</v>
      </c>
      <c r="W114" s="17">
        <f>SUMIF(Parcels!$A:$A,
       $A114,
       Parcels!AC:AC)</f>
        <v>0</v>
      </c>
      <c r="X114" s="26">
        <f t="shared" si="6"/>
        <v>3904621.2</v>
      </c>
      <c r="Y114" s="26">
        <f t="shared" si="7"/>
        <v>3904621.2</v>
      </c>
      <c r="Z114" s="32">
        <f t="array" ref="Z114">_xlfn.XLOOKUP(
  A114,
  Parcels!A:A,
Parcels!AL:AL)</f>
        <v>0.0118738</v>
      </c>
      <c r="AA114" s="26">
        <f t="shared" si="18"/>
        <v>0</v>
      </c>
      <c r="AB114" s="26">
        <f t="shared" si="9"/>
        <v>46362.6912</v>
      </c>
      <c r="AC114" s="15"/>
      <c r="AD114" s="15"/>
      <c r="AE114" s="6" t="s">
        <v>92</v>
      </c>
      <c r="AJ114" s="14">
        <f t="shared" si="15"/>
        <v>25200</v>
      </c>
      <c r="AK114" s="14">
        <f t="shared" si="16"/>
        <v>6300</v>
      </c>
      <c r="AL114" s="19">
        <f t="shared" si="17"/>
        <v>0</v>
      </c>
      <c r="AM114" s="14">
        <f t="shared" si="4"/>
        <v>0</v>
      </c>
      <c r="AN114" s="19" t="str">
        <f t="array" ref="AN114">_xlfn.xlookup(C114,'SCC Certificate Review'!C:C,'SCC Certificate Review'!F:F)</f>
        <v/>
      </c>
    </row>
    <row r="115">
      <c r="A115" s="16">
        <v>111.0</v>
      </c>
      <c r="B115" s="6" t="s">
        <v>1482</v>
      </c>
      <c r="C115" s="6" t="s">
        <v>1853</v>
      </c>
      <c r="D115" s="6" t="s">
        <v>114</v>
      </c>
      <c r="E115" s="6" t="s">
        <v>114</v>
      </c>
      <c r="F115" s="6" t="s">
        <v>87</v>
      </c>
      <c r="G115" s="6" t="s">
        <v>1782</v>
      </c>
      <c r="H115" s="6" t="s">
        <v>1854</v>
      </c>
      <c r="I115" s="21">
        <v>45919.0</v>
      </c>
      <c r="J115" s="27"/>
      <c r="K115" s="6" t="s">
        <v>1615</v>
      </c>
      <c r="M115" s="6" t="s">
        <v>203</v>
      </c>
      <c r="N115" s="6" t="b">
        <v>0</v>
      </c>
      <c r="O115" s="6">
        <v>40.0</v>
      </c>
      <c r="P115" s="6">
        <v>40.0</v>
      </c>
      <c r="Q115" s="20">
        <f t="shared" si="24"/>
        <v>1</v>
      </c>
      <c r="R115" s="6" t="s">
        <v>1481</v>
      </c>
      <c r="S115" s="25">
        <v>6000.0</v>
      </c>
      <c r="T115" s="16" t="b">
        <f>COUNTIF(Parcels!A:A, A115) &gt; 0</f>
        <v>1</v>
      </c>
      <c r="U115" s="16" t="b">
        <f>MAXIFS(Parcels!AC:AC, Parcels!A:A, A115) &gt; 0</f>
        <v>0</v>
      </c>
      <c r="V115" s="17">
        <f>SUMIF(Parcels!A:A,
       A115,
       Parcels!Z:Z)</f>
        <v>6897851</v>
      </c>
      <c r="W115" s="17">
        <f>SUMIF(Parcels!$A:$A,
       $A115,
       Parcels!AC:AC)</f>
        <v>0</v>
      </c>
      <c r="X115" s="26">
        <f t="shared" si="6"/>
        <v>6208065.9</v>
      </c>
      <c r="Y115" s="26">
        <f t="shared" si="7"/>
        <v>6208065.9</v>
      </c>
      <c r="Z115" s="32">
        <f t="array" ref="Z115">_xlfn.XLOOKUP(
  A115,
  Parcels!A:A,
Parcels!AL:AL)</f>
        <v>0.0118738</v>
      </c>
      <c r="AA115" s="26">
        <f t="shared" si="18"/>
        <v>0</v>
      </c>
      <c r="AB115" s="26">
        <f t="shared" si="9"/>
        <v>73713.33288</v>
      </c>
      <c r="AC115" s="15"/>
      <c r="AD115" s="15"/>
      <c r="AE115" s="6" t="s">
        <v>92</v>
      </c>
      <c r="AJ115" s="14">
        <f t="shared" si="15"/>
        <v>24000</v>
      </c>
      <c r="AK115" s="14">
        <f t="shared" si="16"/>
        <v>6000</v>
      </c>
      <c r="AL115" s="19">
        <f t="shared" si="17"/>
        <v>0</v>
      </c>
      <c r="AM115" s="14">
        <f t="shared" si="4"/>
        <v>0</v>
      </c>
      <c r="AN115" s="19" t="str">
        <f t="array" ref="AN115">_xlfn.xlookup(C115,'SCC Certificate Review'!C:C,'SCC Certificate Review'!F:F)</f>
        <v/>
      </c>
    </row>
    <row r="116">
      <c r="A116" s="16">
        <v>112.0</v>
      </c>
      <c r="B116" s="6" t="s">
        <v>1502</v>
      </c>
      <c r="C116" s="6" t="s">
        <v>1879</v>
      </c>
      <c r="D116" s="6" t="s">
        <v>114</v>
      </c>
      <c r="E116" s="6" t="s">
        <v>114</v>
      </c>
      <c r="F116" s="6" t="s">
        <v>87</v>
      </c>
      <c r="G116" s="6" t="s">
        <v>1782</v>
      </c>
      <c r="H116" s="6" t="s">
        <v>1880</v>
      </c>
      <c r="I116" s="21">
        <v>45919.0</v>
      </c>
      <c r="J116" s="27"/>
      <c r="K116" s="6" t="s">
        <v>1615</v>
      </c>
      <c r="M116" s="6" t="s">
        <v>203</v>
      </c>
      <c r="N116" s="6" t="b">
        <v>0</v>
      </c>
      <c r="O116" s="6">
        <v>40.0</v>
      </c>
      <c r="P116" s="6">
        <v>40.0</v>
      </c>
      <c r="Q116" s="20">
        <f t="shared" si="24"/>
        <v>1</v>
      </c>
      <c r="R116" s="6" t="s">
        <v>1501</v>
      </c>
      <c r="S116" s="25">
        <v>6000.0</v>
      </c>
      <c r="T116" s="16" t="b">
        <f>COUNTIF(Parcels!A:A, A116) &gt; 0</f>
        <v>1</v>
      </c>
      <c r="U116" s="16" t="b">
        <f>MAXIFS(Parcels!AC:AC, Parcels!A:A, A116) &gt; 0</f>
        <v>0</v>
      </c>
      <c r="V116" s="17">
        <f>SUMIF(Parcels!A:A,
       A116,
       Parcels!Z:Z)</f>
        <v>8388848</v>
      </c>
      <c r="W116" s="17">
        <f>SUMIF(Parcels!$A:$A,
       $A116,
       Parcels!AC:AC)</f>
        <v>0</v>
      </c>
      <c r="X116" s="26">
        <f t="shared" si="6"/>
        <v>7549963.2</v>
      </c>
      <c r="Y116" s="26">
        <f t="shared" si="7"/>
        <v>7549963.2</v>
      </c>
      <c r="Z116" s="32">
        <f t="array" ref="Z116">_xlfn.XLOOKUP(
  A116,
  Parcels!A:A,
Parcels!AL:AL)</f>
        <v>0.0118738</v>
      </c>
      <c r="AA116" s="26">
        <f t="shared" si="18"/>
        <v>0</v>
      </c>
      <c r="AB116" s="26">
        <f t="shared" si="9"/>
        <v>89646.75304</v>
      </c>
      <c r="AC116" s="15"/>
      <c r="AD116" s="15"/>
      <c r="AE116" s="6" t="s">
        <v>92</v>
      </c>
      <c r="AJ116" s="14">
        <f t="shared" si="15"/>
        <v>24000</v>
      </c>
      <c r="AK116" s="14">
        <f t="shared" si="16"/>
        <v>6000</v>
      </c>
      <c r="AL116" s="19">
        <f t="shared" si="17"/>
        <v>0</v>
      </c>
      <c r="AM116" s="14">
        <f t="shared" si="4"/>
        <v>0</v>
      </c>
      <c r="AN116" s="19" t="str">
        <f t="array" ref="AN116">_xlfn.xlookup(C116,'SCC Certificate Review'!C:C,'SCC Certificate Review'!F:F)</f>
        <v/>
      </c>
    </row>
    <row r="117">
      <c r="A117" s="16">
        <v>113.0</v>
      </c>
      <c r="B117" s="6" t="s">
        <v>1522</v>
      </c>
      <c r="C117" s="6" t="s">
        <v>1907</v>
      </c>
      <c r="D117" s="6" t="s">
        <v>114</v>
      </c>
      <c r="E117" s="6" t="s">
        <v>114</v>
      </c>
      <c r="F117" s="6" t="s">
        <v>87</v>
      </c>
      <c r="G117" s="6" t="s">
        <v>1782</v>
      </c>
      <c r="H117" s="6" t="s">
        <v>1910</v>
      </c>
      <c r="I117" s="21">
        <v>45919.0</v>
      </c>
      <c r="J117" s="27"/>
      <c r="K117" s="6" t="s">
        <v>1615</v>
      </c>
      <c r="M117" s="6" t="s">
        <v>203</v>
      </c>
      <c r="N117" s="6" t="b">
        <v>0</v>
      </c>
      <c r="O117" s="6">
        <v>32.0</v>
      </c>
      <c r="P117" s="6">
        <v>32.0</v>
      </c>
      <c r="Q117" s="20">
        <f t="shared" si="24"/>
        <v>1</v>
      </c>
      <c r="R117" s="6" t="s">
        <v>1521</v>
      </c>
      <c r="S117" s="25">
        <v>4800.0</v>
      </c>
      <c r="T117" s="16" t="b">
        <f>COUNTIF(Parcels!A:A, A117) &gt; 0</f>
        <v>1</v>
      </c>
      <c r="U117" s="16" t="b">
        <f>MAXIFS(Parcels!AC:AC, Parcels!A:A, A117) &gt; 0</f>
        <v>0</v>
      </c>
      <c r="V117" s="17">
        <f>SUMIF(Parcels!A:A,
       A117,
       Parcels!Z:Z)</f>
        <v>4993920</v>
      </c>
      <c r="W117" s="17">
        <f>SUMIF(Parcels!$A:$A,
       $A117,
       Parcels!AC:AC)</f>
        <v>0</v>
      </c>
      <c r="X117" s="26">
        <f t="shared" si="6"/>
        <v>4494528</v>
      </c>
      <c r="Y117" s="26">
        <f t="shared" si="7"/>
        <v>4494528</v>
      </c>
      <c r="Z117" s="32">
        <f t="array" ref="Z117">_xlfn.XLOOKUP(
  A117,
  Parcels!A:A,
Parcels!AL:AL)</f>
        <v>0.0118738</v>
      </c>
      <c r="AA117" s="26">
        <f t="shared" si="18"/>
        <v>0</v>
      </c>
      <c r="AB117" s="26">
        <f t="shared" si="9"/>
        <v>53367.12657</v>
      </c>
      <c r="AC117" s="15"/>
      <c r="AD117" s="15"/>
      <c r="AE117" s="6" t="s">
        <v>92</v>
      </c>
      <c r="AJ117" s="14">
        <f t="shared" si="15"/>
        <v>19200</v>
      </c>
      <c r="AK117" s="14">
        <f t="shared" si="16"/>
        <v>4800</v>
      </c>
      <c r="AL117" s="19">
        <f t="shared" si="17"/>
        <v>0</v>
      </c>
      <c r="AM117" s="14">
        <f t="shared" si="4"/>
        <v>0</v>
      </c>
      <c r="AN117" s="19" t="str">
        <f t="array" ref="AN117">_xlfn.xlookup(C117,'SCC Certificate Review'!C:C,'SCC Certificate Review'!F:F)</f>
        <v/>
      </c>
    </row>
    <row r="118">
      <c r="A118" s="16">
        <v>114.0</v>
      </c>
      <c r="B118" s="6" t="s">
        <v>1544</v>
      </c>
      <c r="C118" s="6" t="s">
        <v>1934</v>
      </c>
      <c r="D118" s="6" t="s">
        <v>114</v>
      </c>
      <c r="E118" s="6" t="s">
        <v>114</v>
      </c>
      <c r="F118" s="6" t="s">
        <v>87</v>
      </c>
      <c r="G118" s="6" t="s">
        <v>1782</v>
      </c>
      <c r="H118" s="6" t="s">
        <v>1935</v>
      </c>
      <c r="I118" s="21">
        <v>45919.0</v>
      </c>
      <c r="J118" s="27"/>
      <c r="K118" s="6" t="s">
        <v>1615</v>
      </c>
      <c r="M118" s="6" t="s">
        <v>203</v>
      </c>
      <c r="N118" s="6" t="b">
        <v>0</v>
      </c>
      <c r="O118" s="6">
        <v>20.0</v>
      </c>
      <c r="P118" s="6">
        <v>20.0</v>
      </c>
      <c r="Q118" s="20">
        <f t="shared" si="24"/>
        <v>1</v>
      </c>
      <c r="R118" s="6" t="s">
        <v>1543</v>
      </c>
      <c r="S118" s="25">
        <v>3000.0</v>
      </c>
      <c r="T118" s="16" t="b">
        <f>COUNTIF(Parcels!A:A, A118) &gt; 0</f>
        <v>1</v>
      </c>
      <c r="U118" s="16" t="b">
        <f>MAXIFS(Parcels!AC:AC, Parcels!A:A, A118) &gt; 0</f>
        <v>0</v>
      </c>
      <c r="V118" s="17">
        <f>SUMIF(Parcels!A:A,
       A118,
       Parcels!Z:Z)</f>
        <v>3121200</v>
      </c>
      <c r="W118" s="17">
        <f>SUMIF(Parcels!$A:$A,
       $A118,
       Parcels!AC:AC)</f>
        <v>0</v>
      </c>
      <c r="X118" s="26">
        <f t="shared" si="6"/>
        <v>2809080</v>
      </c>
      <c r="Y118" s="26">
        <f t="shared" si="7"/>
        <v>2809080</v>
      </c>
      <c r="Z118" s="32">
        <f t="array" ref="Z118">_xlfn.XLOOKUP(
  A118,
  Parcels!A:A,
Parcels!AL:AL)</f>
        <v>0.0118738</v>
      </c>
      <c r="AA118" s="26">
        <f t="shared" si="18"/>
        <v>0</v>
      </c>
      <c r="AB118" s="26">
        <f t="shared" si="9"/>
        <v>33354.4541</v>
      </c>
      <c r="AC118" s="15"/>
      <c r="AD118" s="15"/>
      <c r="AE118" s="6" t="s">
        <v>92</v>
      </c>
      <c r="AJ118" s="14">
        <f t="shared" si="15"/>
        <v>12000</v>
      </c>
      <c r="AK118" s="14">
        <f t="shared" si="16"/>
        <v>4000</v>
      </c>
      <c r="AL118" s="19">
        <f t="shared" si="17"/>
        <v>0</v>
      </c>
      <c r="AM118" s="14">
        <f t="shared" si="4"/>
        <v>0</v>
      </c>
      <c r="AN118" s="19" t="str">
        <f t="array" ref="AN118">_xlfn.xlookup(C118,'SCC Certificate Review'!C:C,'SCC Certificate Review'!F:F)</f>
        <v/>
      </c>
    </row>
    <row r="119">
      <c r="A119" s="16">
        <v>115.0</v>
      </c>
      <c r="B119" s="6" t="s">
        <v>1562</v>
      </c>
      <c r="C119" s="6" t="s">
        <v>1963</v>
      </c>
      <c r="D119" s="6" t="s">
        <v>114</v>
      </c>
      <c r="E119" s="6" t="s">
        <v>114</v>
      </c>
      <c r="F119" s="6" t="s">
        <v>87</v>
      </c>
      <c r="G119" s="6" t="s">
        <v>1782</v>
      </c>
      <c r="H119" s="6" t="s">
        <v>1964</v>
      </c>
      <c r="I119" s="21">
        <v>45919.0</v>
      </c>
      <c r="J119" s="27"/>
      <c r="K119" s="6" t="s">
        <v>1615</v>
      </c>
      <c r="M119" s="6" t="s">
        <v>203</v>
      </c>
      <c r="N119" s="6" t="b">
        <v>0</v>
      </c>
      <c r="O119" s="6">
        <v>60.0</v>
      </c>
      <c r="P119" s="6">
        <v>60.0</v>
      </c>
      <c r="Q119" s="20">
        <f t="shared" si="24"/>
        <v>1</v>
      </c>
      <c r="R119" s="6" t="s">
        <v>1561</v>
      </c>
      <c r="S119" s="25">
        <v>9000.0</v>
      </c>
      <c r="T119" s="16" t="b">
        <f>COUNTIF(Parcels!A:A, A119) &gt; 0</f>
        <v>1</v>
      </c>
      <c r="U119" s="16" t="b">
        <f>MAXIFS(Parcels!AC:AC, Parcels!A:A, A119) &gt; 0</f>
        <v>0</v>
      </c>
      <c r="V119" s="17">
        <f>SUMIF(Parcels!A:A,
       A119,
       Parcels!Z:Z)</f>
        <v>10493522</v>
      </c>
      <c r="W119" s="17">
        <f>SUMIF(Parcels!$A:$A,
       $A119,
       Parcels!AC:AC)</f>
        <v>0</v>
      </c>
      <c r="X119" s="26">
        <f t="shared" si="6"/>
        <v>9444169.8</v>
      </c>
      <c r="Y119" s="26">
        <f t="shared" si="7"/>
        <v>9444169.8</v>
      </c>
      <c r="Z119" s="32">
        <f t="array" ref="Z119">_xlfn.XLOOKUP(
  A119,
  Parcels!A:A,
Parcels!AL:AL)</f>
        <v>0.0118738</v>
      </c>
      <c r="AA119" s="26">
        <f t="shared" si="18"/>
        <v>0</v>
      </c>
      <c r="AB119" s="26">
        <f t="shared" si="9"/>
        <v>112138.1834</v>
      </c>
      <c r="AC119" s="15"/>
      <c r="AD119" s="15"/>
      <c r="AE119" s="6" t="s">
        <v>92</v>
      </c>
      <c r="AJ119" s="14">
        <f t="shared" si="15"/>
        <v>36000</v>
      </c>
      <c r="AK119" s="14">
        <f t="shared" si="16"/>
        <v>9000</v>
      </c>
      <c r="AL119" s="19">
        <f t="shared" si="17"/>
        <v>0</v>
      </c>
      <c r="AM119" s="14">
        <f t="shared" si="4"/>
        <v>0</v>
      </c>
      <c r="AN119" s="19" t="str">
        <f t="array" ref="AN119">_xlfn.xlookup(C119,'SCC Certificate Review'!C:C,'SCC Certificate Review'!F:F)</f>
        <v/>
      </c>
    </row>
    <row r="120">
      <c r="A120" s="16">
        <v>116.0</v>
      </c>
      <c r="B120" s="6" t="s">
        <v>1584</v>
      </c>
      <c r="C120" s="6" t="s">
        <v>1994</v>
      </c>
      <c r="D120" s="6" t="s">
        <v>114</v>
      </c>
      <c r="E120" s="6" t="s">
        <v>114</v>
      </c>
      <c r="F120" s="6" t="s">
        <v>87</v>
      </c>
      <c r="G120" s="6" t="s">
        <v>1782</v>
      </c>
      <c r="H120" s="6" t="s">
        <v>1996</v>
      </c>
      <c r="I120" s="21">
        <v>45919.0</v>
      </c>
      <c r="J120" s="27"/>
      <c r="K120" s="6" t="s">
        <v>1615</v>
      </c>
      <c r="M120" s="6" t="s">
        <v>203</v>
      </c>
      <c r="N120" s="6" t="b">
        <v>0</v>
      </c>
      <c r="O120" s="6">
        <v>73.0</v>
      </c>
      <c r="P120" s="6">
        <v>73.0</v>
      </c>
      <c r="Q120" s="20">
        <f t="shared" si="24"/>
        <v>1</v>
      </c>
      <c r="R120" s="6" t="s">
        <v>1583</v>
      </c>
      <c r="S120" s="25">
        <v>10950.0</v>
      </c>
      <c r="T120" s="16" t="b">
        <f>COUNTIF(Parcels!A:A, A120) &gt; 0</f>
        <v>1</v>
      </c>
      <c r="U120" s="16" t="b">
        <f>MAXIFS(Parcels!AC:AC, Parcels!A:A, A120) &gt; 0</f>
        <v>0</v>
      </c>
      <c r="V120" s="17">
        <f>SUMIF(Parcels!A:A,
       A120,
       Parcels!Z:Z)</f>
        <v>14206920</v>
      </c>
      <c r="W120" s="17">
        <f>SUMIF(Parcels!$A:$A,
       $A120,
       Parcels!AC:AC)</f>
        <v>0</v>
      </c>
      <c r="X120" s="26">
        <f t="shared" si="6"/>
        <v>12786228</v>
      </c>
      <c r="Y120" s="26">
        <f t="shared" si="7"/>
        <v>12786228</v>
      </c>
      <c r="Z120" s="32">
        <f t="array" ref="Z120">_xlfn.XLOOKUP(
  A120,
  Parcels!A:A,
Parcels!AL:AL)</f>
        <v>0.0118738</v>
      </c>
      <c r="AA120" s="26">
        <f t="shared" si="18"/>
        <v>0</v>
      </c>
      <c r="AB120" s="26">
        <f t="shared" si="9"/>
        <v>151821.114</v>
      </c>
      <c r="AC120" s="15"/>
      <c r="AD120" s="15"/>
      <c r="AE120" s="6" t="s">
        <v>92</v>
      </c>
      <c r="AJ120" s="14">
        <f t="shared" si="15"/>
        <v>43800</v>
      </c>
      <c r="AK120" s="14">
        <f t="shared" si="16"/>
        <v>10950</v>
      </c>
      <c r="AL120" s="19">
        <f t="shared" si="17"/>
        <v>0</v>
      </c>
      <c r="AM120" s="14">
        <f t="shared" si="4"/>
        <v>0</v>
      </c>
      <c r="AN120" s="19" t="str">
        <f t="array" ref="AN120">_xlfn.xlookup(C120,'SCC Certificate Review'!C:C,'SCC Certificate Review'!F:F)</f>
        <v/>
      </c>
    </row>
    <row r="121">
      <c r="A121" s="16">
        <v>117.0</v>
      </c>
      <c r="B121" s="6" t="s">
        <v>1595</v>
      </c>
      <c r="C121" s="6" t="s">
        <v>2025</v>
      </c>
      <c r="D121" s="6" t="s">
        <v>114</v>
      </c>
      <c r="E121" s="6" t="s">
        <v>114</v>
      </c>
      <c r="F121" s="6" t="s">
        <v>87</v>
      </c>
      <c r="G121" s="6" t="s">
        <v>1782</v>
      </c>
      <c r="H121" s="6" t="s">
        <v>2026</v>
      </c>
      <c r="I121" s="21">
        <v>45919.0</v>
      </c>
      <c r="J121" s="27"/>
      <c r="K121" s="6" t="s">
        <v>1615</v>
      </c>
      <c r="M121" s="6" t="s">
        <v>203</v>
      </c>
      <c r="N121" s="6" t="b">
        <v>0</v>
      </c>
      <c r="O121" s="6">
        <v>55.0</v>
      </c>
      <c r="P121" s="6">
        <v>55.0</v>
      </c>
      <c r="Q121" s="20">
        <f t="shared" si="24"/>
        <v>1</v>
      </c>
      <c r="R121" s="6" t="s">
        <v>1593</v>
      </c>
      <c r="S121" s="25">
        <v>8250.0</v>
      </c>
      <c r="T121" s="16" t="b">
        <f>COUNTIF(Parcels!A:A, A121) &gt; 0</f>
        <v>1</v>
      </c>
      <c r="U121" s="16" t="b">
        <f>MAXIFS(Parcels!AC:AC, Parcels!A:A, A121) &gt; 0</f>
        <v>0</v>
      </c>
      <c r="V121" s="17">
        <f>SUMIF(Parcels!A:A,
       A121,
       Parcels!Z:Z)</f>
        <v>11906753</v>
      </c>
      <c r="W121" s="17">
        <f>SUMIF(Parcels!$A:$A,
       $A121,
       Parcels!AC:AC)</f>
        <v>0</v>
      </c>
      <c r="X121" s="26">
        <f t="shared" si="6"/>
        <v>10716077.7</v>
      </c>
      <c r="Y121" s="26">
        <f t="shared" si="7"/>
        <v>10716077.7</v>
      </c>
      <c r="Z121" s="32">
        <f t="array" ref="Z121">_xlfn.XLOOKUP(
  A121,
  Parcels!A:A,
Parcels!AL:AL)</f>
        <v>0.0118738</v>
      </c>
      <c r="AA121" s="26">
        <f t="shared" si="18"/>
        <v>0</v>
      </c>
      <c r="AB121" s="26">
        <f t="shared" si="9"/>
        <v>127240.5634</v>
      </c>
      <c r="AC121" s="15"/>
      <c r="AD121" s="15"/>
      <c r="AE121" s="6" t="s">
        <v>92</v>
      </c>
      <c r="AJ121" s="14">
        <f t="shared" si="15"/>
        <v>33000</v>
      </c>
      <c r="AK121" s="14">
        <f t="shared" si="16"/>
        <v>8250</v>
      </c>
      <c r="AL121" s="19">
        <f t="shared" si="17"/>
        <v>0</v>
      </c>
      <c r="AM121" s="14">
        <f t="shared" si="4"/>
        <v>0</v>
      </c>
      <c r="AN121" s="19" t="str">
        <f t="array" ref="AN121">_xlfn.xlookup(C121,'SCC Certificate Review'!C:C,'SCC Certificate Review'!F:F)</f>
        <v/>
      </c>
    </row>
    <row r="122">
      <c r="A122" s="16">
        <v>118.0</v>
      </c>
      <c r="B122" s="6" t="s">
        <v>1623</v>
      </c>
      <c r="C122" s="6" t="s">
        <v>2055</v>
      </c>
      <c r="D122" s="6" t="s">
        <v>114</v>
      </c>
      <c r="E122" s="6" t="s">
        <v>114</v>
      </c>
      <c r="F122" s="6" t="s">
        <v>87</v>
      </c>
      <c r="G122" s="6" t="s">
        <v>1782</v>
      </c>
      <c r="H122" s="6" t="s">
        <v>2057</v>
      </c>
      <c r="I122" s="21">
        <v>45919.0</v>
      </c>
      <c r="J122" s="27"/>
      <c r="K122" s="6" t="s">
        <v>1615</v>
      </c>
      <c r="M122" s="6" t="s">
        <v>203</v>
      </c>
      <c r="N122" s="6" t="b">
        <v>0</v>
      </c>
      <c r="O122" s="6">
        <v>40.0</v>
      </c>
      <c r="P122" s="6">
        <v>40.0</v>
      </c>
      <c r="Q122" s="20">
        <f t="shared" si="24"/>
        <v>1</v>
      </c>
      <c r="R122" s="6" t="s">
        <v>1622</v>
      </c>
      <c r="S122" s="25">
        <v>6000.0</v>
      </c>
      <c r="T122" s="16" t="b">
        <f>COUNTIF(Parcels!A:A, A122) &gt; 0</f>
        <v>1</v>
      </c>
      <c r="U122" s="16" t="b">
        <f>MAXIFS(Parcels!AC:AC, Parcels!A:A, A122) &gt; 0</f>
        <v>0</v>
      </c>
      <c r="V122" s="17">
        <f>SUMIF(Parcels!A:A,
       A122,
       Parcels!Z:Z)</f>
        <v>10012496</v>
      </c>
      <c r="W122" s="17">
        <f>SUMIF(Parcels!$A:$A,
       $A122,
       Parcels!AC:AC)</f>
        <v>0</v>
      </c>
      <c r="X122" s="26">
        <f t="shared" si="6"/>
        <v>9011246.4</v>
      </c>
      <c r="Y122" s="26">
        <f t="shared" si="7"/>
        <v>9011246.4</v>
      </c>
      <c r="Z122" s="32">
        <f t="array" ref="Z122">_xlfn.XLOOKUP(
  A122,
  Parcels!A:A,
Parcels!AL:AL)</f>
        <v>0.0118738</v>
      </c>
      <c r="AA122" s="26">
        <f t="shared" si="18"/>
        <v>0</v>
      </c>
      <c r="AB122" s="26">
        <f t="shared" si="9"/>
        <v>106997.7375</v>
      </c>
      <c r="AC122" s="15"/>
      <c r="AD122" s="15"/>
      <c r="AE122" s="6" t="s">
        <v>92</v>
      </c>
      <c r="AJ122" s="14">
        <f t="shared" si="15"/>
        <v>24000</v>
      </c>
      <c r="AK122" s="14">
        <f t="shared" si="16"/>
        <v>6000</v>
      </c>
      <c r="AL122" s="19">
        <f t="shared" si="17"/>
        <v>0</v>
      </c>
      <c r="AM122" s="14">
        <f t="shared" si="4"/>
        <v>0</v>
      </c>
      <c r="AN122" s="19" t="str">
        <f t="array" ref="AN122">_xlfn.xlookup(C122,'SCC Certificate Review'!C:C,'SCC Certificate Review'!F:F)</f>
        <v/>
      </c>
    </row>
    <row r="123">
      <c r="A123" s="16">
        <v>119.0</v>
      </c>
      <c r="B123" s="6" t="s">
        <v>1648</v>
      </c>
      <c r="C123" s="6" t="s">
        <v>2077</v>
      </c>
      <c r="D123" s="6" t="s">
        <v>114</v>
      </c>
      <c r="E123" s="6" t="s">
        <v>114</v>
      </c>
      <c r="F123" s="6" t="s">
        <v>87</v>
      </c>
      <c r="G123" s="6" t="s">
        <v>1782</v>
      </c>
      <c r="H123" s="6" t="s">
        <v>2078</v>
      </c>
      <c r="I123" s="21">
        <v>45919.0</v>
      </c>
      <c r="J123" s="27"/>
      <c r="K123" s="6" t="s">
        <v>1615</v>
      </c>
      <c r="M123" s="6" t="s">
        <v>203</v>
      </c>
      <c r="N123" s="6" t="b">
        <v>0</v>
      </c>
      <c r="O123" s="6">
        <v>59.0</v>
      </c>
      <c r="P123" s="6">
        <v>59.0</v>
      </c>
      <c r="Q123" s="20">
        <f t="shared" si="24"/>
        <v>1</v>
      </c>
      <c r="R123" s="6" t="s">
        <v>1647</v>
      </c>
      <c r="S123" s="25">
        <v>8850.0</v>
      </c>
      <c r="T123" s="16" t="b">
        <f>COUNTIF(Parcels!A:A, A123) &gt; 0</f>
        <v>1</v>
      </c>
      <c r="U123" s="16" t="b">
        <f>MAXIFS(Parcels!AC:AC, Parcels!A:A, A123) &gt; 0</f>
        <v>0</v>
      </c>
      <c r="V123" s="17">
        <f>SUMIF(Parcels!A:A,
       A123,
       Parcels!Z:Z)</f>
        <v>14209574</v>
      </c>
      <c r="W123" s="17">
        <f>SUMIF(Parcels!$A:$A,
       $A123,
       Parcels!AC:AC)</f>
        <v>0</v>
      </c>
      <c r="X123" s="26">
        <f t="shared" si="6"/>
        <v>12788616.6</v>
      </c>
      <c r="Y123" s="26">
        <f t="shared" si="7"/>
        <v>12788616.6</v>
      </c>
      <c r="Z123" s="32">
        <f t="array" ref="Z123">_xlfn.XLOOKUP(
  A123,
  Parcels!A:A,
Parcels!AL:AL)</f>
        <v>0.0118738</v>
      </c>
      <c r="AA123" s="26">
        <f t="shared" si="18"/>
        <v>0</v>
      </c>
      <c r="AB123" s="26">
        <f t="shared" si="9"/>
        <v>151849.4758</v>
      </c>
      <c r="AC123" s="15"/>
      <c r="AD123" s="15"/>
      <c r="AE123" s="6" t="s">
        <v>92</v>
      </c>
      <c r="AJ123" s="14">
        <f t="shared" si="15"/>
        <v>35400</v>
      </c>
      <c r="AK123" s="14">
        <f t="shared" si="16"/>
        <v>8850</v>
      </c>
      <c r="AL123" s="19">
        <f t="shared" si="17"/>
        <v>0</v>
      </c>
      <c r="AM123" s="14">
        <f t="shared" si="4"/>
        <v>0</v>
      </c>
      <c r="AN123" s="19" t="str">
        <f t="array" ref="AN123">_xlfn.xlookup(C123,'SCC Certificate Review'!C:C,'SCC Certificate Review'!F:F)</f>
        <v/>
      </c>
    </row>
    <row r="124">
      <c r="A124" s="16">
        <v>120.0</v>
      </c>
      <c r="B124" s="6" t="s">
        <v>929</v>
      </c>
      <c r="C124" s="6" t="s">
        <v>2098</v>
      </c>
      <c r="D124" s="6" t="s">
        <v>694</v>
      </c>
      <c r="E124" s="6" t="s">
        <v>120</v>
      </c>
      <c r="F124" s="6" t="s">
        <v>87</v>
      </c>
      <c r="G124" s="6" t="s">
        <v>192</v>
      </c>
      <c r="H124" s="6" t="s">
        <v>2099</v>
      </c>
      <c r="I124" s="21">
        <v>45940.0</v>
      </c>
      <c r="J124" s="27"/>
      <c r="K124" s="6" t="s">
        <v>2111</v>
      </c>
      <c r="M124" s="6" t="s">
        <v>90</v>
      </c>
      <c r="N124" s="6" t="b">
        <v>0</v>
      </c>
      <c r="O124" s="6">
        <v>272.0</v>
      </c>
      <c r="P124" s="6">
        <v>272.0</v>
      </c>
      <c r="Q124" s="20"/>
      <c r="R124" s="6" t="s">
        <v>2113</v>
      </c>
      <c r="S124" s="25">
        <v>40800.0</v>
      </c>
      <c r="T124" s="16" t="b">
        <f>COUNTIF(Parcels!A:A, A124) &gt; 0</f>
        <v>1</v>
      </c>
      <c r="U124" s="16" t="b">
        <f>MAXIFS(Parcels!AC:AC, Parcels!A:A, A124) &gt; 0</f>
        <v>0</v>
      </c>
      <c r="V124" s="17">
        <f>SUMIF(Parcels!A:A,
       A124,
       Parcels!Z:Z)</f>
        <v>51313873</v>
      </c>
      <c r="W124" s="17">
        <f>SUMIF(Parcels!$A:$A,
       $A124,
       Parcels!AC:AC)</f>
        <v>0</v>
      </c>
      <c r="X124" s="26">
        <f t="shared" si="6"/>
        <v>46182485.7</v>
      </c>
      <c r="Y124" s="26">
        <f t="shared" si="7"/>
        <v>46182485.7</v>
      </c>
      <c r="Z124" s="34">
        <f t="array" ref="Z124">_xlfn.XLOOKUP(
  A124,
  Parcels!A:A,
Parcels!AL:AL)</f>
        <v>0.011454</v>
      </c>
      <c r="AA124" s="26">
        <f t="shared" si="18"/>
        <v>0</v>
      </c>
      <c r="AB124" s="26">
        <f t="shared" si="9"/>
        <v>528974.1912</v>
      </c>
      <c r="AE124" s="6" t="s">
        <v>92</v>
      </c>
      <c r="AJ124" s="14">
        <f t="shared" si="15"/>
        <v>163200</v>
      </c>
      <c r="AK124" s="14">
        <f t="shared" si="16"/>
        <v>40800</v>
      </c>
      <c r="AL124" s="19">
        <f t="shared" si="17"/>
        <v>0</v>
      </c>
      <c r="AM124" s="14">
        <f t="shared" si="4"/>
        <v>0</v>
      </c>
      <c r="AN124" s="19" t="b">
        <f t="array" ref="AN124">_xlfn.xlookup(C124,'SCC Certificate Review'!C:C,'SCC Certificate Review'!F:F)</f>
        <v>1</v>
      </c>
    </row>
    <row r="125">
      <c r="A125" s="16">
        <v>131.0</v>
      </c>
      <c r="B125" s="6" t="s">
        <v>2133</v>
      </c>
      <c r="C125" s="6" t="s">
        <v>2134</v>
      </c>
      <c r="D125" s="6" t="s">
        <v>132</v>
      </c>
      <c r="E125" s="6" t="s">
        <v>140</v>
      </c>
      <c r="F125" s="6" t="s">
        <v>87</v>
      </c>
      <c r="G125" s="6" t="s">
        <v>192</v>
      </c>
      <c r="H125" s="6" t="s">
        <v>2136</v>
      </c>
      <c r="I125" s="21">
        <v>45940.0</v>
      </c>
      <c r="J125" s="27"/>
      <c r="K125" s="6" t="s">
        <v>2138</v>
      </c>
      <c r="M125" s="6" t="s">
        <v>2139</v>
      </c>
      <c r="N125" s="6" t="b">
        <v>0</v>
      </c>
      <c r="O125" s="6">
        <v>37.0</v>
      </c>
      <c r="P125" s="6">
        <v>37.0</v>
      </c>
      <c r="Q125" s="20"/>
      <c r="R125" s="6" t="s">
        <v>2141</v>
      </c>
      <c r="S125" s="25">
        <v>5550.0</v>
      </c>
      <c r="T125" s="16" t="b">
        <f>COUNTIF(Parcels!A:A, A125) &gt; 0</f>
        <v>1</v>
      </c>
      <c r="U125" s="16" t="b">
        <f>MAXIFS(Parcels!AC:AC, Parcels!A:A, A125) &gt; 0</f>
        <v>0</v>
      </c>
      <c r="V125" s="17">
        <f>SUMIF(Parcels!A:A,
       A125,
       Parcels!Z:Z)</f>
        <v>10140095</v>
      </c>
      <c r="W125" s="17">
        <f>SUMIF(Parcels!$A:$A,
       $A125,
       Parcels!AC:AC)</f>
        <v>0</v>
      </c>
      <c r="X125" s="26">
        <f t="shared" si="6"/>
        <v>9126085.5</v>
      </c>
      <c r="Y125" s="26">
        <f t="shared" si="7"/>
        <v>9126085.5</v>
      </c>
      <c r="Z125" s="34">
        <f t="array" ref="Z125">_xlfn.XLOOKUP(
  A125,
  Parcels!A:A,
Parcels!AL:AL)</f>
        <v>0.0115</v>
      </c>
      <c r="AA125" s="26">
        <f t="shared" si="18"/>
        <v>0</v>
      </c>
      <c r="AB125" s="26">
        <f t="shared" si="9"/>
        <v>104949.9833</v>
      </c>
      <c r="AE125" s="6" t="s">
        <v>92</v>
      </c>
      <c r="AJ125" s="14">
        <f t="shared" si="15"/>
        <v>22200</v>
      </c>
      <c r="AK125" s="14">
        <f t="shared" si="16"/>
        <v>5550</v>
      </c>
      <c r="AL125" s="19">
        <f t="shared" si="17"/>
        <v>0</v>
      </c>
      <c r="AM125" s="14">
        <f t="shared" si="4"/>
        <v>0</v>
      </c>
      <c r="AN125" s="19" t="str">
        <f t="array" ref="AN125">_xlfn.xlookup(C125,'SCC Certificate Review'!C:C,'SCC Certificate Review'!F:F)</f>
        <v/>
      </c>
    </row>
    <row r="126">
      <c r="A126" s="16">
        <v>160.0</v>
      </c>
      <c r="B126" s="6" t="s">
        <v>2159</v>
      </c>
      <c r="C126" s="6" t="s">
        <v>2160</v>
      </c>
      <c r="D126" s="6" t="s">
        <v>114</v>
      </c>
      <c r="E126" s="6" t="s">
        <v>114</v>
      </c>
      <c r="F126" s="6" t="s">
        <v>87</v>
      </c>
      <c r="H126" s="6" t="s">
        <v>2162</v>
      </c>
      <c r="I126" s="21">
        <v>45940.0</v>
      </c>
      <c r="J126" s="27"/>
      <c r="K126" s="6" t="s">
        <v>1615</v>
      </c>
      <c r="M126" s="6" t="s">
        <v>203</v>
      </c>
      <c r="N126" s="6" t="b">
        <v>0</v>
      </c>
      <c r="O126" s="6">
        <v>16.0</v>
      </c>
      <c r="P126" s="6">
        <v>16.0</v>
      </c>
      <c r="Q126" s="20">
        <f t="shared" ref="Q126:Q140" si="25">P126/O126</f>
        <v>1</v>
      </c>
      <c r="R126" s="6" t="s">
        <v>2165</v>
      </c>
      <c r="S126" s="25">
        <v>2500.0</v>
      </c>
      <c r="T126" s="16" t="b">
        <f>COUNTIF(Parcels!A:A, A126) &gt; 0</f>
        <v>1</v>
      </c>
      <c r="U126" s="16" t="b">
        <f>MAXIFS(Parcels!AC:AC, Parcels!A:A, A126) &gt; 0</f>
        <v>0</v>
      </c>
      <c r="V126" s="17">
        <f>SUMIF(Parcels!A:A,
       A126,
       Parcels!Z:Z)</f>
        <v>2688395</v>
      </c>
      <c r="W126" s="17">
        <f>SUMIF(Parcels!$A:$A,
       $A126,
       Parcels!AC:AC)</f>
        <v>0</v>
      </c>
      <c r="X126" s="26">
        <f t="shared" si="6"/>
        <v>2419555.5</v>
      </c>
      <c r="Y126" s="26">
        <f t="shared" si="7"/>
        <v>2419555.5</v>
      </c>
      <c r="Z126" s="32">
        <f t="array" ref="Z126">_xlfn.XLOOKUP(
  A126,
  Parcels!A:A,
Parcels!AL:AL)</f>
        <v>0.0118738</v>
      </c>
      <c r="AA126" s="26">
        <f t="shared" si="18"/>
        <v>0</v>
      </c>
      <c r="AB126" s="26">
        <f t="shared" si="9"/>
        <v>28729.3181</v>
      </c>
      <c r="AC126" s="15"/>
      <c r="AD126" s="15"/>
      <c r="AE126" s="6" t="s">
        <v>92</v>
      </c>
      <c r="AJ126" s="14">
        <f t="shared" si="15"/>
        <v>9600</v>
      </c>
      <c r="AK126" s="14">
        <f t="shared" si="16"/>
        <v>4000</v>
      </c>
      <c r="AL126" s="19">
        <f t="shared" si="17"/>
        <v>0</v>
      </c>
      <c r="AM126" s="14">
        <f t="shared" si="4"/>
        <v>0</v>
      </c>
      <c r="AN126" s="19" t="str">
        <f t="array" ref="AN126">_xlfn.xlookup(C126,'SCC Certificate Review'!C:C,'SCC Certificate Review'!F:F)</f>
        <v/>
      </c>
    </row>
    <row r="127">
      <c r="A127" s="16">
        <v>121.0</v>
      </c>
      <c r="B127" s="6" t="s">
        <v>1686</v>
      </c>
      <c r="C127" s="6" t="s">
        <v>2164</v>
      </c>
      <c r="D127" s="6" t="s">
        <v>114</v>
      </c>
      <c r="E127" s="6" t="s">
        <v>114</v>
      </c>
      <c r="F127" s="6" t="s">
        <v>87</v>
      </c>
      <c r="G127" s="6" t="s">
        <v>192</v>
      </c>
      <c r="H127" s="6" t="s">
        <v>2193</v>
      </c>
      <c r="I127" s="21">
        <v>45940.0</v>
      </c>
      <c r="J127" s="27"/>
      <c r="K127" s="6" t="s">
        <v>1615</v>
      </c>
      <c r="M127" s="6" t="s">
        <v>203</v>
      </c>
      <c r="N127" s="6" t="b">
        <v>0</v>
      </c>
      <c r="O127" s="6">
        <v>30.0</v>
      </c>
      <c r="P127" s="6">
        <v>30.0</v>
      </c>
      <c r="Q127" s="20">
        <f t="shared" si="25"/>
        <v>1</v>
      </c>
      <c r="R127" s="6" t="s">
        <v>1685</v>
      </c>
      <c r="S127" s="25">
        <v>4500.0</v>
      </c>
      <c r="T127" s="16" t="b">
        <f>COUNTIF(Parcels!A:A, A127) &gt; 0</f>
        <v>1</v>
      </c>
      <c r="U127" s="16" t="b">
        <f>MAXIFS(Parcels!AC:AC, Parcels!A:A, A127) &gt; 0</f>
        <v>0</v>
      </c>
      <c r="V127" s="17">
        <f>SUMIF(Parcels!A:A,
       A127,
       Parcels!Z:Z)</f>
        <v>13742642</v>
      </c>
      <c r="W127" s="17">
        <f>SUMIF(Parcels!$A:$A,
       $A127,
       Parcels!AC:AC)</f>
        <v>0</v>
      </c>
      <c r="X127" s="26">
        <f t="shared" si="6"/>
        <v>12368377.8</v>
      </c>
      <c r="Y127" s="26">
        <f t="shared" si="7"/>
        <v>12368377.8</v>
      </c>
      <c r="Z127" s="32">
        <f t="array" ref="Z127">_xlfn.XLOOKUP(
  A127,
  Parcels!A:A,
Parcels!AL:AL)</f>
        <v>0.0118738</v>
      </c>
      <c r="AA127" s="26">
        <f t="shared" si="18"/>
        <v>0</v>
      </c>
      <c r="AB127" s="26">
        <f t="shared" si="9"/>
        <v>146859.6443</v>
      </c>
      <c r="AC127" s="15"/>
      <c r="AD127" s="15"/>
      <c r="AE127" s="6" t="s">
        <v>92</v>
      </c>
      <c r="AJ127" s="14">
        <f t="shared" si="15"/>
        <v>18000</v>
      </c>
      <c r="AK127" s="14">
        <f t="shared" si="16"/>
        <v>4500</v>
      </c>
      <c r="AL127" s="19">
        <f t="shared" si="17"/>
        <v>0</v>
      </c>
      <c r="AM127" s="14">
        <f t="shared" si="4"/>
        <v>0</v>
      </c>
      <c r="AN127" s="19" t="str">
        <f t="array" ref="AN127">_xlfn.xlookup(C127,'SCC Certificate Review'!C:C,'SCC Certificate Review'!F:F)</f>
        <v/>
      </c>
    </row>
    <row r="128">
      <c r="A128" s="16">
        <v>122.0</v>
      </c>
      <c r="B128" s="6" t="s">
        <v>1710</v>
      </c>
      <c r="C128" s="6" t="s">
        <v>2166</v>
      </c>
      <c r="D128" s="6" t="s">
        <v>114</v>
      </c>
      <c r="E128" s="6" t="s">
        <v>114</v>
      </c>
      <c r="F128" s="6" t="s">
        <v>87</v>
      </c>
      <c r="G128" s="6" t="s">
        <v>192</v>
      </c>
      <c r="H128" s="6" t="s">
        <v>2230</v>
      </c>
      <c r="I128" s="21">
        <v>45940.0</v>
      </c>
      <c r="J128" s="27"/>
      <c r="K128" s="6" t="s">
        <v>1615</v>
      </c>
      <c r="M128" s="6" t="s">
        <v>203</v>
      </c>
      <c r="N128" s="6" t="b">
        <v>0</v>
      </c>
      <c r="O128" s="6">
        <v>39.0</v>
      </c>
      <c r="P128" s="6">
        <v>39.0</v>
      </c>
      <c r="Q128" s="20">
        <f t="shared" si="25"/>
        <v>1</v>
      </c>
      <c r="R128" s="6" t="s">
        <v>1709</v>
      </c>
      <c r="S128" s="25">
        <v>5850.0</v>
      </c>
      <c r="T128" s="16" t="b">
        <f>COUNTIF(Parcels!A:A, A128) &gt; 0</f>
        <v>1</v>
      </c>
      <c r="U128" s="16" t="b">
        <f>MAXIFS(Parcels!AC:AC, Parcels!A:A, A128) &gt; 0</f>
        <v>0</v>
      </c>
      <c r="V128" s="17">
        <f>SUMIF(Parcels!A:A,
       A128,
       Parcels!Z:Z)</f>
        <v>9710053</v>
      </c>
      <c r="W128" s="17">
        <f>SUMIF(Parcels!$A:$A,
       $A128,
       Parcels!AC:AC)</f>
        <v>0</v>
      </c>
      <c r="X128" s="26">
        <f t="shared" si="6"/>
        <v>8739047.7</v>
      </c>
      <c r="Y128" s="26">
        <f t="shared" si="7"/>
        <v>8739047.7</v>
      </c>
      <c r="Z128" s="32">
        <f t="array" ref="Z128">_xlfn.XLOOKUP(
  A128,
  Parcels!A:A,
Parcels!AL:AL)</f>
        <v>0.0118738</v>
      </c>
      <c r="AA128" s="26">
        <f t="shared" si="18"/>
        <v>0</v>
      </c>
      <c r="AB128" s="26">
        <f t="shared" si="9"/>
        <v>103765.7046</v>
      </c>
      <c r="AC128" s="15"/>
      <c r="AD128" s="15"/>
      <c r="AE128" s="6" t="s">
        <v>92</v>
      </c>
      <c r="AJ128" s="14">
        <f t="shared" si="15"/>
        <v>23400</v>
      </c>
      <c r="AK128" s="14">
        <f t="shared" si="16"/>
        <v>5850</v>
      </c>
      <c r="AL128" s="19">
        <f t="shared" si="17"/>
        <v>0</v>
      </c>
      <c r="AM128" s="14">
        <f t="shared" si="4"/>
        <v>0</v>
      </c>
      <c r="AN128" s="19" t="str">
        <f t="array" ref="AN128">_xlfn.xlookup(C128,'SCC Certificate Review'!C:C,'SCC Certificate Review'!F:F)</f>
        <v/>
      </c>
    </row>
    <row r="129">
      <c r="A129" s="16">
        <v>123.0</v>
      </c>
      <c r="B129" s="6" t="s">
        <v>857</v>
      </c>
      <c r="C129" s="6" t="s">
        <v>2169</v>
      </c>
      <c r="D129" s="6" t="s">
        <v>114</v>
      </c>
      <c r="E129" s="6" t="s">
        <v>114</v>
      </c>
      <c r="F129" s="6" t="s">
        <v>87</v>
      </c>
      <c r="G129" s="6" t="s">
        <v>192</v>
      </c>
      <c r="H129" s="6" t="s">
        <v>2261</v>
      </c>
      <c r="I129" s="21">
        <v>45940.0</v>
      </c>
      <c r="J129" s="27"/>
      <c r="K129" s="6" t="s">
        <v>1615</v>
      </c>
      <c r="M129" s="6" t="s">
        <v>203</v>
      </c>
      <c r="N129" s="6" t="b">
        <v>0</v>
      </c>
      <c r="O129" s="6">
        <v>48.0</v>
      </c>
      <c r="P129" s="6">
        <v>48.0</v>
      </c>
      <c r="Q129" s="20">
        <f t="shared" si="25"/>
        <v>1</v>
      </c>
      <c r="R129" s="6" t="s">
        <v>1731</v>
      </c>
      <c r="S129" s="25">
        <v>7200.0</v>
      </c>
      <c r="T129" s="16" t="b">
        <f>COUNTIF(Parcels!A:A, A129) &gt; 0</f>
        <v>1</v>
      </c>
      <c r="U129" s="16" t="b">
        <f>MAXIFS(Parcels!AC:AC, Parcels!A:A, A129) &gt; 0</f>
        <v>0</v>
      </c>
      <c r="V129" s="17">
        <f>SUMIF(Parcels!A:A,
       A129,
       Parcels!Z:Z)</f>
        <v>9200673</v>
      </c>
      <c r="W129" s="17">
        <f>SUMIF(Parcels!$A:$A,
       $A129,
       Parcels!AC:AC)</f>
        <v>0</v>
      </c>
      <c r="X129" s="26">
        <f t="shared" si="6"/>
        <v>8280605.7</v>
      </c>
      <c r="Y129" s="26">
        <f t="shared" si="7"/>
        <v>8280605.7</v>
      </c>
      <c r="Z129" s="32">
        <f t="array" ref="Z129">_xlfn.XLOOKUP(
  A129,
  Parcels!A:A,
Parcels!AL:AL)</f>
        <v>0.0118738</v>
      </c>
      <c r="AA129" s="26">
        <f t="shared" si="18"/>
        <v>0</v>
      </c>
      <c r="AB129" s="26">
        <f t="shared" si="9"/>
        <v>98322.25596</v>
      </c>
      <c r="AC129" s="15"/>
      <c r="AD129" s="15"/>
      <c r="AE129" s="6" t="s">
        <v>92</v>
      </c>
      <c r="AJ129" s="14">
        <f t="shared" si="15"/>
        <v>28800</v>
      </c>
      <c r="AK129" s="14">
        <f t="shared" si="16"/>
        <v>7200</v>
      </c>
      <c r="AL129" s="19">
        <f t="shared" si="17"/>
        <v>0</v>
      </c>
      <c r="AM129" s="14">
        <f t="shared" si="4"/>
        <v>0</v>
      </c>
      <c r="AN129" s="19" t="str">
        <f t="array" ref="AN129">_xlfn.xlookup(C129,'SCC Certificate Review'!C:C,'SCC Certificate Review'!F:F)</f>
        <v/>
      </c>
    </row>
    <row r="130">
      <c r="A130" s="16">
        <v>124.0</v>
      </c>
      <c r="B130" s="6" t="s">
        <v>1757</v>
      </c>
      <c r="C130" s="6" t="s">
        <v>2170</v>
      </c>
      <c r="D130" s="6" t="s">
        <v>114</v>
      </c>
      <c r="E130" s="6" t="s">
        <v>114</v>
      </c>
      <c r="F130" s="6" t="s">
        <v>87</v>
      </c>
      <c r="G130" s="6" t="s">
        <v>192</v>
      </c>
      <c r="H130" s="6" t="s">
        <v>2283</v>
      </c>
      <c r="I130" s="21">
        <v>45940.0</v>
      </c>
      <c r="J130" s="27"/>
      <c r="K130" s="6" t="s">
        <v>1615</v>
      </c>
      <c r="M130" s="6" t="s">
        <v>203</v>
      </c>
      <c r="N130" s="6" t="b">
        <v>0</v>
      </c>
      <c r="O130" s="6">
        <v>18.0</v>
      </c>
      <c r="P130" s="6">
        <v>18.0</v>
      </c>
      <c r="Q130" s="20">
        <f t="shared" si="25"/>
        <v>1</v>
      </c>
      <c r="R130" s="6" t="s">
        <v>1755</v>
      </c>
      <c r="S130" s="25">
        <v>2700.0</v>
      </c>
      <c r="T130" s="16" t="b">
        <f>COUNTIF(Parcels!A:A, A130) &gt; 0</f>
        <v>1</v>
      </c>
      <c r="U130" s="16" t="b">
        <f>MAXIFS(Parcels!AC:AC, Parcels!A:A, A130) &gt; 0</f>
        <v>0</v>
      </c>
      <c r="V130" s="17">
        <f>SUMIF(Parcels!A:A,
       A130,
       Parcels!Z:Z)</f>
        <v>2895505</v>
      </c>
      <c r="W130" s="17">
        <f>SUMIF(Parcels!$A:$A,
       $A130,
       Parcels!AC:AC)</f>
        <v>0</v>
      </c>
      <c r="X130" s="26">
        <f t="shared" si="6"/>
        <v>2605954.5</v>
      </c>
      <c r="Y130" s="26">
        <f t="shared" si="7"/>
        <v>2605954.5</v>
      </c>
      <c r="Z130" s="32">
        <f t="array" ref="Z130">_xlfn.XLOOKUP(
  A130,
  Parcels!A:A,
Parcels!AL:AL)</f>
        <v>0.0118738</v>
      </c>
      <c r="AA130" s="26">
        <f t="shared" si="18"/>
        <v>0</v>
      </c>
      <c r="AB130" s="26">
        <f t="shared" si="9"/>
        <v>30942.58254</v>
      </c>
      <c r="AC130" s="15"/>
      <c r="AD130" s="15"/>
      <c r="AE130" s="6" t="s">
        <v>92</v>
      </c>
      <c r="AJ130" s="14">
        <f t="shared" si="15"/>
        <v>10800</v>
      </c>
      <c r="AK130" s="14">
        <f t="shared" si="16"/>
        <v>4000</v>
      </c>
      <c r="AL130" s="19">
        <f t="shared" si="17"/>
        <v>0</v>
      </c>
      <c r="AM130" s="14">
        <f t="shared" si="4"/>
        <v>0</v>
      </c>
      <c r="AN130" s="19" t="str">
        <f t="array" ref="AN130">_xlfn.xlookup(C130,'SCC Certificate Review'!C:C,'SCC Certificate Review'!F:F)</f>
        <v/>
      </c>
    </row>
    <row r="131">
      <c r="A131" s="16">
        <v>125.0</v>
      </c>
      <c r="B131" s="6" t="s">
        <v>1765</v>
      </c>
      <c r="C131" s="6" t="s">
        <v>2171</v>
      </c>
      <c r="D131" s="6" t="s">
        <v>114</v>
      </c>
      <c r="E131" s="6" t="s">
        <v>114</v>
      </c>
      <c r="F131" s="6" t="s">
        <v>87</v>
      </c>
      <c r="G131" s="6" t="s">
        <v>192</v>
      </c>
      <c r="H131" s="6" t="s">
        <v>2297</v>
      </c>
      <c r="I131" s="21">
        <v>45940.0</v>
      </c>
      <c r="J131" s="27"/>
      <c r="K131" s="6" t="s">
        <v>1615</v>
      </c>
      <c r="M131" s="6" t="s">
        <v>203</v>
      </c>
      <c r="N131" s="6" t="b">
        <v>0</v>
      </c>
      <c r="O131" s="6">
        <v>45.0</v>
      </c>
      <c r="P131" s="6">
        <v>45.0</v>
      </c>
      <c r="Q131" s="20">
        <f t="shared" si="25"/>
        <v>1</v>
      </c>
      <c r="R131" s="6" t="s">
        <v>1764</v>
      </c>
      <c r="S131" s="25">
        <v>6750.0</v>
      </c>
      <c r="T131" s="16" t="b">
        <f>COUNTIF(Parcels!A:A, A131) &gt; 0</f>
        <v>1</v>
      </c>
      <c r="U131" s="16" t="b">
        <f>MAXIFS(Parcels!AC:AC, Parcels!A:A, A131) &gt; 0</f>
        <v>0</v>
      </c>
      <c r="V131" s="17">
        <f>SUMIF(Parcels!A:A,
       A131,
       Parcels!Z:Z)</f>
        <v>10516571</v>
      </c>
      <c r="W131" s="17">
        <f>SUMIF(Parcels!$A:$A,
       $A131,
       Parcels!AC:AC)</f>
        <v>0</v>
      </c>
      <c r="X131" s="26">
        <f t="shared" si="6"/>
        <v>9464913.9</v>
      </c>
      <c r="Y131" s="26">
        <f t="shared" si="7"/>
        <v>9464913.9</v>
      </c>
      <c r="Z131" s="32">
        <f t="array" ref="Z131">_xlfn.XLOOKUP(
  A131,
  Parcels!A:A,
Parcels!AL:AL)</f>
        <v>0.0118738</v>
      </c>
      <c r="AA131" s="26">
        <f t="shared" si="18"/>
        <v>0</v>
      </c>
      <c r="AB131" s="26">
        <f t="shared" si="9"/>
        <v>112384.4947</v>
      </c>
      <c r="AC131" s="15"/>
      <c r="AD131" s="15"/>
      <c r="AE131" s="6" t="s">
        <v>92</v>
      </c>
      <c r="AJ131" s="14">
        <f t="shared" si="15"/>
        <v>27000</v>
      </c>
      <c r="AK131" s="14">
        <f t="shared" si="16"/>
        <v>6750</v>
      </c>
      <c r="AL131" s="19">
        <f t="shared" si="17"/>
        <v>0</v>
      </c>
      <c r="AM131" s="14">
        <f t="shared" si="4"/>
        <v>0</v>
      </c>
      <c r="AN131" s="19" t="str">
        <f t="array" ref="AN131">_xlfn.xlookup(C131,'SCC Certificate Review'!C:C,'SCC Certificate Review'!F:F)</f>
        <v/>
      </c>
    </row>
    <row r="132">
      <c r="A132" s="16">
        <v>126.0</v>
      </c>
      <c r="B132" s="6" t="s">
        <v>1772</v>
      </c>
      <c r="C132" s="6" t="s">
        <v>2174</v>
      </c>
      <c r="D132" s="6" t="s">
        <v>114</v>
      </c>
      <c r="E132" s="6" t="s">
        <v>114</v>
      </c>
      <c r="F132" s="6" t="s">
        <v>87</v>
      </c>
      <c r="G132" s="6" t="s">
        <v>192</v>
      </c>
      <c r="H132" s="6" t="s">
        <v>2339</v>
      </c>
      <c r="I132" s="21">
        <v>45940.0</v>
      </c>
      <c r="J132" s="27"/>
      <c r="K132" s="6" t="s">
        <v>1615</v>
      </c>
      <c r="M132" s="6" t="s">
        <v>203</v>
      </c>
      <c r="N132" s="6" t="b">
        <v>0</v>
      </c>
      <c r="O132" s="6">
        <v>40.0</v>
      </c>
      <c r="P132" s="6">
        <v>40.0</v>
      </c>
      <c r="Q132" s="20">
        <f t="shared" si="25"/>
        <v>1</v>
      </c>
      <c r="R132" s="6" t="s">
        <v>1771</v>
      </c>
      <c r="S132" s="25">
        <v>6000.0</v>
      </c>
      <c r="T132" s="16" t="b">
        <f>COUNTIF(Parcels!A:A, A132) &gt; 0</f>
        <v>1</v>
      </c>
      <c r="U132" s="16" t="b">
        <f>MAXIFS(Parcels!AC:AC, Parcels!A:A, A132) &gt; 0</f>
        <v>0</v>
      </c>
      <c r="V132" s="17">
        <f>SUMIF(Parcels!A:A,
       A132,
       Parcels!Z:Z)</f>
        <v>7089929</v>
      </c>
      <c r="W132" s="17">
        <f>SUMIF(Parcels!$A:$A,
       $A132,
       Parcels!AC:AC)</f>
        <v>0</v>
      </c>
      <c r="X132" s="26">
        <f t="shared" si="6"/>
        <v>6380936.1</v>
      </c>
      <c r="Y132" s="26">
        <f t="shared" si="7"/>
        <v>6380936.1</v>
      </c>
      <c r="Z132" s="32">
        <f t="array" ref="Z132">_xlfn.XLOOKUP(
  A132,
  Parcels!A:A,
Parcels!AL:AL)</f>
        <v>0.0118738</v>
      </c>
      <c r="AA132" s="26">
        <f t="shared" si="18"/>
        <v>0</v>
      </c>
      <c r="AB132" s="26">
        <f t="shared" si="9"/>
        <v>75765.95906</v>
      </c>
      <c r="AC132" s="15"/>
      <c r="AD132" s="15"/>
      <c r="AE132" s="6" t="s">
        <v>92</v>
      </c>
      <c r="AJ132" s="14">
        <f t="shared" si="15"/>
        <v>24000</v>
      </c>
      <c r="AK132" s="14">
        <f t="shared" si="16"/>
        <v>6000</v>
      </c>
      <c r="AL132" s="19">
        <f t="shared" si="17"/>
        <v>0</v>
      </c>
      <c r="AM132" s="14">
        <f t="shared" si="4"/>
        <v>0</v>
      </c>
      <c r="AN132" s="19" t="str">
        <f t="array" ref="AN132">_xlfn.xlookup(C132,'SCC Certificate Review'!C:C,'SCC Certificate Review'!F:F)</f>
        <v/>
      </c>
    </row>
    <row r="133">
      <c r="A133" s="16">
        <v>127.0</v>
      </c>
      <c r="B133" s="6" t="s">
        <v>1779</v>
      </c>
      <c r="C133" s="6" t="s">
        <v>2175</v>
      </c>
      <c r="D133" s="6" t="s">
        <v>114</v>
      </c>
      <c r="E133" s="6" t="s">
        <v>114</v>
      </c>
      <c r="F133" s="6" t="s">
        <v>87</v>
      </c>
      <c r="G133" s="6" t="s">
        <v>192</v>
      </c>
      <c r="H133" s="6" t="s">
        <v>2372</v>
      </c>
      <c r="I133" s="21">
        <v>45940.0</v>
      </c>
      <c r="J133" s="27"/>
      <c r="K133" s="6" t="s">
        <v>1615</v>
      </c>
      <c r="M133" s="6" t="s">
        <v>203</v>
      </c>
      <c r="N133" s="6" t="b">
        <v>0</v>
      </c>
      <c r="O133" s="6">
        <v>23.0</v>
      </c>
      <c r="P133" s="6">
        <v>23.0</v>
      </c>
      <c r="Q133" s="20">
        <f t="shared" si="25"/>
        <v>1</v>
      </c>
      <c r="R133" s="6" t="s">
        <v>1778</v>
      </c>
      <c r="S133" s="25">
        <v>3450.0</v>
      </c>
      <c r="T133" s="16" t="b">
        <f>COUNTIF(Parcels!A:A, A133) &gt; 0</f>
        <v>1</v>
      </c>
      <c r="U133" s="16" t="b">
        <f>MAXIFS(Parcels!AC:AC, Parcels!A:A, A133) &gt; 0</f>
        <v>0</v>
      </c>
      <c r="V133" s="17">
        <f>SUMIF(Parcels!A:A,
       A133,
       Parcels!Z:Z)</f>
        <v>6547652</v>
      </c>
      <c r="W133" s="17">
        <f>SUMIF(Parcels!$A:$A,
       $A133,
       Parcels!AC:AC)</f>
        <v>0</v>
      </c>
      <c r="X133" s="26">
        <f t="shared" si="6"/>
        <v>5892886.8</v>
      </c>
      <c r="Y133" s="26">
        <f t="shared" si="7"/>
        <v>5892886.8</v>
      </c>
      <c r="Z133" s="32">
        <f t="array" ref="Z133">_xlfn.XLOOKUP(
  A133,
  Parcels!A:A,
Parcels!AL:AL)</f>
        <v>0.0118738</v>
      </c>
      <c r="AA133" s="26">
        <f t="shared" si="18"/>
        <v>0</v>
      </c>
      <c r="AB133" s="26">
        <f t="shared" si="9"/>
        <v>69970.95929</v>
      </c>
      <c r="AC133" s="15"/>
      <c r="AD133" s="15"/>
      <c r="AE133" s="6" t="s">
        <v>92</v>
      </c>
      <c r="AI133" s="140"/>
      <c r="AJ133" s="14">
        <f t="shared" si="15"/>
        <v>13800</v>
      </c>
      <c r="AK133" s="14">
        <f t="shared" si="16"/>
        <v>4000</v>
      </c>
      <c r="AL133" s="19">
        <f t="shared" si="17"/>
        <v>0</v>
      </c>
      <c r="AM133" s="14">
        <f t="shared" si="4"/>
        <v>0</v>
      </c>
      <c r="AN133" s="19" t="str">
        <f t="array" ref="AN133">_xlfn.xlookup(C133,'SCC Certificate Review'!C:C,'SCC Certificate Review'!F:F)</f>
        <v/>
      </c>
    </row>
    <row r="134">
      <c r="A134" s="16">
        <v>128.0</v>
      </c>
      <c r="B134" s="6" t="s">
        <v>1788</v>
      </c>
      <c r="C134" s="6" t="s">
        <v>2177</v>
      </c>
      <c r="D134" s="6" t="s">
        <v>114</v>
      </c>
      <c r="E134" s="6" t="s">
        <v>114</v>
      </c>
      <c r="F134" s="6" t="s">
        <v>87</v>
      </c>
      <c r="G134" s="6" t="s">
        <v>192</v>
      </c>
      <c r="H134" s="6" t="s">
        <v>2413</v>
      </c>
      <c r="I134" s="21">
        <v>45940.0</v>
      </c>
      <c r="J134" s="27"/>
      <c r="K134" s="6" t="s">
        <v>1615</v>
      </c>
      <c r="M134" s="6" t="s">
        <v>203</v>
      </c>
      <c r="N134" s="6" t="b">
        <v>0</v>
      </c>
      <c r="O134" s="6">
        <v>48.0</v>
      </c>
      <c r="P134" s="6">
        <v>48.0</v>
      </c>
      <c r="Q134" s="20">
        <f t="shared" si="25"/>
        <v>1</v>
      </c>
      <c r="R134" s="6" t="s">
        <v>1787</v>
      </c>
      <c r="S134" s="25">
        <v>7200.0</v>
      </c>
      <c r="T134" s="16" t="b">
        <f>COUNTIF(Parcels!A:A, A134) &gt; 0</f>
        <v>1</v>
      </c>
      <c r="U134" s="16" t="b">
        <f>MAXIFS(Parcels!AC:AC, Parcels!A:A, A134) &gt; 0</f>
        <v>0</v>
      </c>
      <c r="V134" s="17">
        <f>SUMIF(Parcels!A:A,
       A134,
       Parcels!Z:Z)</f>
        <v>11471658</v>
      </c>
      <c r="W134" s="17">
        <f>SUMIF(Parcels!$A:$A,
       $A134,
       Parcels!AC:AC)</f>
        <v>0</v>
      </c>
      <c r="X134" s="26">
        <f t="shared" si="6"/>
        <v>10324492.2</v>
      </c>
      <c r="Y134" s="26">
        <f t="shared" si="7"/>
        <v>10324492.2</v>
      </c>
      <c r="Z134" s="32">
        <f t="array" ref="Z134">_xlfn.XLOOKUP(
  A134,
  Parcels!A:A,
Parcels!AL:AL)</f>
        <v>0.0118738</v>
      </c>
      <c r="AA134" s="26">
        <f t="shared" si="18"/>
        <v>0</v>
      </c>
      <c r="AB134" s="26">
        <f t="shared" si="9"/>
        <v>122590.9555</v>
      </c>
      <c r="AC134" s="15"/>
      <c r="AD134" s="15"/>
      <c r="AE134" s="6" t="s">
        <v>92</v>
      </c>
      <c r="AI134" s="140"/>
      <c r="AJ134" s="14">
        <f t="shared" si="15"/>
        <v>28800</v>
      </c>
      <c r="AK134" s="14">
        <f t="shared" si="16"/>
        <v>7200</v>
      </c>
      <c r="AL134" s="19">
        <f t="shared" si="17"/>
        <v>0</v>
      </c>
      <c r="AM134" s="14">
        <f t="shared" si="4"/>
        <v>0</v>
      </c>
      <c r="AN134" s="19" t="str">
        <f t="array" ref="AN134">_xlfn.xlookup(C134,'SCC Certificate Review'!C:C,'SCC Certificate Review'!F:F)</f>
        <v/>
      </c>
    </row>
    <row r="135">
      <c r="A135" s="16">
        <v>129.0</v>
      </c>
      <c r="B135" s="6" t="s">
        <v>1794</v>
      </c>
      <c r="C135" s="6" t="s">
        <v>2179</v>
      </c>
      <c r="D135" s="6" t="s">
        <v>114</v>
      </c>
      <c r="E135" s="6" t="s">
        <v>114</v>
      </c>
      <c r="F135" s="6" t="s">
        <v>87</v>
      </c>
      <c r="G135" s="6" t="s">
        <v>192</v>
      </c>
      <c r="H135" s="6" t="s">
        <v>2459</v>
      </c>
      <c r="I135" s="21">
        <v>45940.0</v>
      </c>
      <c r="J135" s="27"/>
      <c r="K135" s="6" t="s">
        <v>1615</v>
      </c>
      <c r="M135" s="6" t="s">
        <v>203</v>
      </c>
      <c r="N135" s="6" t="b">
        <v>0</v>
      </c>
      <c r="O135" s="6">
        <v>32.0</v>
      </c>
      <c r="P135" s="6">
        <v>32.0</v>
      </c>
      <c r="Q135" s="20">
        <f t="shared" si="25"/>
        <v>1</v>
      </c>
      <c r="R135" s="6" t="s">
        <v>1793</v>
      </c>
      <c r="S135" s="25">
        <v>4800.0</v>
      </c>
      <c r="T135" s="16" t="b">
        <f>COUNTIF(Parcels!A:A, A135) &gt; 0</f>
        <v>1</v>
      </c>
      <c r="U135" s="16" t="b">
        <f>MAXIFS(Parcels!AC:AC, Parcels!A:A, A135) &gt; 0</f>
        <v>0</v>
      </c>
      <c r="V135" s="17">
        <f>SUMIF(Parcels!A:A,
       A135,
       Parcels!Z:Z)</f>
        <v>6452506</v>
      </c>
      <c r="W135" s="17">
        <f>SUMIF(Parcels!$A:$A,
       $A135,
       Parcels!AC:AC)</f>
        <v>0</v>
      </c>
      <c r="X135" s="26">
        <f t="shared" si="6"/>
        <v>5807255.4</v>
      </c>
      <c r="Y135" s="26">
        <f t="shared" si="7"/>
        <v>5807255.4</v>
      </c>
      <c r="Z135" s="32">
        <f t="array" ref="Z135">_xlfn.XLOOKUP(
  A135,
  Parcels!A:A,
Parcels!AL:AL)</f>
        <v>0.0118738</v>
      </c>
      <c r="AA135" s="26">
        <f t="shared" si="18"/>
        <v>0</v>
      </c>
      <c r="AB135" s="26">
        <f t="shared" si="9"/>
        <v>68954.18917</v>
      </c>
      <c r="AC135" s="15"/>
      <c r="AD135" s="15"/>
      <c r="AE135" s="6" t="s">
        <v>92</v>
      </c>
      <c r="AJ135" s="14">
        <f t="shared" si="15"/>
        <v>19200</v>
      </c>
      <c r="AK135" s="14">
        <f t="shared" si="16"/>
        <v>4800</v>
      </c>
      <c r="AL135" s="19">
        <f t="shared" si="17"/>
        <v>0</v>
      </c>
      <c r="AM135" s="14">
        <f t="shared" si="4"/>
        <v>0</v>
      </c>
      <c r="AN135" s="19" t="str">
        <f t="array" ref="AN135">_xlfn.xlookup(C135,'SCC Certificate Review'!C:C,'SCC Certificate Review'!F:F)</f>
        <v/>
      </c>
    </row>
    <row r="136">
      <c r="A136" s="16">
        <v>130.0</v>
      </c>
      <c r="B136" s="6" t="s">
        <v>1802</v>
      </c>
      <c r="C136" s="6" t="s">
        <v>2180</v>
      </c>
      <c r="D136" s="6" t="s">
        <v>114</v>
      </c>
      <c r="E136" s="6" t="s">
        <v>114</v>
      </c>
      <c r="F136" s="6" t="s">
        <v>87</v>
      </c>
      <c r="G136" s="6" t="s">
        <v>192</v>
      </c>
      <c r="H136" s="6" t="s">
        <v>2487</v>
      </c>
      <c r="I136" s="21">
        <v>45940.0</v>
      </c>
      <c r="J136" s="27"/>
      <c r="K136" s="6" t="s">
        <v>1615</v>
      </c>
      <c r="M136" s="6" t="s">
        <v>203</v>
      </c>
      <c r="N136" s="6" t="b">
        <v>0</v>
      </c>
      <c r="O136" s="6">
        <v>76.0</v>
      </c>
      <c r="P136" s="6">
        <v>76.0</v>
      </c>
      <c r="Q136" s="20">
        <f t="shared" si="25"/>
        <v>1</v>
      </c>
      <c r="R136" s="6" t="s">
        <v>1801</v>
      </c>
      <c r="S136" s="25">
        <v>11400.0</v>
      </c>
      <c r="T136" s="16" t="b">
        <f>COUNTIF(Parcels!A:A, A136) &gt; 0</f>
        <v>1</v>
      </c>
      <c r="U136" s="16" t="b">
        <f>MAXIFS(Parcels!AC:AC, Parcels!A:A, A136) &gt; 0</f>
        <v>0</v>
      </c>
      <c r="V136" s="17">
        <f>SUMIF(Parcels!A:A,
       A136,
       Parcels!Z:Z)</f>
        <v>14010916</v>
      </c>
      <c r="W136" s="17">
        <f>SUMIF(Parcels!$A:$A,
       $A136,
       Parcels!AC:AC)</f>
        <v>0</v>
      </c>
      <c r="X136" s="26">
        <f t="shared" si="6"/>
        <v>12609824.4</v>
      </c>
      <c r="Y136" s="26">
        <f t="shared" si="7"/>
        <v>12609824.4</v>
      </c>
      <c r="Z136" s="32">
        <f t="array" ref="Z136">_xlfn.XLOOKUP(
  A136,
  Parcels!A:A,
Parcels!AL:AL)</f>
        <v>0.0118738</v>
      </c>
      <c r="AA136" s="26">
        <f t="shared" si="18"/>
        <v>0</v>
      </c>
      <c r="AB136" s="26">
        <f t="shared" si="9"/>
        <v>149726.533</v>
      </c>
      <c r="AC136" s="15"/>
      <c r="AD136" s="15"/>
      <c r="AE136" s="6" t="s">
        <v>92</v>
      </c>
      <c r="AJ136" s="14">
        <f t="shared" si="15"/>
        <v>45600</v>
      </c>
      <c r="AK136" s="14">
        <f t="shared" si="16"/>
        <v>11400</v>
      </c>
      <c r="AL136" s="19">
        <f t="shared" si="17"/>
        <v>0</v>
      </c>
      <c r="AM136" s="14"/>
      <c r="AN136" s="19" t="str">
        <f t="array" ref="AN136">_xlfn.xlookup(C136,'SCC Certificate Review'!C:C,'SCC Certificate Review'!F:F)</f>
        <v/>
      </c>
    </row>
    <row r="137">
      <c r="A137" s="16">
        <v>135.0</v>
      </c>
      <c r="B137" s="6" t="s">
        <v>1820</v>
      </c>
      <c r="C137" s="6" t="s">
        <v>2192</v>
      </c>
      <c r="D137" s="6" t="s">
        <v>114</v>
      </c>
      <c r="E137" s="6" t="s">
        <v>114</v>
      </c>
      <c r="F137" s="6" t="s">
        <v>87</v>
      </c>
      <c r="G137" s="6" t="s">
        <v>192</v>
      </c>
      <c r="H137" s="6" t="s">
        <v>2493</v>
      </c>
      <c r="I137" s="21">
        <v>45954.0</v>
      </c>
      <c r="J137" s="27"/>
      <c r="K137" s="6" t="s">
        <v>834</v>
      </c>
      <c r="M137" s="6" t="s">
        <v>938</v>
      </c>
      <c r="N137" s="6" t="b">
        <v>0</v>
      </c>
      <c r="O137" s="6">
        <v>52.0</v>
      </c>
      <c r="P137" s="6">
        <v>52.0</v>
      </c>
      <c r="Q137" s="20">
        <f t="shared" si="25"/>
        <v>1</v>
      </c>
      <c r="R137" s="6" t="s">
        <v>1819</v>
      </c>
      <c r="S137" s="25">
        <v>7800.0</v>
      </c>
      <c r="T137" s="16" t="b">
        <f>COUNTIF(Parcels!A:A, A137) &gt; 0</f>
        <v>1</v>
      </c>
      <c r="U137" s="16" t="b">
        <f>MAXIFS(Parcels!AC:AC, Parcels!A:A, A137) &gt; 0</f>
        <v>0</v>
      </c>
      <c r="V137" s="17">
        <f>SUMIF(Parcels!A:A,
       A137,
       Parcels!Z:Z)</f>
        <v>1387200</v>
      </c>
      <c r="W137" s="17">
        <f>SUMIF(Parcels!$A:$A,
       $A137,
       Parcels!AC:AC)</f>
        <v>0</v>
      </c>
      <c r="X137" s="26">
        <f t="shared" si="6"/>
        <v>1248480</v>
      </c>
      <c r="Y137" s="26">
        <f t="shared" si="7"/>
        <v>1248480</v>
      </c>
      <c r="Z137" s="32">
        <f t="array" ref="Z137">_xlfn.XLOOKUP(
  A137,
  Parcels!A:A,
Parcels!AL:AL)</f>
        <v>0.0118738</v>
      </c>
      <c r="AA137" s="26">
        <f t="shared" si="18"/>
        <v>0</v>
      </c>
      <c r="AB137" s="26">
        <f t="shared" si="9"/>
        <v>14824.20182</v>
      </c>
      <c r="AC137" s="15"/>
      <c r="AD137" s="15"/>
      <c r="AE137" s="6" t="s">
        <v>474</v>
      </c>
      <c r="AJ137" s="14">
        <f t="shared" si="15"/>
        <v>31200</v>
      </c>
      <c r="AK137" s="14">
        <f t="shared" si="16"/>
        <v>7800</v>
      </c>
      <c r="AL137" s="19">
        <f t="shared" si="17"/>
        <v>0</v>
      </c>
      <c r="AM137" s="14">
        <f t="shared" ref="AM137:AM156" si="26">AK137*AL137</f>
        <v>0</v>
      </c>
      <c r="AN137" s="19" t="str">
        <f t="array" ref="AN137">_xlfn.xlookup(C137,'SCC Certificate Review'!C:C,'SCC Certificate Review'!F:F)</f>
        <v/>
      </c>
    </row>
    <row r="138">
      <c r="A138" s="16">
        <v>134.0</v>
      </c>
      <c r="B138" s="141" t="s">
        <v>1812</v>
      </c>
      <c r="C138" s="141" t="s">
        <v>2189</v>
      </c>
      <c r="D138" s="141" t="s">
        <v>114</v>
      </c>
      <c r="E138" s="141" t="s">
        <v>114</v>
      </c>
      <c r="F138" s="6" t="s">
        <v>87</v>
      </c>
      <c r="G138" s="140"/>
      <c r="H138" s="141" t="s">
        <v>2497</v>
      </c>
      <c r="I138" s="142">
        <v>45954.0</v>
      </c>
      <c r="J138" s="143"/>
      <c r="K138" s="141" t="s">
        <v>2498</v>
      </c>
      <c r="L138" s="140"/>
      <c r="M138" s="141" t="s">
        <v>90</v>
      </c>
      <c r="N138" s="141" t="b">
        <v>0</v>
      </c>
      <c r="O138" s="141">
        <v>68.0</v>
      </c>
      <c r="P138" s="141">
        <v>68.0</v>
      </c>
      <c r="Q138" s="20">
        <f t="shared" si="25"/>
        <v>1</v>
      </c>
      <c r="R138" s="141" t="s">
        <v>1811</v>
      </c>
      <c r="S138" s="144">
        <v>10200.0</v>
      </c>
      <c r="T138" s="16" t="b">
        <f>COUNTIF(Parcels!A:A, A138) &gt; 0</f>
        <v>1</v>
      </c>
      <c r="U138" s="16" t="b">
        <f>MAXIFS(Parcels!AC:AC, Parcels!A:A, A138) &gt; 0</f>
        <v>1</v>
      </c>
      <c r="V138" s="17">
        <f>SUMIF(Parcels!A:A,
       A138,
       Parcels!Z:Z)</f>
        <v>936360</v>
      </c>
      <c r="W138" s="17">
        <f>SUMIF(Parcels!$A:$A,
       $A138,
       Parcels!AC:AC)</f>
        <v>936360</v>
      </c>
      <c r="X138" s="26">
        <f t="shared" si="6"/>
        <v>842724</v>
      </c>
      <c r="Y138" s="26">
        <f t="shared" si="7"/>
        <v>936360</v>
      </c>
      <c r="Z138" s="32">
        <f t="array" ref="Z138">_xlfn.XLOOKUP(
  A138,
  Parcels!A:A,
Parcels!AL:AL)</f>
        <v>0.0118738</v>
      </c>
      <c r="AA138" s="26">
        <f t="shared" si="18"/>
        <v>11118.15137</v>
      </c>
      <c r="AB138" s="26">
        <f t="shared" si="9"/>
        <v>11118.15137</v>
      </c>
      <c r="AC138" s="145"/>
      <c r="AD138" s="145"/>
      <c r="AE138" s="141" t="s">
        <v>474</v>
      </c>
      <c r="AF138" s="140"/>
      <c r="AG138" s="140"/>
      <c r="AH138" s="140"/>
      <c r="AI138" s="16"/>
      <c r="AJ138" s="14">
        <f t="shared" si="15"/>
        <v>40800</v>
      </c>
      <c r="AK138" s="14">
        <f t="shared" si="16"/>
        <v>10200</v>
      </c>
      <c r="AL138" s="19">
        <f t="shared" si="17"/>
        <v>0</v>
      </c>
      <c r="AM138" s="14">
        <f t="shared" si="26"/>
        <v>0</v>
      </c>
      <c r="AN138" s="19" t="str">
        <f t="array" ref="AN138">_xlfn.xlookup(C138,'SCC Certificate Review'!C:C,'SCC Certificate Review'!F:F)</f>
        <v/>
      </c>
    </row>
    <row r="139">
      <c r="A139" s="16">
        <v>132.0</v>
      </c>
      <c r="B139" s="141" t="s">
        <v>1807</v>
      </c>
      <c r="C139" s="141" t="s">
        <v>2184</v>
      </c>
      <c r="D139" s="141" t="s">
        <v>114</v>
      </c>
      <c r="E139" s="141" t="s">
        <v>114</v>
      </c>
      <c r="F139" s="6" t="s">
        <v>87</v>
      </c>
      <c r="G139" s="141" t="s">
        <v>192</v>
      </c>
      <c r="H139" s="141" t="s">
        <v>2517</v>
      </c>
      <c r="I139" s="142">
        <v>45954.0</v>
      </c>
      <c r="J139" s="143"/>
      <c r="K139" s="141" t="s">
        <v>2498</v>
      </c>
      <c r="L139" s="140"/>
      <c r="M139" s="141" t="s">
        <v>90</v>
      </c>
      <c r="N139" s="141" t="b">
        <v>0</v>
      </c>
      <c r="O139" s="141">
        <v>79.0</v>
      </c>
      <c r="P139" s="141">
        <v>78.0</v>
      </c>
      <c r="Q139" s="20">
        <f t="shared" si="25"/>
        <v>0.9873417722</v>
      </c>
      <c r="R139" s="141" t="s">
        <v>1806</v>
      </c>
      <c r="S139" s="144">
        <v>11850.0</v>
      </c>
      <c r="T139" s="16" t="b">
        <f>COUNTIF(Parcels!A:A, A139) &gt; 0</f>
        <v>1</v>
      </c>
      <c r="U139" s="16" t="b">
        <f>MAXIFS(Parcels!AC:AC, Parcels!A:A, A139) &gt; 0</f>
        <v>0</v>
      </c>
      <c r="V139" s="17">
        <f>SUMIF(Parcels!A:A,
       A139,
       Parcels!Z:Z)</f>
        <v>2856000</v>
      </c>
      <c r="W139" s="17">
        <f>SUMIF(Parcels!$A:$A,
       $A139,
       Parcels!AC:AC)</f>
        <v>0</v>
      </c>
      <c r="X139" s="26">
        <f t="shared" si="6"/>
        <v>2537863.291</v>
      </c>
      <c r="Y139" s="26">
        <f t="shared" si="7"/>
        <v>2537863.291</v>
      </c>
      <c r="Z139" s="32">
        <f t="array" ref="Z139">_xlfn.XLOOKUP(
  A139,
  Parcels!A:A,
Parcels!AL:AL)</f>
        <v>0.0118738</v>
      </c>
      <c r="AA139" s="26">
        <f t="shared" si="18"/>
        <v>0</v>
      </c>
      <c r="AB139" s="26">
        <f t="shared" si="9"/>
        <v>30134.08115</v>
      </c>
      <c r="AC139" s="145"/>
      <c r="AD139" s="145"/>
      <c r="AE139" s="140"/>
      <c r="AF139" s="140"/>
      <c r="AG139" s="140"/>
      <c r="AH139" s="140"/>
      <c r="AJ139" s="14">
        <f t="shared" si="15"/>
        <v>47400</v>
      </c>
      <c r="AK139" s="14">
        <f t="shared" si="16"/>
        <v>11850</v>
      </c>
      <c r="AL139" s="19">
        <f t="shared" si="17"/>
        <v>0</v>
      </c>
      <c r="AM139" s="14">
        <f t="shared" si="26"/>
        <v>0</v>
      </c>
      <c r="AN139" s="19" t="str">
        <f t="array" ref="AN139">_xlfn.xlookup(C139,'SCC Certificate Review'!C:C,'SCC Certificate Review'!F:F)</f>
        <v/>
      </c>
    </row>
    <row r="140">
      <c r="A140" s="16">
        <v>136.0</v>
      </c>
      <c r="B140" s="6" t="s">
        <v>2208</v>
      </c>
      <c r="C140" s="6" t="s">
        <v>1425</v>
      </c>
      <c r="D140" s="6" t="s">
        <v>155</v>
      </c>
      <c r="E140" s="6" t="s">
        <v>129</v>
      </c>
      <c r="F140" s="6" t="s">
        <v>2577</v>
      </c>
      <c r="G140" s="6" t="s">
        <v>2578</v>
      </c>
      <c r="H140" s="6" t="s">
        <v>2577</v>
      </c>
      <c r="I140" s="21">
        <v>45981.0</v>
      </c>
      <c r="J140" s="27"/>
      <c r="K140" s="6" t="s">
        <v>623</v>
      </c>
      <c r="N140" s="16" t="b">
        <v>0</v>
      </c>
      <c r="O140" s="6">
        <v>650.0</v>
      </c>
      <c r="P140" s="6">
        <v>260.0</v>
      </c>
      <c r="Q140" s="20">
        <f t="shared" si="25"/>
        <v>0.4</v>
      </c>
      <c r="R140" s="6" t="s">
        <v>2584</v>
      </c>
      <c r="T140" s="16" t="b">
        <f>COUNTIF(Parcels!A:A, A140) &gt; 0</f>
        <v>1</v>
      </c>
      <c r="U140" s="16" t="b">
        <f>MAXIFS(Parcels!AC:AC, Parcels!A:A, A140) &gt; 0</f>
        <v>0</v>
      </c>
      <c r="V140" s="17">
        <f>SUMIF(Parcels!A:A,
       A140,
       Parcels!Z:Z)</f>
        <v>269608107</v>
      </c>
      <c r="W140" s="17">
        <f>SUMIF(Parcels!$A:$A,
       $A140,
       Parcels!AC:AC)</f>
        <v>0</v>
      </c>
      <c r="X140" s="26">
        <f t="shared" si="6"/>
        <v>97058918.52</v>
      </c>
      <c r="Y140" s="26">
        <f t="shared" si="7"/>
        <v>97058918.52</v>
      </c>
      <c r="Z140" s="34">
        <f t="array" ref="Z140">_xlfn.XLOOKUP(
  A140,
  Parcels!A:A,
Parcels!AL:AL)</f>
        <v>0.012401</v>
      </c>
      <c r="AA140" s="26">
        <f t="shared" si="18"/>
        <v>0</v>
      </c>
      <c r="AB140" s="26">
        <f t="shared" si="9"/>
        <v>1203627.649</v>
      </c>
      <c r="AJ140" s="14">
        <f t="shared" si="15"/>
        <v>285000</v>
      </c>
      <c r="AK140" s="14">
        <f t="shared" si="16"/>
        <v>71250</v>
      </c>
      <c r="AL140" s="19">
        <f t="shared" si="17"/>
        <v>0</v>
      </c>
      <c r="AM140" s="14">
        <f t="shared" si="26"/>
        <v>0</v>
      </c>
      <c r="AN140" s="19" t="str">
        <f t="array" ref="AN140">_xlfn.xlookup(C140,'SCC Certificate Review'!C:C,'SCC Certificate Review'!F:F)</f>
        <v/>
      </c>
    </row>
    <row r="141">
      <c r="A141" s="16">
        <v>141.0</v>
      </c>
      <c r="B141" s="6" t="s">
        <v>2209</v>
      </c>
      <c r="C141" s="6" t="s">
        <v>2210</v>
      </c>
      <c r="D141" s="6" t="s">
        <v>113</v>
      </c>
      <c r="E141" s="6" t="s">
        <v>113</v>
      </c>
      <c r="F141" s="6" t="s">
        <v>87</v>
      </c>
      <c r="H141" s="6" t="s">
        <v>2609</v>
      </c>
      <c r="I141" s="21">
        <v>45982.0</v>
      </c>
      <c r="J141" s="27"/>
      <c r="K141" s="6" t="s">
        <v>622</v>
      </c>
      <c r="M141" s="6" t="s">
        <v>587</v>
      </c>
      <c r="N141" s="6" t="b">
        <v>0</v>
      </c>
      <c r="O141" s="6">
        <v>278.0</v>
      </c>
      <c r="P141" s="6">
        <v>278.0</v>
      </c>
      <c r="Q141" s="20"/>
      <c r="R141" s="6" t="s">
        <v>2623</v>
      </c>
      <c r="S141" s="25">
        <v>41700.0</v>
      </c>
      <c r="T141" s="16" t="b">
        <f>COUNTIF(Parcels!A:A, A141) &gt; 0</f>
        <v>1</v>
      </c>
      <c r="U141" s="16" t="b">
        <f>MAXIFS(Parcels!AC:AC, Parcels!A:A, A141) &gt; 0</f>
        <v>0</v>
      </c>
      <c r="V141" s="17">
        <f>SUMIF(Parcels!A:A,
       A141,
       Parcels!Z:Z)</f>
        <v>30330305</v>
      </c>
      <c r="W141" s="17">
        <f>SUMIF(Parcels!$A:$A,
       $A141,
       Parcels!AC:AC)</f>
        <v>0</v>
      </c>
      <c r="X141" s="26">
        <f t="shared" si="6"/>
        <v>27297274.5</v>
      </c>
      <c r="Y141" s="26">
        <f t="shared" si="7"/>
        <v>27297274.5</v>
      </c>
      <c r="Z141" s="34">
        <f t="array" ref="Z141">_xlfn.XLOOKUP(
  A141,
  Parcels!A:A,
Parcels!AL:AL)</f>
        <v>0.0125</v>
      </c>
      <c r="AA141" s="26">
        <f t="shared" si="18"/>
        <v>0</v>
      </c>
      <c r="AB141" s="26">
        <f t="shared" si="9"/>
        <v>341215.9313</v>
      </c>
      <c r="AE141" s="6" t="s">
        <v>92</v>
      </c>
      <c r="AF141" s="6">
        <v>1984.0</v>
      </c>
      <c r="AJ141" s="14">
        <f t="shared" si="15"/>
        <v>166800</v>
      </c>
      <c r="AK141" s="14">
        <f t="shared" si="16"/>
        <v>41700</v>
      </c>
      <c r="AL141" s="19">
        <f t="shared" si="17"/>
        <v>0</v>
      </c>
      <c r="AM141" s="14">
        <f t="shared" si="26"/>
        <v>0</v>
      </c>
      <c r="AN141" s="19" t="str">
        <f t="array" ref="AN141">_xlfn.xlookup(C141,'SCC Certificate Review'!C:C,'SCC Certificate Review'!F:F)</f>
        <v/>
      </c>
    </row>
    <row r="142">
      <c r="A142" s="16">
        <v>137.0</v>
      </c>
      <c r="B142" s="6" t="s">
        <v>1827</v>
      </c>
      <c r="C142" s="6" t="s">
        <v>2198</v>
      </c>
      <c r="D142" s="6" t="s">
        <v>114</v>
      </c>
      <c r="E142" s="6" t="s">
        <v>114</v>
      </c>
      <c r="F142" s="6" t="s">
        <v>87</v>
      </c>
      <c r="H142" s="6" t="s">
        <v>2647</v>
      </c>
      <c r="I142" s="21">
        <v>45982.0</v>
      </c>
      <c r="J142" s="27"/>
      <c r="K142" s="6" t="s">
        <v>1588</v>
      </c>
      <c r="M142" s="6" t="s">
        <v>951</v>
      </c>
      <c r="N142" s="6" t="b">
        <v>0</v>
      </c>
      <c r="O142" s="6">
        <v>41.0</v>
      </c>
      <c r="P142" s="6">
        <v>41.0</v>
      </c>
      <c r="Q142" s="20">
        <f t="shared" ref="Q142:Q143" si="27">P142/O142</f>
        <v>1</v>
      </c>
      <c r="R142" s="6" t="s">
        <v>1826</v>
      </c>
      <c r="S142" s="25">
        <v>6150.0</v>
      </c>
      <c r="T142" s="16" t="b">
        <f>COUNTIF(Parcels!A:A, A142) &gt; 0</f>
        <v>1</v>
      </c>
      <c r="U142" s="16" t="b">
        <f>MAXIFS(Parcels!AC:AC, Parcels!A:A, A142) &gt; 0</f>
        <v>0</v>
      </c>
      <c r="V142" s="17">
        <f>SUMIF(Parcels!A:A,
       A142,
       Parcels!Z:Z)</f>
        <v>943500</v>
      </c>
      <c r="W142" s="17">
        <f>SUMIF(Parcels!$A:$A,
       $A142,
       Parcels!AC:AC)</f>
        <v>0</v>
      </c>
      <c r="X142" s="26">
        <f t="shared" si="6"/>
        <v>849150</v>
      </c>
      <c r="Y142" s="26">
        <f t="shared" si="7"/>
        <v>849150</v>
      </c>
      <c r="Z142" s="32">
        <f t="array" ref="Z142">_xlfn.XLOOKUP(
  A142,
  Parcels!A:A,
Parcels!AL:AL)</f>
        <v>0.0118738</v>
      </c>
      <c r="AA142" s="26">
        <f t="shared" si="18"/>
        <v>0</v>
      </c>
      <c r="AB142" s="26">
        <f t="shared" si="9"/>
        <v>10082.63727</v>
      </c>
      <c r="AC142" s="15"/>
      <c r="AD142" s="15"/>
      <c r="AE142" s="6" t="s">
        <v>474</v>
      </c>
      <c r="AJ142" s="14">
        <f t="shared" si="15"/>
        <v>24600</v>
      </c>
      <c r="AK142" s="14">
        <f t="shared" si="16"/>
        <v>6150</v>
      </c>
      <c r="AL142" s="19">
        <f t="shared" si="17"/>
        <v>0</v>
      </c>
      <c r="AM142" s="14">
        <f t="shared" si="26"/>
        <v>0</v>
      </c>
      <c r="AN142" s="19" t="str">
        <f t="array" ref="AN142">_xlfn.xlookup(C142,'SCC Certificate Review'!C:C,'SCC Certificate Review'!F:F)</f>
        <v/>
      </c>
    </row>
    <row r="143">
      <c r="A143" s="16">
        <v>142.0</v>
      </c>
      <c r="B143" s="6" t="s">
        <v>1838</v>
      </c>
      <c r="C143" s="6" t="s">
        <v>2213</v>
      </c>
      <c r="D143" s="6" t="s">
        <v>114</v>
      </c>
      <c r="E143" s="6" t="s">
        <v>114</v>
      </c>
      <c r="F143" s="6" t="s">
        <v>87</v>
      </c>
      <c r="H143" s="6" t="s">
        <v>2674</v>
      </c>
      <c r="I143" s="21">
        <v>45982.0</v>
      </c>
      <c r="J143" s="27"/>
      <c r="K143" s="6" t="s">
        <v>2675</v>
      </c>
      <c r="M143" s="6" t="s">
        <v>90</v>
      </c>
      <c r="N143" s="6" t="b">
        <v>0</v>
      </c>
      <c r="O143" s="6">
        <v>116.0</v>
      </c>
      <c r="P143" s="6">
        <v>116.0</v>
      </c>
      <c r="Q143" s="20">
        <f t="shared" si="27"/>
        <v>1</v>
      </c>
      <c r="R143" s="6" t="s">
        <v>1837</v>
      </c>
      <c r="S143" s="25">
        <v>17400.0</v>
      </c>
      <c r="T143" s="16" t="b">
        <f>COUNTIF(Parcels!A:A, A143) &gt; 0</f>
        <v>1</v>
      </c>
      <c r="U143" s="16" t="b">
        <f>MAXIFS(Parcels!AC:AC, Parcels!A:A, A143) &gt; 0</f>
        <v>0</v>
      </c>
      <c r="V143" s="17">
        <f>SUMIF(Parcels!A:A,
       A143,
       Parcels!Z:Z)</f>
        <v>1206999</v>
      </c>
      <c r="W143" s="17">
        <f>SUMIF(Parcels!$A:$A,
       $A143,
       Parcels!AC:AC)</f>
        <v>0</v>
      </c>
      <c r="X143" s="26">
        <f t="shared" si="6"/>
        <v>1086299.1</v>
      </c>
      <c r="Y143" s="26">
        <f t="shared" si="7"/>
        <v>1086299.1</v>
      </c>
      <c r="Z143" s="32">
        <f t="array" ref="Z143">_xlfn.XLOOKUP(
  A143,
  Parcels!A:A,
Parcels!AL:AL)</f>
        <v>0.0118738</v>
      </c>
      <c r="AA143" s="26">
        <f t="shared" si="18"/>
        <v>0</v>
      </c>
      <c r="AB143" s="26">
        <f t="shared" si="9"/>
        <v>12898.49825</v>
      </c>
      <c r="AC143" s="15"/>
      <c r="AD143" s="15"/>
      <c r="AJ143" s="14">
        <f t="shared" si="15"/>
        <v>69600</v>
      </c>
      <c r="AK143" s="14">
        <f t="shared" si="16"/>
        <v>17400</v>
      </c>
      <c r="AL143" s="19">
        <f t="shared" si="17"/>
        <v>0</v>
      </c>
      <c r="AM143" s="14">
        <f t="shared" si="26"/>
        <v>0</v>
      </c>
      <c r="AN143" s="19" t="str">
        <f t="array" ref="AN143">_xlfn.xlookup(C143,'SCC Certificate Review'!C:C,'SCC Certificate Review'!F:F)</f>
        <v/>
      </c>
    </row>
    <row r="144">
      <c r="A144" s="16">
        <v>143.0</v>
      </c>
      <c r="B144" s="6" t="s">
        <v>2217</v>
      </c>
      <c r="C144" s="6" t="s">
        <v>2218</v>
      </c>
      <c r="D144" s="6" t="s">
        <v>210</v>
      </c>
      <c r="E144" s="6" t="s">
        <v>86</v>
      </c>
      <c r="F144" s="6" t="s">
        <v>87</v>
      </c>
      <c r="H144" s="6" t="s">
        <v>2699</v>
      </c>
      <c r="I144" s="21">
        <v>45982.0</v>
      </c>
      <c r="J144" s="27"/>
      <c r="K144" s="6" t="s">
        <v>2701</v>
      </c>
      <c r="M144" s="6" t="s">
        <v>938</v>
      </c>
      <c r="N144" s="6" t="b">
        <v>0</v>
      </c>
      <c r="O144" s="6">
        <v>110.0</v>
      </c>
      <c r="P144" s="6">
        <v>55.0</v>
      </c>
      <c r="Q144" s="20"/>
      <c r="R144" s="6" t="s">
        <v>2703</v>
      </c>
      <c r="S144" s="25">
        <v>8250.0</v>
      </c>
      <c r="T144" s="16" t="b">
        <f>COUNTIF(Parcels!A:A, A144) &gt; 0</f>
        <v>1</v>
      </c>
      <c r="U144" s="16" t="b">
        <f>MAXIFS(Parcels!AC:AC, Parcels!A:A, A144) &gt; 0</f>
        <v>0</v>
      </c>
      <c r="V144" s="17">
        <f>SUMIF(Parcels!A:A,
       A144,
       Parcels!Z:Z)</f>
        <v>0</v>
      </c>
      <c r="W144" s="17">
        <f>SUMIF(Parcels!$A:$A,
       $A144,
       Parcels!AC:AC)</f>
        <v>0</v>
      </c>
      <c r="X144" s="26">
        <f t="shared" si="6"/>
        <v>0</v>
      </c>
      <c r="Y144" s="26">
        <f t="shared" si="7"/>
        <v>0</v>
      </c>
      <c r="Z144" s="34">
        <f t="array" ref="Z144">_xlfn.XLOOKUP(
  A144,
  Parcels!A:A,
Parcels!AL:AL)</f>
        <v>0.012779</v>
      </c>
      <c r="AA144" s="26">
        <f t="shared" si="18"/>
        <v>0</v>
      </c>
      <c r="AB144" s="26">
        <f t="shared" si="9"/>
        <v>0</v>
      </c>
      <c r="AE144" s="6" t="s">
        <v>92</v>
      </c>
      <c r="AJ144" s="14">
        <f>if(F144="CMFA", if(O144&lt;16,10000,O144*600),"-")</f>
        <v>66000</v>
      </c>
      <c r="AK144" s="14">
        <f>if(F144="CMFA", if(O144&lt;26,4000,O144*150),"-")</f>
        <v>16500</v>
      </c>
      <c r="AL144" s="19">
        <f>IF(AND(I144&gt;=DATE(2022,7,1),I144&lt;=DATE(2023,6,30)),3,IF(AND(I144&gt;=DATE(2023,7,1),I144&lt;=DATE(2024,6,30)),2,IF(AND(I144&gt;=DATE(2024,7,1),I144&lt;=DATE(2025,6,30)),1,IF(AND(I144&gt;=DATE(2025,7,1),I144&lt;=DATE(2026,6,30)),0,"-"))))</f>
        <v>0</v>
      </c>
      <c r="AM144" s="14">
        <f t="shared" si="26"/>
        <v>0</v>
      </c>
      <c r="AN144" s="19" t="b">
        <f t="array" ref="AN144">_xlfn.xlookup(C144,'SCC Certificate Review'!C:C,'SCC Certificate Review'!F:F)</f>
        <v>1</v>
      </c>
    </row>
    <row r="145">
      <c r="A145" s="16">
        <v>140.0</v>
      </c>
      <c r="B145" s="6" t="s">
        <v>2224</v>
      </c>
      <c r="C145" s="6" t="s">
        <v>1425</v>
      </c>
      <c r="D145" s="6" t="s">
        <v>158</v>
      </c>
      <c r="E145" s="6" t="s">
        <v>129</v>
      </c>
      <c r="F145" s="6" t="s">
        <v>87</v>
      </c>
      <c r="H145" s="6" t="s">
        <v>2731</v>
      </c>
      <c r="I145" s="21">
        <v>45982.0</v>
      </c>
      <c r="J145" s="27"/>
      <c r="K145" s="6" t="s">
        <v>1425</v>
      </c>
      <c r="M145" s="6" t="s">
        <v>1063</v>
      </c>
      <c r="N145" s="6" t="b">
        <v>1</v>
      </c>
      <c r="O145" s="6">
        <v>148.0</v>
      </c>
      <c r="P145" s="6">
        <v>148.0</v>
      </c>
      <c r="Q145" s="20"/>
      <c r="R145" s="6" t="s">
        <v>2732</v>
      </c>
      <c r="S145" s="25">
        <v>22200.0</v>
      </c>
      <c r="T145" s="16" t="b">
        <f>COUNTIF(Parcels!A:A, A145) &gt; 0</f>
        <v>1</v>
      </c>
      <c r="U145" s="16" t="b">
        <f>MAXIFS(Parcels!AC:AC, Parcels!A:A, A145) &gt; 0</f>
        <v>0</v>
      </c>
      <c r="V145" s="17">
        <f>SUMIF(Parcels!A:A,
       A145,
       Parcels!Z:Z)</f>
        <v>70919811</v>
      </c>
      <c r="W145" s="17">
        <f>SUMIF(Parcels!$A:$A,
       $A145,
       Parcels!AC:AC)</f>
        <v>0</v>
      </c>
      <c r="X145" s="26">
        <f t="shared" si="6"/>
        <v>63827829.9</v>
      </c>
      <c r="Y145" s="26">
        <f t="shared" si="7"/>
        <v>63827829.9</v>
      </c>
      <c r="Z145" s="34">
        <f t="array" ref="Z145">_xlfn.XLOOKUP(
  A145,
  Parcels!A:A,
Parcels!AL:AL)</f>
        <v>0.011322</v>
      </c>
      <c r="AA145" s="26">
        <f t="shared" si="18"/>
        <v>0</v>
      </c>
      <c r="AB145" s="26">
        <f t="shared" si="9"/>
        <v>722658.6901</v>
      </c>
      <c r="AE145" s="6" t="s">
        <v>92</v>
      </c>
      <c r="AJ145" s="14">
        <f t="shared" ref="AJ145:AJ147" si="28">if(F145="CMFA", if(O145&lt;16,10000,O145*600),if(F145="CSCDA",if(33&lt;O145&lt;300, O145*600,if(O145&gt;300,(180000+(O145-300)*300),20000))))</f>
        <v>88800</v>
      </c>
      <c r="AK145" s="14">
        <f t="shared" ref="AK145:AK147" si="29">if(F145="CMFA", if(O145&lt;26,4000,O145*150),if(F145="CSCDA",if(33&lt;O145&lt;300, O145*150,if(O145&gt;300,(45000+(O145-300)*75),5000))))</f>
        <v>22200</v>
      </c>
      <c r="AL145" s="19">
        <f t="shared" ref="AL145:AL147" si="30">if(AE145="YES",0,IF(AND(I145&gt;=DATE(2022,7,1),I145&lt;=DATE(2023,6,30)),3,IF(AND(I145&gt;=DATE(2023,7,1),I145&lt;=DATE(2024,6,30)),2,IF(AND(I145&gt;=DATE(2024,7,1),I145&lt;=DATE(2025,6,30)),1,IF(AND(I145&gt;=DATE(2025,7,1),I145&lt;=DATE(2026,6,30)),0,"-")))))</f>
        <v>0</v>
      </c>
      <c r="AM145" s="14">
        <f t="shared" si="26"/>
        <v>0</v>
      </c>
      <c r="AN145" s="19" t="str">
        <f t="array" ref="AN145">_xlfn.xlookup(C145,'SCC Certificate Review'!C:C,'SCC Certificate Review'!F:F)</f>
        <v/>
      </c>
    </row>
    <row r="146">
      <c r="A146" s="16">
        <v>139.0</v>
      </c>
      <c r="B146" s="6" t="s">
        <v>2204</v>
      </c>
      <c r="C146" s="6" t="s">
        <v>2205</v>
      </c>
      <c r="D146" s="6" t="s">
        <v>155</v>
      </c>
      <c r="E146" s="6" t="s">
        <v>129</v>
      </c>
      <c r="F146" s="6" t="s">
        <v>87</v>
      </c>
      <c r="G146" s="16"/>
      <c r="H146" s="6" t="s">
        <v>2761</v>
      </c>
      <c r="I146" s="21">
        <v>45982.0</v>
      </c>
      <c r="J146" s="38" t="b">
        <v>1</v>
      </c>
      <c r="K146" s="6" t="s">
        <v>826</v>
      </c>
      <c r="L146" s="16"/>
      <c r="M146" s="6" t="s">
        <v>826</v>
      </c>
      <c r="N146" s="6" t="b">
        <v>0</v>
      </c>
      <c r="O146" s="6">
        <v>286.0</v>
      </c>
      <c r="P146" s="6">
        <v>286.0</v>
      </c>
      <c r="Q146" s="20"/>
      <c r="R146" s="6" t="s">
        <v>2762</v>
      </c>
      <c r="S146" s="25">
        <v>42900.0</v>
      </c>
      <c r="T146" s="16" t="b">
        <f>COUNTIF(Parcels!A:A, A146) &gt; 0</f>
        <v>1</v>
      </c>
      <c r="U146" s="16" t="b">
        <f>MAXIFS(Parcels!AC:AC, Parcels!A:A, A146) &gt; 0</f>
        <v>1</v>
      </c>
      <c r="V146" s="17">
        <f>SUMIF(Parcels!A:A,
       A146,
       Parcels!Z:Z)</f>
        <v>60096598</v>
      </c>
      <c r="W146" s="17">
        <f>SUMIF(Parcels!$A:$A,
       $A146,
       Parcels!AC:AC)</f>
        <v>60096598</v>
      </c>
      <c r="X146" s="26">
        <f t="shared" si="6"/>
        <v>54086938.2</v>
      </c>
      <c r="Y146" s="26">
        <f t="shared" si="7"/>
        <v>60096598</v>
      </c>
      <c r="Z146" s="34">
        <f t="array" ref="Z146">_xlfn.XLOOKUP(
  A146,
  Parcels!A:A,
Parcels!AL:AL)</f>
        <v>0.012401</v>
      </c>
      <c r="AA146" s="26">
        <f t="shared" si="18"/>
        <v>745257.9118</v>
      </c>
      <c r="AB146" s="26">
        <f t="shared" si="9"/>
        <v>745257.9118</v>
      </c>
      <c r="AC146" s="16"/>
      <c r="AD146" s="16"/>
      <c r="AE146" s="6" t="s">
        <v>92</v>
      </c>
      <c r="AF146" s="16"/>
      <c r="AG146" s="16"/>
      <c r="AH146" s="16"/>
      <c r="AI146" s="16"/>
      <c r="AJ146" s="14">
        <f t="shared" si="28"/>
        <v>171600</v>
      </c>
      <c r="AK146" s="14">
        <f t="shared" si="29"/>
        <v>42900</v>
      </c>
      <c r="AL146" s="19">
        <f t="shared" si="30"/>
        <v>0</v>
      </c>
      <c r="AM146" s="14">
        <f t="shared" si="26"/>
        <v>0</v>
      </c>
      <c r="AN146" s="19" t="str">
        <f t="array" ref="AN146">_xlfn.xlookup(C146,'SCC Certificate Review'!C:C,'SCC Certificate Review'!F:F)</f>
        <v/>
      </c>
    </row>
    <row r="147">
      <c r="A147" s="16">
        <v>138.0</v>
      </c>
      <c r="B147" s="6" t="s">
        <v>2201</v>
      </c>
      <c r="C147" s="6" t="s">
        <v>2202</v>
      </c>
      <c r="D147" s="6" t="s">
        <v>155</v>
      </c>
      <c r="E147" s="6" t="s">
        <v>129</v>
      </c>
      <c r="F147" s="6" t="s">
        <v>87</v>
      </c>
      <c r="H147" s="6" t="s">
        <v>2789</v>
      </c>
      <c r="I147" s="21">
        <v>45982.0</v>
      </c>
      <c r="J147" s="27"/>
      <c r="K147" s="6" t="s">
        <v>1533</v>
      </c>
      <c r="M147" s="6" t="s">
        <v>951</v>
      </c>
      <c r="N147" s="6" t="b">
        <v>0</v>
      </c>
      <c r="O147" s="6">
        <v>114.0</v>
      </c>
      <c r="P147" s="6">
        <v>114.0</v>
      </c>
      <c r="Q147" s="20"/>
      <c r="R147" s="6" t="s">
        <v>2791</v>
      </c>
      <c r="S147" s="25">
        <v>17100.0</v>
      </c>
      <c r="T147" s="16" t="b">
        <f>COUNTIF(Parcels!A:A, A147) &gt; 0</f>
        <v>1</v>
      </c>
      <c r="U147" s="16" t="b">
        <f>MAXIFS(Parcels!AC:AC, Parcels!A:A, A147) &gt; 0</f>
        <v>0</v>
      </c>
      <c r="V147" s="17">
        <f>SUMIF(Parcels!A:A,
       A147,
       Parcels!Z:Z)</f>
        <v>27979060</v>
      </c>
      <c r="W147" s="17">
        <f>SUMIF(Parcels!$A:$A,
       $A147,
       Parcels!AC:AC)</f>
        <v>0</v>
      </c>
      <c r="X147" s="26">
        <f t="shared" si="6"/>
        <v>25181154</v>
      </c>
      <c r="Y147" s="26">
        <f t="shared" si="7"/>
        <v>25181154</v>
      </c>
      <c r="Z147" s="34">
        <f t="array" ref="Z147">_xlfn.XLOOKUP(
  A147,
  Parcels!A:A,
Parcels!AL:AL)</f>
        <v>0.011437</v>
      </c>
      <c r="AA147" s="26">
        <f t="shared" si="18"/>
        <v>0</v>
      </c>
      <c r="AB147" s="26">
        <f t="shared" si="9"/>
        <v>287996.8583</v>
      </c>
      <c r="AE147" s="6" t="s">
        <v>92</v>
      </c>
      <c r="AJ147" s="14">
        <f t="shared" si="28"/>
        <v>68400</v>
      </c>
      <c r="AK147" s="14">
        <f t="shared" si="29"/>
        <v>17100</v>
      </c>
      <c r="AL147" s="19">
        <f t="shared" si="30"/>
        <v>0</v>
      </c>
      <c r="AM147" s="14">
        <f t="shared" si="26"/>
        <v>0</v>
      </c>
      <c r="AN147" s="19" t="b">
        <f t="array" ref="AN147">_xlfn.xlookup(C147,'SCC Certificate Review'!C:C,'SCC Certificate Review'!F:F)</f>
        <v>1</v>
      </c>
    </row>
    <row r="148">
      <c r="A148" s="16">
        <v>146.0</v>
      </c>
      <c r="B148" s="6" t="s">
        <v>1887</v>
      </c>
      <c r="C148" s="6" t="s">
        <v>2229</v>
      </c>
      <c r="D148" s="6" t="s">
        <v>114</v>
      </c>
      <c r="E148" s="6" t="s">
        <v>114</v>
      </c>
      <c r="F148" s="6" t="s">
        <v>87</v>
      </c>
      <c r="H148" s="6" t="s">
        <v>2814</v>
      </c>
      <c r="I148" s="21">
        <v>46003.0</v>
      </c>
      <c r="J148" s="27"/>
      <c r="K148" s="6" t="s">
        <v>263</v>
      </c>
      <c r="M148" s="6" t="s">
        <v>264</v>
      </c>
      <c r="N148" s="6" t="b">
        <v>0</v>
      </c>
      <c r="O148" s="6">
        <v>40.0</v>
      </c>
      <c r="P148" s="6">
        <v>40.0</v>
      </c>
      <c r="Q148" s="20">
        <f>P148/O148</f>
        <v>1</v>
      </c>
      <c r="R148" s="6" t="s">
        <v>1885</v>
      </c>
      <c r="S148" s="25">
        <v>6000.0</v>
      </c>
      <c r="T148" s="16" t="b">
        <f>COUNTIF(Parcels!A:A, A148) &gt; 0</f>
        <v>1</v>
      </c>
      <c r="U148" s="16" t="b">
        <f>MAXIFS(Parcels!AC:AC, Parcels!A:A, A148) &gt; 0</f>
        <v>0</v>
      </c>
      <c r="V148" s="17">
        <f>SUMIF(Parcels!A:A,
       A148,
       Parcels!Z:Z)</f>
        <v>800000</v>
      </c>
      <c r="W148" s="17">
        <f>SUMIF(Parcels!$A:$A,
       $A148,
       Parcels!AC:AC)</f>
        <v>0</v>
      </c>
      <c r="X148" s="26">
        <f t="shared" si="6"/>
        <v>720000</v>
      </c>
      <c r="Y148" s="26">
        <f t="shared" si="7"/>
        <v>720000</v>
      </c>
      <c r="Z148" s="32">
        <f t="array" ref="Z148">_xlfn.XLOOKUP(
  A148,
  Parcels!A:A,
Parcels!AL:AL)</f>
        <v>0.0118738</v>
      </c>
      <c r="AA148" s="26">
        <f t="shared" si="18"/>
        <v>0</v>
      </c>
      <c r="AB148" s="26">
        <f t="shared" si="9"/>
        <v>8549.136</v>
      </c>
      <c r="AC148" s="15"/>
      <c r="AD148" s="15"/>
      <c r="AE148" s="6" t="s">
        <v>474</v>
      </c>
      <c r="AJ148" s="14">
        <f>if(F148="CMFA", if(O148&lt;16,10000,O148*600),"-")</f>
        <v>24000</v>
      </c>
      <c r="AK148" s="14">
        <f>if(F148="CMFA", if(O148&lt;26,4000,O148*150),"-")</f>
        <v>6000</v>
      </c>
      <c r="AL148" s="19">
        <f>IF(AND(I148&gt;=DATE(2022,7,1),I148&lt;=DATE(2023,6,30)),3,IF(AND(I148&gt;=DATE(2023,7,1),I148&lt;=DATE(2024,6,30)),2,IF(AND(I148&gt;=DATE(2024,7,1),I148&lt;=DATE(2025,6,30)),1,IF(AND(I148&gt;=DATE(2025,7,1),I148&lt;=DATE(2026,6,30)),0,"-"))))</f>
        <v>0</v>
      </c>
      <c r="AM148" s="14">
        <f t="shared" si="26"/>
        <v>0</v>
      </c>
      <c r="AN148" s="19" t="str">
        <f t="array" ref="AN148">_xlfn.xlookup(C148,'SCC Certificate Review'!C:C,'SCC Certificate Review'!F:F)</f>
        <v/>
      </c>
    </row>
    <row r="149">
      <c r="A149" s="16">
        <v>147.0</v>
      </c>
      <c r="B149" s="6" t="s">
        <v>2236</v>
      </c>
      <c r="C149" s="6" t="s">
        <v>2218</v>
      </c>
      <c r="D149" s="6" t="s">
        <v>210</v>
      </c>
      <c r="E149" s="6" t="s">
        <v>86</v>
      </c>
      <c r="F149" s="6" t="s">
        <v>87</v>
      </c>
      <c r="H149" s="6" t="s">
        <v>2864</v>
      </c>
      <c r="I149" s="21">
        <v>46003.0</v>
      </c>
      <c r="J149" s="27"/>
      <c r="K149" s="6" t="s">
        <v>2701</v>
      </c>
      <c r="M149" s="6" t="s">
        <v>938</v>
      </c>
      <c r="N149" s="6" t="b">
        <v>1</v>
      </c>
      <c r="O149" s="6">
        <v>110.0</v>
      </c>
      <c r="P149" s="6">
        <v>55.0</v>
      </c>
      <c r="Q149" s="20"/>
      <c r="R149" s="6" t="s">
        <v>2703</v>
      </c>
      <c r="S149" s="25">
        <v>8250.0</v>
      </c>
      <c r="T149" s="16" t="b">
        <f>COUNTIF(Parcels!A:A, A149) &gt; 0</f>
        <v>1</v>
      </c>
      <c r="U149" s="16" t="b">
        <f>MAXIFS(Parcels!AC:AC, Parcels!A:A, A149) &gt; 0</f>
        <v>0</v>
      </c>
      <c r="V149" s="17">
        <f>SUMIF(Parcels!A:A,
       A149,
       Parcels!Z:Z)</f>
        <v>0</v>
      </c>
      <c r="W149" s="17">
        <f>SUMIF(Parcels!$A:$A,
       $A149,
       Parcels!AC:AC)</f>
        <v>0</v>
      </c>
      <c r="X149" s="26">
        <f t="shared" si="6"/>
        <v>0</v>
      </c>
      <c r="Y149" s="26">
        <f t="shared" si="7"/>
        <v>0</v>
      </c>
      <c r="Z149" s="34">
        <f t="array" ref="Z149">_xlfn.XLOOKUP(
  A149,
  Parcels!A:A,
Parcels!AL:AL)</f>
        <v>0.012779</v>
      </c>
      <c r="AA149" s="26">
        <f t="shared" si="18"/>
        <v>0</v>
      </c>
      <c r="AB149" s="26">
        <f t="shared" si="9"/>
        <v>0</v>
      </c>
      <c r="AE149" s="6" t="s">
        <v>92</v>
      </c>
      <c r="AJ149" s="14">
        <f t="shared" ref="AJ149:AJ185" si="31">if(F149="CMFA", if(O149&lt;16,10000,O149*600),if(F149="CSCDA",if(33&lt;O149&lt;300, O149*600,if(O149&gt;300,(180000+(O149-300)*300),20000))))</f>
        <v>66000</v>
      </c>
      <c r="AK149" s="14">
        <f t="shared" ref="AK149:AK185" si="32">if(F149="CMFA", if(O149&lt;26,4000,O149*150),if(F149="CSCDA",if(33&lt;O149&lt;300, O149*150,if(O149&gt;300,(45000+(O149-300)*75),5000))))</f>
        <v>16500</v>
      </c>
      <c r="AL149" s="19">
        <f t="shared" ref="AL149:AL185" si="33">if(AE149="YES",0,IF(AND(I149&gt;=DATE(2022,7,1),I149&lt;=DATE(2023,6,30)),3,IF(AND(I149&gt;=DATE(2023,7,1),I149&lt;=DATE(2024,6,30)),2,IF(AND(I149&gt;=DATE(2024,7,1),I149&lt;=DATE(2025,6,30)),1,IF(AND(I149&gt;=DATE(2025,7,1),I149&lt;=DATE(2026,6,30)),0,"-")))))</f>
        <v>0</v>
      </c>
      <c r="AM149" s="14">
        <f t="shared" si="26"/>
        <v>0</v>
      </c>
      <c r="AN149" s="19" t="b">
        <f t="array" ref="AN149">_xlfn.xlookup(C149,'SCC Certificate Review'!C:C,'SCC Certificate Review'!F:F)</f>
        <v>1</v>
      </c>
    </row>
    <row r="150">
      <c r="A150" s="16">
        <v>148.0</v>
      </c>
      <c r="B150" s="6" t="s">
        <v>1924</v>
      </c>
      <c r="C150" s="6" t="s">
        <v>2233</v>
      </c>
      <c r="D150" s="6" t="s">
        <v>114</v>
      </c>
      <c r="E150" s="6" t="s">
        <v>114</v>
      </c>
      <c r="F150" s="6" t="s">
        <v>87</v>
      </c>
      <c r="H150" s="6" t="s">
        <v>2909</v>
      </c>
      <c r="I150" s="21">
        <v>46003.0</v>
      </c>
      <c r="J150" s="38" t="b">
        <v>1</v>
      </c>
      <c r="K150" s="6" t="s">
        <v>2911</v>
      </c>
      <c r="M150" s="6" t="s">
        <v>938</v>
      </c>
      <c r="N150" s="6" t="b">
        <v>0</v>
      </c>
      <c r="O150" s="6">
        <v>170.0</v>
      </c>
      <c r="P150" s="6">
        <v>170.0</v>
      </c>
      <c r="Q150" s="20">
        <f t="shared" ref="Q150:Q158" si="34">P150/O150</f>
        <v>1</v>
      </c>
      <c r="R150" s="6" t="s">
        <v>1921</v>
      </c>
      <c r="S150" s="25">
        <v>25500.0</v>
      </c>
      <c r="T150" s="16" t="b">
        <f>COUNTIF(Parcels!A:A, A150) &gt; 0</f>
        <v>1</v>
      </c>
      <c r="U150" s="16" t="b">
        <f>MAXIFS(Parcels!AC:AC, Parcels!A:A, A150) &gt; 0</f>
        <v>0</v>
      </c>
      <c r="V150" s="17">
        <f>SUMIF(Parcels!A:A,
       A150,
       Parcels!Z:Z)</f>
        <v>3454142</v>
      </c>
      <c r="W150" s="17">
        <f>SUMIF(Parcels!$A:$A,
       $A150,
       Parcels!AC:AC)</f>
        <v>0</v>
      </c>
      <c r="X150" s="26">
        <f t="shared" si="6"/>
        <v>3108727.8</v>
      </c>
      <c r="Y150" s="26">
        <f t="shared" si="7"/>
        <v>3108727.8</v>
      </c>
      <c r="Z150" s="32">
        <f t="array" ref="Z150">_xlfn.XLOOKUP(
  A150,
  Parcels!A:A,
Parcels!AL:AL)</f>
        <v>0.01203757</v>
      </c>
      <c r="AA150" s="26">
        <f t="shared" si="18"/>
        <v>0</v>
      </c>
      <c r="AB150" s="26">
        <f t="shared" si="9"/>
        <v>37421.5285</v>
      </c>
      <c r="AC150" s="15"/>
      <c r="AD150" s="15"/>
      <c r="AE150" s="6" t="s">
        <v>92</v>
      </c>
      <c r="AF150" s="6">
        <v>1929.0</v>
      </c>
      <c r="AJ150" s="14">
        <f t="shared" si="31"/>
        <v>102000</v>
      </c>
      <c r="AK150" s="14">
        <f t="shared" si="32"/>
        <v>25500</v>
      </c>
      <c r="AL150" s="19">
        <f t="shared" si="33"/>
        <v>0</v>
      </c>
      <c r="AM150" s="14">
        <f t="shared" si="26"/>
        <v>0</v>
      </c>
      <c r="AN150" s="19" t="str">
        <f t="array" ref="AN150">_xlfn.xlookup(C150,'SCC Certificate Review'!C:C,'SCC Certificate Review'!F:F)</f>
        <v/>
      </c>
    </row>
    <row r="151">
      <c r="A151" s="16">
        <v>149.0</v>
      </c>
      <c r="B151" s="6" t="s">
        <v>1942</v>
      </c>
      <c r="C151" s="6" t="s">
        <v>2239</v>
      </c>
      <c r="D151" s="6" t="s">
        <v>114</v>
      </c>
      <c r="E151" s="6" t="s">
        <v>114</v>
      </c>
      <c r="F151" s="6" t="s">
        <v>87</v>
      </c>
      <c r="H151" s="6" t="s">
        <v>2927</v>
      </c>
      <c r="I151" s="21">
        <v>46003.0</v>
      </c>
      <c r="J151" s="38" t="b">
        <v>1</v>
      </c>
      <c r="K151" s="6" t="s">
        <v>2911</v>
      </c>
      <c r="M151" s="6" t="s">
        <v>938</v>
      </c>
      <c r="N151" s="6" t="b">
        <v>0</v>
      </c>
      <c r="O151" s="6">
        <v>61.0</v>
      </c>
      <c r="P151" s="6">
        <v>61.0</v>
      </c>
      <c r="Q151" s="20">
        <f t="shared" si="34"/>
        <v>1</v>
      </c>
      <c r="R151" s="6" t="s">
        <v>1941</v>
      </c>
      <c r="S151" s="25">
        <v>9150.0</v>
      </c>
      <c r="T151" s="16" t="b">
        <f>COUNTIF(Parcels!A:A, A151) &gt; 0</f>
        <v>1</v>
      </c>
      <c r="U151" s="16" t="b">
        <f>MAXIFS(Parcels!AC:AC, Parcels!A:A, A151) &gt; 0</f>
        <v>0</v>
      </c>
      <c r="V151" s="17">
        <f>SUMIF(Parcels!A:A,
       A151,
       Parcels!Z:Z)</f>
        <v>4558215</v>
      </c>
      <c r="W151" s="17">
        <f>SUMIF(Parcels!$A:$A,
       $A151,
       Parcels!AC:AC)</f>
        <v>0</v>
      </c>
      <c r="X151" s="26">
        <f t="shared" si="6"/>
        <v>4102393.5</v>
      </c>
      <c r="Y151" s="26">
        <f t="shared" si="7"/>
        <v>4102393.5</v>
      </c>
      <c r="Z151" s="32">
        <f t="array" ref="Z151">_xlfn.XLOOKUP(
  A151,
  Parcels!A:A,
Parcels!AL:AL)</f>
        <v>0.0118738</v>
      </c>
      <c r="AA151" s="26">
        <f t="shared" si="18"/>
        <v>0</v>
      </c>
      <c r="AB151" s="26">
        <f t="shared" si="9"/>
        <v>48710.99994</v>
      </c>
      <c r="AC151" s="15"/>
      <c r="AD151" s="15"/>
      <c r="AE151" s="6" t="s">
        <v>92</v>
      </c>
      <c r="AJ151" s="14">
        <f t="shared" si="31"/>
        <v>36600</v>
      </c>
      <c r="AK151" s="14">
        <f t="shared" si="32"/>
        <v>9150</v>
      </c>
      <c r="AL151" s="19">
        <f t="shared" si="33"/>
        <v>0</v>
      </c>
      <c r="AM151" s="14">
        <f t="shared" si="26"/>
        <v>0</v>
      </c>
      <c r="AN151" s="19" t="str">
        <f t="array" ref="AN151">_xlfn.xlookup(C151,'SCC Certificate Review'!C:C,'SCC Certificate Review'!F:F)</f>
        <v/>
      </c>
    </row>
    <row r="152">
      <c r="A152" s="16">
        <v>150.0</v>
      </c>
      <c r="B152" s="6" t="s">
        <v>1962</v>
      </c>
      <c r="C152" s="6" t="s">
        <v>2242</v>
      </c>
      <c r="D152" s="6" t="s">
        <v>114</v>
      </c>
      <c r="E152" s="6" t="s">
        <v>114</v>
      </c>
      <c r="F152" s="6" t="s">
        <v>87</v>
      </c>
      <c r="H152" s="6" t="s">
        <v>2948</v>
      </c>
      <c r="I152" s="21">
        <v>46003.0</v>
      </c>
      <c r="J152" s="38" t="b">
        <v>1</v>
      </c>
      <c r="K152" s="6" t="s">
        <v>2911</v>
      </c>
      <c r="M152" s="6" t="s">
        <v>938</v>
      </c>
      <c r="N152" s="6" t="b">
        <v>0</v>
      </c>
      <c r="O152" s="6">
        <v>181.0</v>
      </c>
      <c r="P152" s="6">
        <v>181.0</v>
      </c>
      <c r="Q152" s="20">
        <f t="shared" si="34"/>
        <v>1</v>
      </c>
      <c r="R152" s="6" t="s">
        <v>1961</v>
      </c>
      <c r="S152" s="25">
        <v>27150.0</v>
      </c>
      <c r="T152" s="16" t="b">
        <f>COUNTIF(Parcels!A:A, A152) &gt; 0</f>
        <v>1</v>
      </c>
      <c r="U152" s="16" t="b">
        <f>MAXIFS(Parcels!AC:AC, Parcels!A:A, A152) &gt; 0</f>
        <v>0</v>
      </c>
      <c r="V152" s="17">
        <f>SUMIF(Parcels!A:A,
       A152,
       Parcels!Z:Z)</f>
        <v>5831313</v>
      </c>
      <c r="W152" s="17">
        <f>SUMIF(Parcels!$A:$A,
       $A152,
       Parcels!AC:AC)</f>
        <v>0</v>
      </c>
      <c r="X152" s="26">
        <f t="shared" si="6"/>
        <v>5248181.7</v>
      </c>
      <c r="Y152" s="26">
        <f t="shared" si="7"/>
        <v>5248181.7</v>
      </c>
      <c r="Z152" s="32">
        <f t="array" ref="Z152">_xlfn.XLOOKUP(
  A152,
  Parcels!A:A,
Parcels!AL:AL)</f>
        <v>0.0118738</v>
      </c>
      <c r="AA152" s="26">
        <f t="shared" si="18"/>
        <v>0</v>
      </c>
      <c r="AB152" s="26">
        <f t="shared" si="9"/>
        <v>62315.85987</v>
      </c>
      <c r="AC152" s="15"/>
      <c r="AD152" s="15"/>
      <c r="AE152" s="6" t="s">
        <v>92</v>
      </c>
      <c r="AJ152" s="14">
        <f t="shared" si="31"/>
        <v>108600</v>
      </c>
      <c r="AK152" s="14">
        <f t="shared" si="32"/>
        <v>27150</v>
      </c>
      <c r="AL152" s="19">
        <f t="shared" si="33"/>
        <v>0</v>
      </c>
      <c r="AM152" s="14">
        <f t="shared" si="26"/>
        <v>0</v>
      </c>
      <c r="AN152" s="19" t="str">
        <f t="array" ref="AN152">_xlfn.xlookup(C152,'SCC Certificate Review'!C:C,'SCC Certificate Review'!F:F)</f>
        <v/>
      </c>
    </row>
    <row r="153">
      <c r="A153" s="16">
        <v>151.0</v>
      </c>
      <c r="B153" s="6" t="s">
        <v>1981</v>
      </c>
      <c r="C153" s="6" t="s">
        <v>2243</v>
      </c>
      <c r="D153" s="6" t="s">
        <v>114</v>
      </c>
      <c r="E153" s="6" t="s">
        <v>114</v>
      </c>
      <c r="F153" s="6" t="s">
        <v>87</v>
      </c>
      <c r="H153" s="6" t="s">
        <v>2968</v>
      </c>
      <c r="I153" s="21">
        <v>46003.0</v>
      </c>
      <c r="J153" s="38" t="b">
        <v>1</v>
      </c>
      <c r="K153" s="6" t="s">
        <v>2911</v>
      </c>
      <c r="M153" s="6" t="s">
        <v>938</v>
      </c>
      <c r="N153" s="6" t="b">
        <v>0</v>
      </c>
      <c r="O153" s="6">
        <v>74.0</v>
      </c>
      <c r="P153" s="6">
        <v>74.0</v>
      </c>
      <c r="Q153" s="20">
        <f t="shared" si="34"/>
        <v>1</v>
      </c>
      <c r="R153" s="6" t="s">
        <v>1980</v>
      </c>
      <c r="S153" s="25">
        <v>11100.0</v>
      </c>
      <c r="T153" s="16" t="b">
        <f>COUNTIF(Parcels!A:A, A153) &gt; 0</f>
        <v>1</v>
      </c>
      <c r="U153" s="16" t="b">
        <f>MAXIFS(Parcels!AC:AC, Parcels!A:A, A153) &gt; 0</f>
        <v>0</v>
      </c>
      <c r="V153" s="17">
        <f>SUMIF(Parcels!A:A,
       A153,
       Parcels!Z:Z)</f>
        <v>3524298</v>
      </c>
      <c r="W153" s="17">
        <f>SUMIF(Parcels!$A:$A,
       $A153,
       Parcels!AC:AC)</f>
        <v>0</v>
      </c>
      <c r="X153" s="26">
        <f t="shared" si="6"/>
        <v>3171868.2</v>
      </c>
      <c r="Y153" s="26">
        <f t="shared" si="7"/>
        <v>3171868.2</v>
      </c>
      <c r="Z153" s="32">
        <f t="array" ref="Z153">_xlfn.XLOOKUP(
  A153,
  Parcels!A:A,
Parcels!AL:AL)</f>
        <v>0.0118738</v>
      </c>
      <c r="AA153" s="26">
        <f t="shared" si="18"/>
        <v>0</v>
      </c>
      <c r="AB153" s="26">
        <f t="shared" si="9"/>
        <v>37662.12863</v>
      </c>
      <c r="AC153" s="15"/>
      <c r="AD153" s="15"/>
      <c r="AE153" s="6" t="s">
        <v>92</v>
      </c>
      <c r="AJ153" s="14">
        <f t="shared" si="31"/>
        <v>44400</v>
      </c>
      <c r="AK153" s="14">
        <f t="shared" si="32"/>
        <v>11100</v>
      </c>
      <c r="AL153" s="19">
        <f t="shared" si="33"/>
        <v>0</v>
      </c>
      <c r="AM153" s="14">
        <f t="shared" si="26"/>
        <v>0</v>
      </c>
      <c r="AN153" s="19" t="str">
        <f t="array" ref="AN153">_xlfn.xlookup(C153,'SCC Certificate Review'!C:C,'SCC Certificate Review'!F:F)</f>
        <v/>
      </c>
    </row>
    <row r="154">
      <c r="A154" s="16">
        <v>152.0</v>
      </c>
      <c r="B154" s="6" t="s">
        <v>2005</v>
      </c>
      <c r="C154" s="6" t="s">
        <v>2246</v>
      </c>
      <c r="D154" s="6" t="s">
        <v>1019</v>
      </c>
      <c r="E154" s="6" t="s">
        <v>114</v>
      </c>
      <c r="F154" s="6" t="s">
        <v>87</v>
      </c>
      <c r="H154" s="6" t="s">
        <v>2992</v>
      </c>
      <c r="I154" s="21">
        <v>46003.0</v>
      </c>
      <c r="J154" s="27"/>
      <c r="K154" s="6" t="s">
        <v>2995</v>
      </c>
      <c r="M154" s="6" t="s">
        <v>2997</v>
      </c>
      <c r="N154" s="6" t="b">
        <v>0</v>
      </c>
      <c r="O154" s="6">
        <v>152.0</v>
      </c>
      <c r="P154" s="6">
        <v>152.0</v>
      </c>
      <c r="Q154" s="20">
        <f t="shared" si="34"/>
        <v>1</v>
      </c>
      <c r="R154" s="6" t="s">
        <v>2004</v>
      </c>
      <c r="S154" s="25">
        <v>22800.0</v>
      </c>
      <c r="T154" s="16" t="b">
        <f>COUNTIF(Parcels!A:A, A154) &gt; 0</f>
        <v>1</v>
      </c>
      <c r="U154" s="16" t="b">
        <f>MAXIFS(Parcels!AC:AC, Parcels!A:A, A154) &gt; 0</f>
        <v>0</v>
      </c>
      <c r="V154" s="17">
        <f>SUMIF(Parcels!A:A,
       A154,
       Parcels!Z:Z)</f>
        <v>39317756</v>
      </c>
      <c r="W154" s="17">
        <f>SUMIF(Parcels!$A:$A,
       $A154,
       Parcels!AC:AC)</f>
        <v>0</v>
      </c>
      <c r="X154" s="26">
        <f t="shared" si="6"/>
        <v>35385980.4</v>
      </c>
      <c r="Y154" s="26">
        <f t="shared" si="7"/>
        <v>35385980.4</v>
      </c>
      <c r="Z154" s="32">
        <f t="array" ref="Z154">_xlfn.XLOOKUP(
  A154,
  Parcels!A:A,
Parcels!AL:AL)</f>
        <v>0.01206499</v>
      </c>
      <c r="AA154" s="26">
        <f t="shared" si="18"/>
        <v>0</v>
      </c>
      <c r="AB154" s="26">
        <f t="shared" si="9"/>
        <v>426931.4997</v>
      </c>
      <c r="AC154" s="15"/>
      <c r="AD154" s="15"/>
      <c r="AE154" s="6" t="s">
        <v>92</v>
      </c>
      <c r="AJ154" s="14">
        <f t="shared" si="31"/>
        <v>91200</v>
      </c>
      <c r="AK154" s="14">
        <f t="shared" si="32"/>
        <v>22800</v>
      </c>
      <c r="AL154" s="19">
        <f t="shared" si="33"/>
        <v>0</v>
      </c>
      <c r="AM154" s="14">
        <f t="shared" si="26"/>
        <v>0</v>
      </c>
      <c r="AN154" s="19" t="str">
        <f t="array" ref="AN154">_xlfn.xlookup(C154,'SCC Certificate Review'!C:C,'SCC Certificate Review'!F:F)</f>
        <v/>
      </c>
    </row>
    <row r="155">
      <c r="A155" s="16">
        <v>153.0</v>
      </c>
      <c r="B155" s="6" t="s">
        <v>2043</v>
      </c>
      <c r="C155" s="6" t="s">
        <v>2248</v>
      </c>
      <c r="D155" s="6" t="s">
        <v>3004</v>
      </c>
      <c r="E155" s="6" t="s">
        <v>114</v>
      </c>
      <c r="F155" s="6" t="s">
        <v>87</v>
      </c>
      <c r="H155" s="6" t="s">
        <v>3005</v>
      </c>
      <c r="I155" s="21">
        <v>46003.0</v>
      </c>
      <c r="J155" s="27"/>
      <c r="K155" s="6" t="s">
        <v>3007</v>
      </c>
      <c r="M155" s="6" t="s">
        <v>587</v>
      </c>
      <c r="N155" s="6" t="b">
        <v>0</v>
      </c>
      <c r="O155" s="6">
        <v>101.0</v>
      </c>
      <c r="P155" s="6">
        <v>101.0</v>
      </c>
      <c r="Q155" s="20">
        <f t="shared" si="34"/>
        <v>1</v>
      </c>
      <c r="R155" s="6" t="s">
        <v>2041</v>
      </c>
      <c r="S155" s="25">
        <v>15150.0</v>
      </c>
      <c r="T155" s="16" t="b">
        <f>COUNTIF(Parcels!A:A, A155) &gt; 0</f>
        <v>1</v>
      </c>
      <c r="U155" s="16" t="b">
        <f>MAXIFS(Parcels!AC:AC, Parcels!A:A, A155) &gt; 0</f>
        <v>0</v>
      </c>
      <c r="V155" s="17">
        <f>SUMIF(Parcels!A:A,
       A155,
       Parcels!Z:Z)</f>
        <v>23346575</v>
      </c>
      <c r="W155" s="17">
        <f>SUMIF(Parcels!$A:$A,
       $A155,
       Parcels!AC:AC)</f>
        <v>0</v>
      </c>
      <c r="X155" s="26">
        <f t="shared" si="6"/>
        <v>21011917.5</v>
      </c>
      <c r="Y155" s="26">
        <f t="shared" si="7"/>
        <v>21011917.5</v>
      </c>
      <c r="Z155" s="32">
        <f t="array" ref="Z155">_xlfn.XLOOKUP(
  A155,
  Parcels!A:A,
Parcels!AL:AL)</f>
        <v>0.01135572</v>
      </c>
      <c r="AA155" s="26">
        <f t="shared" si="18"/>
        <v>0</v>
      </c>
      <c r="AB155" s="26">
        <f t="shared" si="9"/>
        <v>238605.4518</v>
      </c>
      <c r="AC155" s="15"/>
      <c r="AD155" s="15"/>
      <c r="AE155" s="6" t="s">
        <v>92</v>
      </c>
      <c r="AF155" s="6">
        <v>1990.0</v>
      </c>
      <c r="AJ155" s="14">
        <f t="shared" si="31"/>
        <v>60600</v>
      </c>
      <c r="AK155" s="14">
        <f t="shared" si="32"/>
        <v>15150</v>
      </c>
      <c r="AL155" s="19">
        <f t="shared" si="33"/>
        <v>0</v>
      </c>
      <c r="AM155" s="14">
        <f t="shared" si="26"/>
        <v>0</v>
      </c>
      <c r="AN155" s="19" t="str">
        <f t="array" ref="AN155">_xlfn.xlookup(C155,'SCC Certificate Review'!C:C,'SCC Certificate Review'!F:F)</f>
        <v/>
      </c>
    </row>
    <row r="156">
      <c r="A156" s="16">
        <v>154.0</v>
      </c>
      <c r="B156" s="6" t="s">
        <v>2250</v>
      </c>
      <c r="C156" s="6" t="s">
        <v>2251</v>
      </c>
      <c r="D156" s="6" t="s">
        <v>242</v>
      </c>
      <c r="E156" s="6" t="s">
        <v>124</v>
      </c>
      <c r="F156" s="6" t="s">
        <v>87</v>
      </c>
      <c r="H156" s="6" t="s">
        <v>3025</v>
      </c>
      <c r="I156" s="21">
        <v>46003.0</v>
      </c>
      <c r="J156" s="27"/>
      <c r="K156" s="6" t="s">
        <v>296</v>
      </c>
      <c r="M156" s="6" t="s">
        <v>560</v>
      </c>
      <c r="N156" s="6" t="b">
        <v>0</v>
      </c>
      <c r="O156" s="6">
        <v>482.0</v>
      </c>
      <c r="P156" s="6">
        <v>216.0</v>
      </c>
      <c r="Q156" s="20">
        <f t="shared" si="34"/>
        <v>0.4481327801</v>
      </c>
      <c r="R156" s="6" t="s">
        <v>3031</v>
      </c>
      <c r="S156" s="25">
        <v>32400.0</v>
      </c>
      <c r="T156" s="16" t="b">
        <f>COUNTIF(Parcels!A:A, A156) &gt; 0</f>
        <v>1</v>
      </c>
      <c r="U156" s="16" t="b">
        <f>MAXIFS(Parcels!AC:AC, Parcels!A:A, A156) &gt; 0</f>
        <v>0</v>
      </c>
      <c r="V156" s="17">
        <f>SUMIF(Parcels!A:A,
       A156,
       Parcels!Z:Z)</f>
        <v>180060039</v>
      </c>
      <c r="W156" s="17">
        <f>SUMIF(Parcels!$A:$A,
       $A156,
       Parcels!AC:AC)</f>
        <v>0</v>
      </c>
      <c r="X156" s="26">
        <f t="shared" si="6"/>
        <v>72621725.27</v>
      </c>
      <c r="Y156" s="26">
        <f t="shared" si="7"/>
        <v>72621725.27</v>
      </c>
      <c r="Z156" s="34">
        <f t="array" ref="Z156">_xlfn.XLOOKUP(
  A156,
  Parcels!A:A,
Parcels!AL:AL)</f>
        <v>0.010941</v>
      </c>
      <c r="AA156" s="26">
        <f t="shared" si="18"/>
        <v>0</v>
      </c>
      <c r="AB156" s="26">
        <f t="shared" si="9"/>
        <v>794554.2962</v>
      </c>
      <c r="AE156" s="6" t="s">
        <v>3039</v>
      </c>
      <c r="AJ156" s="14">
        <f t="shared" si="31"/>
        <v>289200</v>
      </c>
      <c r="AK156" s="14">
        <f t="shared" si="32"/>
        <v>72300</v>
      </c>
      <c r="AL156" s="19">
        <f t="shared" si="33"/>
        <v>0</v>
      </c>
      <c r="AM156" s="14">
        <f t="shared" si="26"/>
        <v>0</v>
      </c>
      <c r="AN156" s="19" t="str">
        <f t="array" ref="AN156">_xlfn.xlookup(C156,'SCC Certificate Review'!C:C,'SCC Certificate Review'!F:F)</f>
        <v/>
      </c>
    </row>
    <row r="157">
      <c r="A157" s="16">
        <v>155.0</v>
      </c>
      <c r="B157" s="6" t="s">
        <v>2254</v>
      </c>
      <c r="C157" s="6" t="s">
        <v>2255</v>
      </c>
      <c r="D157" s="6" t="s">
        <v>320</v>
      </c>
      <c r="E157" s="6" t="s">
        <v>111</v>
      </c>
      <c r="F157" s="6" t="s">
        <v>87</v>
      </c>
      <c r="H157" s="6" t="s">
        <v>3042</v>
      </c>
      <c r="I157" s="21">
        <v>46003.0</v>
      </c>
      <c r="J157" s="27"/>
      <c r="K157" s="6" t="s">
        <v>3044</v>
      </c>
      <c r="M157" s="6" t="s">
        <v>938</v>
      </c>
      <c r="N157" s="6" t="b">
        <v>0</v>
      </c>
      <c r="O157" s="6">
        <v>120.0</v>
      </c>
      <c r="P157" s="6">
        <v>120.0</v>
      </c>
      <c r="Q157" s="20">
        <f t="shared" si="34"/>
        <v>1</v>
      </c>
      <c r="R157" s="6" t="s">
        <v>2084</v>
      </c>
      <c r="S157" s="25">
        <v>18000.0</v>
      </c>
      <c r="T157" s="16" t="b">
        <f>COUNTIF(Parcels!A:A, A157) &gt; 0</f>
        <v>1</v>
      </c>
      <c r="U157" s="16" t="b">
        <f>MAXIFS(Parcels!AC:AC, Parcels!A:A, A157) &gt; 0</f>
        <v>0</v>
      </c>
      <c r="V157" s="17">
        <f>SUMIF(Parcels!A:A,
       A157,
       Parcels!Z:Z)</f>
        <v>34848175</v>
      </c>
      <c r="W157" s="17">
        <f>SUMIF(Parcels!$A:$A,
       $A157,
       Parcels!AC:AC)</f>
        <v>0</v>
      </c>
      <c r="X157" s="26">
        <f t="shared" si="6"/>
        <v>31363357.5</v>
      </c>
      <c r="Y157" s="26">
        <f t="shared" si="7"/>
        <v>31363357.5</v>
      </c>
      <c r="Z157" s="34">
        <f t="array" ref="Z157">_xlfn.XLOOKUP(
  A157,
  Parcels!A:A,
Parcels!AL:AL)</f>
        <v>0.010992</v>
      </c>
      <c r="AA157" s="26">
        <f t="shared" si="18"/>
        <v>0</v>
      </c>
      <c r="AB157" s="26">
        <f t="shared" si="9"/>
        <v>344746.0256</v>
      </c>
      <c r="AE157" s="6" t="s">
        <v>92</v>
      </c>
      <c r="AF157" s="6">
        <v>1974.0</v>
      </c>
      <c r="AJ157" s="14">
        <f t="shared" si="31"/>
        <v>72000</v>
      </c>
      <c r="AK157" s="14">
        <f t="shared" si="32"/>
        <v>18000</v>
      </c>
      <c r="AL157" s="19">
        <f t="shared" si="33"/>
        <v>0</v>
      </c>
      <c r="AM157" s="14"/>
      <c r="AN157" s="19" t="str">
        <f t="array" ref="AN157">_xlfn.xlookup(C157,'SCC Certificate Review'!C:C,'SCC Certificate Review'!F:F)</f>
        <v/>
      </c>
    </row>
    <row r="158">
      <c r="A158" s="16">
        <v>156.0</v>
      </c>
      <c r="B158" s="6" t="s">
        <v>2257</v>
      </c>
      <c r="C158" s="6" t="s">
        <v>2255</v>
      </c>
      <c r="D158" s="6" t="s">
        <v>212</v>
      </c>
      <c r="E158" s="6" t="s">
        <v>86</v>
      </c>
      <c r="F158" s="6" t="s">
        <v>87</v>
      </c>
      <c r="H158" s="6" t="s">
        <v>3065</v>
      </c>
      <c r="I158" s="21">
        <v>46003.0</v>
      </c>
      <c r="J158" s="27"/>
      <c r="K158" s="6" t="s">
        <v>3044</v>
      </c>
      <c r="M158" s="6" t="s">
        <v>938</v>
      </c>
      <c r="N158" s="6" t="b">
        <v>0</v>
      </c>
      <c r="O158" s="6">
        <v>170.0</v>
      </c>
      <c r="P158" s="6">
        <v>170.0</v>
      </c>
      <c r="Q158" s="20">
        <f t="shared" si="34"/>
        <v>1</v>
      </c>
      <c r="R158" s="6" t="s">
        <v>3068</v>
      </c>
      <c r="S158" s="25">
        <v>25500.0</v>
      </c>
      <c r="T158" s="16" t="b">
        <f>COUNTIF(Parcels!A:A, A158) &gt; 0</f>
        <v>1</v>
      </c>
      <c r="U158" s="16" t="b">
        <f>MAXIFS(Parcels!AC:AC, Parcels!A:A, A158) &gt; 0</f>
        <v>0</v>
      </c>
      <c r="V158" s="17">
        <f>SUMIF(Parcels!A:A,
       A158,
       Parcels!Z:Z)</f>
        <v>65613972</v>
      </c>
      <c r="W158" s="17">
        <f>SUMIF(Parcels!$A:$A,
       $A158,
       Parcels!AC:AC)</f>
        <v>0</v>
      </c>
      <c r="X158" s="26">
        <f t="shared" si="6"/>
        <v>59052574.8</v>
      </c>
      <c r="Y158" s="26">
        <f t="shared" si="7"/>
        <v>59052574.8</v>
      </c>
      <c r="Z158" s="34">
        <f t="array" ref="Z158">_xlfn.XLOOKUP(
  A158,
  Parcels!A:A,
Parcels!AL:AL)</f>
        <v>0.011741</v>
      </c>
      <c r="AA158" s="26">
        <f t="shared" si="18"/>
        <v>0</v>
      </c>
      <c r="AB158" s="26">
        <f t="shared" si="9"/>
        <v>693336.2807</v>
      </c>
      <c r="AE158" s="6" t="s">
        <v>92</v>
      </c>
      <c r="AF158" s="6">
        <v>1969.0</v>
      </c>
      <c r="AJ158" s="14">
        <f t="shared" si="31"/>
        <v>102000</v>
      </c>
      <c r="AK158" s="14">
        <f t="shared" si="32"/>
        <v>25500</v>
      </c>
      <c r="AL158" s="19">
        <f t="shared" si="33"/>
        <v>0</v>
      </c>
      <c r="AM158" s="14">
        <f t="shared" ref="AM158:AM190" si="35">AK158*AL158</f>
        <v>0</v>
      </c>
      <c r="AN158" s="19" t="str">
        <f t="array" ref="AN158">_xlfn.xlookup(C158,'SCC Certificate Review'!C:C,'SCC Certificate Review'!F:F)</f>
        <v/>
      </c>
    </row>
    <row r="159">
      <c r="A159" s="16">
        <v>145.0</v>
      </c>
      <c r="B159" s="6" t="s">
        <v>2225</v>
      </c>
      <c r="C159" s="6" t="s">
        <v>2226</v>
      </c>
      <c r="D159" s="6" t="s">
        <v>113</v>
      </c>
      <c r="E159" s="6" t="s">
        <v>113</v>
      </c>
      <c r="F159" s="6" t="s">
        <v>87</v>
      </c>
      <c r="H159" s="6" t="s">
        <v>1267</v>
      </c>
      <c r="I159" s="21">
        <v>46003.0</v>
      </c>
      <c r="J159" s="38" t="b">
        <v>1</v>
      </c>
      <c r="K159" s="6" t="s">
        <v>3082</v>
      </c>
      <c r="M159" s="6" t="s">
        <v>938</v>
      </c>
      <c r="N159" s="6" t="b">
        <v>0</v>
      </c>
      <c r="O159" s="6">
        <v>110.0</v>
      </c>
      <c r="P159" s="6">
        <v>110.0</v>
      </c>
      <c r="Q159" s="20"/>
      <c r="R159" s="6" t="s">
        <v>1866</v>
      </c>
      <c r="S159" s="25">
        <v>16500.0</v>
      </c>
      <c r="T159" s="16" t="b">
        <f>COUNTIF(Parcels!A:A, A159) &gt; 0</f>
        <v>1</v>
      </c>
      <c r="U159" s="16" t="b">
        <f>MAXIFS(Parcels!AC:AC, Parcels!A:A, A159) &gt; 0</f>
        <v>0</v>
      </c>
      <c r="V159" s="17">
        <f>SUMIF(Parcels!A:A,
       A159,
       Parcels!Z:Z)</f>
        <v>10673404</v>
      </c>
      <c r="W159" s="17">
        <f>SUMIF(Parcels!$A:$A,
       $A159,
       Parcels!AC:AC)</f>
        <v>0</v>
      </c>
      <c r="X159" s="26">
        <f t="shared" si="6"/>
        <v>9606063.6</v>
      </c>
      <c r="Y159" s="26">
        <f t="shared" si="7"/>
        <v>9606063.6</v>
      </c>
      <c r="Z159" s="34">
        <f t="array" ref="Z159">_xlfn.XLOOKUP(
  A159,
  Parcels!A:A,
Parcels!AL:AL)</f>
        <v>0.0125</v>
      </c>
      <c r="AA159" s="26">
        <f t="shared" si="18"/>
        <v>0</v>
      </c>
      <c r="AB159" s="26">
        <f t="shared" si="9"/>
        <v>120075.795</v>
      </c>
      <c r="AE159" s="6" t="s">
        <v>92</v>
      </c>
      <c r="AJ159" s="14">
        <f t="shared" si="31"/>
        <v>66000</v>
      </c>
      <c r="AK159" s="14">
        <f t="shared" si="32"/>
        <v>16500</v>
      </c>
      <c r="AL159" s="19">
        <f t="shared" si="33"/>
        <v>0</v>
      </c>
      <c r="AM159" s="14">
        <f t="shared" si="35"/>
        <v>0</v>
      </c>
      <c r="AN159" s="19" t="str">
        <f t="array" ref="AN159">_xlfn.xlookup(C159,'SCC Certificate Review'!C:C,'SCC Certificate Review'!F:F)</f>
        <v/>
      </c>
    </row>
    <row r="160">
      <c r="A160" s="16">
        <v>157.0</v>
      </c>
      <c r="B160" s="6" t="s">
        <v>2264</v>
      </c>
      <c r="C160" s="6" t="s">
        <v>2265</v>
      </c>
      <c r="D160" s="6" t="s">
        <v>172</v>
      </c>
      <c r="E160" s="6" t="s">
        <v>122</v>
      </c>
      <c r="F160" s="6" t="s">
        <v>2577</v>
      </c>
      <c r="H160" s="6" t="s">
        <v>2577</v>
      </c>
      <c r="I160" s="21">
        <v>46009.0</v>
      </c>
      <c r="J160" s="27"/>
      <c r="K160" s="6" t="s">
        <v>3096</v>
      </c>
      <c r="N160" s="16" t="b">
        <v>0</v>
      </c>
      <c r="O160" s="6">
        <v>551.0</v>
      </c>
      <c r="P160" s="6">
        <v>440.0</v>
      </c>
      <c r="Q160" s="20">
        <f t="shared" ref="Q160:Q190" si="36">P160/O160</f>
        <v>0.7985480944</v>
      </c>
      <c r="R160" s="6" t="s">
        <v>3099</v>
      </c>
      <c r="S160" s="14"/>
      <c r="T160" s="16" t="b">
        <f>COUNTIF(Parcels!A:A, A160) &gt; 0</f>
        <v>1</v>
      </c>
      <c r="U160" s="16" t="b">
        <f>MAXIFS(Parcels!AC:AC, Parcels!A:A, A160) &gt; 0</f>
        <v>0</v>
      </c>
      <c r="V160" s="17">
        <f>SUMIF(Parcels!A:A,
       A160,
       Parcels!Z:Z)</f>
        <v>85170741</v>
      </c>
      <c r="W160" s="17">
        <f>SUMIF(Parcels!$A:$A,
       $A160,
       Parcels!AC:AC)</f>
        <v>0</v>
      </c>
      <c r="X160" s="26">
        <f t="shared" si="6"/>
        <v>61211639.63</v>
      </c>
      <c r="Y160" s="26">
        <f t="shared" si="7"/>
        <v>61211639.63</v>
      </c>
      <c r="Z160" s="34">
        <f t="array" ref="Z160">_xlfn.XLOOKUP(
  A160,
  Parcels!A:A,
Parcels!AL:AL)</f>
        <v>0.0114011</v>
      </c>
      <c r="AA160" s="26">
        <f t="shared" si="18"/>
        <v>0</v>
      </c>
      <c r="AB160" s="26">
        <f t="shared" si="9"/>
        <v>697880.0246</v>
      </c>
      <c r="AJ160" s="14">
        <f t="shared" si="31"/>
        <v>255300</v>
      </c>
      <c r="AK160" s="14">
        <f t="shared" si="32"/>
        <v>63825</v>
      </c>
      <c r="AL160" s="19">
        <f t="shared" si="33"/>
        <v>0</v>
      </c>
      <c r="AM160" s="14">
        <f t="shared" si="35"/>
        <v>0</v>
      </c>
      <c r="AN160" s="19" t="str">
        <f t="array" ref="AN160">_xlfn.xlookup(C160,'SCC Certificate Review'!C:C,'SCC Certificate Review'!F:F)</f>
        <v/>
      </c>
    </row>
    <row r="161">
      <c r="A161" s="16">
        <v>159.0</v>
      </c>
      <c r="B161" s="6" t="s">
        <v>1742</v>
      </c>
      <c r="C161" s="6" t="s">
        <v>1743</v>
      </c>
      <c r="D161" s="6" t="s">
        <v>114</v>
      </c>
      <c r="E161" s="6" t="s">
        <v>114</v>
      </c>
      <c r="F161" s="6" t="s">
        <v>87</v>
      </c>
      <c r="I161" s="21">
        <v>46031.0</v>
      </c>
      <c r="J161" s="27"/>
      <c r="K161" s="6" t="s">
        <v>540</v>
      </c>
      <c r="M161" s="6" t="s">
        <v>1744</v>
      </c>
      <c r="N161" s="6" t="b">
        <v>0</v>
      </c>
      <c r="O161" s="6">
        <v>290.0</v>
      </c>
      <c r="P161" s="6">
        <v>290.0</v>
      </c>
      <c r="Q161" s="20">
        <f t="shared" si="36"/>
        <v>1</v>
      </c>
      <c r="R161" s="6" t="s">
        <v>3117</v>
      </c>
      <c r="S161" s="25">
        <v>43500.0</v>
      </c>
      <c r="T161" s="16" t="b">
        <f>COUNTIF(Parcels!A:A, A161) &gt; 0</f>
        <v>1</v>
      </c>
      <c r="U161" s="16" t="b">
        <f>MAXIFS(Parcels!AC:AC, Parcels!A:A, A161) &gt; 0</f>
        <v>0</v>
      </c>
      <c r="V161" s="17">
        <f>SUMIF(Parcels!A:A,
       A161,
       Parcels!Z:Z)</f>
        <v>0</v>
      </c>
      <c r="W161" s="17">
        <f>SUMIF(Parcels!$A:$A,
       $A161,
       Parcels!AC:AC)</f>
        <v>0</v>
      </c>
      <c r="X161" s="26">
        <f t="shared" si="6"/>
        <v>0</v>
      </c>
      <c r="Y161" s="26">
        <f t="shared" si="7"/>
        <v>0</v>
      </c>
      <c r="Z161" s="15" t="str">
        <f t="array" ref="Z161">_xlfn.XLOOKUP(
  A161,
  Parcels!A:A,
Parcels!AL:AL)</f>
        <v/>
      </c>
      <c r="AA161" s="26">
        <f t="shared" si="18"/>
        <v>0</v>
      </c>
      <c r="AB161" s="15"/>
      <c r="AC161" s="15"/>
      <c r="AD161" s="15"/>
      <c r="AJ161" s="14">
        <f t="shared" si="31"/>
        <v>174000</v>
      </c>
      <c r="AK161" s="14">
        <f t="shared" si="32"/>
        <v>43500</v>
      </c>
      <c r="AL161" s="19">
        <f t="shared" si="33"/>
        <v>0</v>
      </c>
      <c r="AM161" s="14">
        <f t="shared" si="35"/>
        <v>0</v>
      </c>
      <c r="AN161" s="19" t="str">
        <f t="array" ref="AN161">_xlfn.xlookup(C161,'SCC Certificate Review'!C:C,'SCC Certificate Review'!F:F)</f>
        <v/>
      </c>
    </row>
    <row r="162">
      <c r="A162" s="16">
        <v>161.0</v>
      </c>
      <c r="B162" s="6" t="s">
        <v>1613</v>
      </c>
      <c r="C162" s="6" t="s">
        <v>1614</v>
      </c>
      <c r="D162" s="6" t="s">
        <v>114</v>
      </c>
      <c r="E162" s="6" t="s">
        <v>114</v>
      </c>
      <c r="F162" s="6" t="s">
        <v>87</v>
      </c>
      <c r="I162" s="21">
        <v>46031.0</v>
      </c>
      <c r="J162" s="27"/>
      <c r="K162" s="6" t="s">
        <v>1615</v>
      </c>
      <c r="M162" s="6" t="s">
        <v>203</v>
      </c>
      <c r="N162" s="6" t="b">
        <v>0</v>
      </c>
      <c r="O162" s="6">
        <v>40.0</v>
      </c>
      <c r="P162" s="6">
        <v>40.0</v>
      </c>
      <c r="Q162" s="20">
        <f t="shared" si="36"/>
        <v>1</v>
      </c>
      <c r="R162" s="6" t="s">
        <v>3140</v>
      </c>
      <c r="S162" s="25">
        <v>6000.0</v>
      </c>
      <c r="T162" s="16" t="b">
        <f>COUNTIF(Parcels!A:A, A162) &gt; 0</f>
        <v>1</v>
      </c>
      <c r="U162" s="16" t="b">
        <f>MAXIFS(Parcels!AC:AC, Parcels!A:A, A162) &gt; 0</f>
        <v>0</v>
      </c>
      <c r="V162" s="17">
        <f>SUMIF(Parcels!A:A,
       A162,
       Parcels!Z:Z)</f>
        <v>9082692</v>
      </c>
      <c r="W162" s="17">
        <f>SUMIF(Parcels!$A:$A,
       $A162,
       Parcels!AC:AC)</f>
        <v>0</v>
      </c>
      <c r="X162" s="26">
        <f t="shared" si="6"/>
        <v>8174422.8</v>
      </c>
      <c r="Y162" s="26">
        <f t="shared" si="7"/>
        <v>8174422.8</v>
      </c>
      <c r="Z162" s="15" t="str">
        <f t="array" ref="Z162">_xlfn.XLOOKUP(
  A162,
  Parcels!A:A,
Parcels!AL:AL)</f>
        <v/>
      </c>
      <c r="AA162" s="26">
        <f t="shared" si="18"/>
        <v>0</v>
      </c>
      <c r="AB162" s="163"/>
      <c r="AC162" s="15"/>
      <c r="AD162" s="15"/>
      <c r="AJ162" s="14">
        <f t="shared" si="31"/>
        <v>24000</v>
      </c>
      <c r="AK162" s="14">
        <f t="shared" si="32"/>
        <v>6000</v>
      </c>
      <c r="AL162" s="19">
        <f t="shared" si="33"/>
        <v>0</v>
      </c>
      <c r="AM162" s="14">
        <f t="shared" si="35"/>
        <v>0</v>
      </c>
      <c r="AN162" s="19" t="str">
        <f t="array" ref="AN162">_xlfn.xlookup(C162,'SCC Certificate Review'!C:C,'SCC Certificate Review'!F:F)</f>
        <v/>
      </c>
    </row>
    <row r="163">
      <c r="A163" s="16">
        <v>162.0</v>
      </c>
      <c r="B163" s="6" t="s">
        <v>1686</v>
      </c>
      <c r="C163" s="6" t="s">
        <v>2164</v>
      </c>
      <c r="D163" s="6" t="s">
        <v>114</v>
      </c>
      <c r="E163" s="6" t="s">
        <v>114</v>
      </c>
      <c r="F163" s="6" t="s">
        <v>87</v>
      </c>
      <c r="I163" s="21">
        <v>46031.0</v>
      </c>
      <c r="J163" s="27"/>
      <c r="K163" s="6" t="s">
        <v>1615</v>
      </c>
      <c r="M163" s="6" t="s">
        <v>203</v>
      </c>
      <c r="N163" s="6" t="b">
        <v>0</v>
      </c>
      <c r="O163" s="6">
        <v>30.0</v>
      </c>
      <c r="P163" s="6">
        <v>30.0</v>
      </c>
      <c r="Q163" s="20">
        <f t="shared" si="36"/>
        <v>1</v>
      </c>
      <c r="R163" s="6" t="s">
        <v>1685</v>
      </c>
      <c r="S163" s="25">
        <v>4500.0</v>
      </c>
      <c r="T163" s="16" t="b">
        <f>COUNTIF(Parcels!A:A, A163) &gt; 0</f>
        <v>1</v>
      </c>
      <c r="U163" s="16" t="b">
        <f>MAXIFS(Parcels!AC:AC, Parcels!A:A, A163) &gt; 0</f>
        <v>0</v>
      </c>
      <c r="V163" s="17">
        <f>SUMIF(Parcels!A:A,
       A163,
       Parcels!Z:Z)</f>
        <v>0</v>
      </c>
      <c r="W163" s="17">
        <f>SUMIF(Parcels!$A:$A,
       $A163,
       Parcels!AC:AC)</f>
        <v>0</v>
      </c>
      <c r="X163" s="26">
        <f t="shared" si="6"/>
        <v>0</v>
      </c>
      <c r="Y163" s="26">
        <f t="shared" si="7"/>
        <v>0</v>
      </c>
      <c r="Z163" s="15" t="str">
        <f t="array" ref="Z163">_xlfn.XLOOKUP(
  A163,
  Parcels!A:A,
Parcels!AL:AL)</f>
        <v/>
      </c>
      <c r="AA163" s="26">
        <f t="shared" si="18"/>
        <v>0</v>
      </c>
      <c r="AB163" s="15"/>
      <c r="AC163" s="15"/>
      <c r="AD163" s="15"/>
      <c r="AJ163" s="14">
        <f t="shared" si="31"/>
        <v>18000</v>
      </c>
      <c r="AK163" s="14">
        <f t="shared" si="32"/>
        <v>4500</v>
      </c>
      <c r="AL163" s="19">
        <f t="shared" si="33"/>
        <v>0</v>
      </c>
      <c r="AM163" s="14">
        <f t="shared" si="35"/>
        <v>0</v>
      </c>
      <c r="AN163" s="19" t="str">
        <f t="array" ref="AN163">_xlfn.xlookup(C163,'SCC Certificate Review'!C:C,'SCC Certificate Review'!F:F)</f>
        <v/>
      </c>
    </row>
    <row r="164">
      <c r="A164" s="16">
        <v>163.0</v>
      </c>
      <c r="B164" s="6" t="s">
        <v>1617</v>
      </c>
      <c r="C164" s="6" t="s">
        <v>1618</v>
      </c>
      <c r="D164" s="6" t="s">
        <v>114</v>
      </c>
      <c r="E164" s="6" t="s">
        <v>114</v>
      </c>
      <c r="F164" s="6" t="s">
        <v>87</v>
      </c>
      <c r="I164" s="21">
        <v>46031.0</v>
      </c>
      <c r="J164" s="27"/>
      <c r="K164" s="6" t="s">
        <v>1615</v>
      </c>
      <c r="M164" s="6" t="s">
        <v>203</v>
      </c>
      <c r="N164" s="6" t="b">
        <v>0</v>
      </c>
      <c r="O164" s="6">
        <v>67.0</v>
      </c>
      <c r="P164" s="6">
        <v>67.0</v>
      </c>
      <c r="Q164" s="20">
        <f t="shared" si="36"/>
        <v>1</v>
      </c>
      <c r="R164" s="6" t="s">
        <v>3170</v>
      </c>
      <c r="S164" s="25">
        <v>10050.0</v>
      </c>
      <c r="T164" s="16" t="b">
        <f>COUNTIF(Parcels!A:A, A164) &gt; 0</f>
        <v>1</v>
      </c>
      <c r="U164" s="16" t="b">
        <f>MAXIFS(Parcels!AC:AC, Parcels!A:A, A164) &gt; 0</f>
        <v>0</v>
      </c>
      <c r="V164" s="17">
        <f>SUMIF(Parcels!A:A,
       A164,
       Parcels!Z:Z)</f>
        <v>0</v>
      </c>
      <c r="W164" s="17">
        <f>SUMIF(Parcels!$A:$A,
       $A164,
       Parcels!AC:AC)</f>
        <v>0</v>
      </c>
      <c r="X164" s="26">
        <f t="shared" si="6"/>
        <v>0</v>
      </c>
      <c r="Y164" s="26">
        <f t="shared" si="7"/>
        <v>0</v>
      </c>
      <c r="Z164" s="15" t="str">
        <f t="array" ref="Z164">_xlfn.XLOOKUP(
  A164,
  Parcels!A:A,
Parcels!AL:AL)</f>
        <v/>
      </c>
      <c r="AA164" s="26">
        <f t="shared" si="18"/>
        <v>0</v>
      </c>
      <c r="AB164" s="15"/>
      <c r="AC164" s="15"/>
      <c r="AD164" s="15"/>
      <c r="AJ164" s="14">
        <f t="shared" si="31"/>
        <v>40200</v>
      </c>
      <c r="AK164" s="14">
        <f t="shared" si="32"/>
        <v>10050</v>
      </c>
      <c r="AL164" s="19">
        <f t="shared" si="33"/>
        <v>0</v>
      </c>
      <c r="AM164" s="14">
        <f t="shared" si="35"/>
        <v>0</v>
      </c>
      <c r="AN164" s="19" t="str">
        <f t="array" ref="AN164">_xlfn.xlookup(C164,'SCC Certificate Review'!C:C,'SCC Certificate Review'!F:F)</f>
        <v/>
      </c>
    </row>
    <row r="165">
      <c r="A165" s="16">
        <v>164.0</v>
      </c>
      <c r="B165" s="6" t="s">
        <v>1624</v>
      </c>
      <c r="C165" s="6" t="s">
        <v>1625</v>
      </c>
      <c r="D165" s="6" t="s">
        <v>114</v>
      </c>
      <c r="E165" s="6" t="s">
        <v>114</v>
      </c>
      <c r="F165" s="6" t="s">
        <v>87</v>
      </c>
      <c r="I165" s="21">
        <v>46031.0</v>
      </c>
      <c r="J165" s="27"/>
      <c r="K165" s="6" t="s">
        <v>1615</v>
      </c>
      <c r="M165" s="6" t="s">
        <v>203</v>
      </c>
      <c r="N165" s="6" t="b">
        <v>0</v>
      </c>
      <c r="O165" s="6">
        <v>40.0</v>
      </c>
      <c r="P165" s="6">
        <v>40.0</v>
      </c>
      <c r="Q165" s="20">
        <f t="shared" si="36"/>
        <v>1</v>
      </c>
      <c r="R165" s="6" t="s">
        <v>3190</v>
      </c>
      <c r="S165" s="25">
        <v>6000.0</v>
      </c>
      <c r="T165" s="16" t="b">
        <f>COUNTIF(Parcels!A:A, A165) &gt; 0</f>
        <v>1</v>
      </c>
      <c r="U165" s="16" t="b">
        <f>MAXIFS(Parcels!AC:AC, Parcels!A:A, A165) &gt; 0</f>
        <v>0</v>
      </c>
      <c r="V165" s="17">
        <f>SUMIF(Parcels!A:A,
       A165,
       Parcels!Z:Z)</f>
        <v>0</v>
      </c>
      <c r="W165" s="17">
        <f>SUMIF(Parcels!$A:$A,
       $A165,
       Parcels!AC:AC)</f>
        <v>0</v>
      </c>
      <c r="X165" s="26">
        <f t="shared" si="6"/>
        <v>0</v>
      </c>
      <c r="Y165" s="26">
        <f t="shared" si="7"/>
        <v>0</v>
      </c>
      <c r="Z165" s="15" t="str">
        <f t="array" ref="Z165">_xlfn.XLOOKUP(
  A165,
  Parcels!A:A,
Parcels!AL:AL)</f>
        <v/>
      </c>
      <c r="AA165" s="26">
        <f t="shared" si="18"/>
        <v>0</v>
      </c>
      <c r="AB165" s="15"/>
      <c r="AC165" s="15"/>
      <c r="AD165" s="15"/>
      <c r="AJ165" s="14">
        <f t="shared" si="31"/>
        <v>24000</v>
      </c>
      <c r="AK165" s="14">
        <f t="shared" si="32"/>
        <v>6000</v>
      </c>
      <c r="AL165" s="19">
        <f t="shared" si="33"/>
        <v>0</v>
      </c>
      <c r="AM165" s="14">
        <f t="shared" si="35"/>
        <v>0</v>
      </c>
      <c r="AN165" s="19" t="str">
        <f t="array" ref="AN165">_xlfn.xlookup(C165,'SCC Certificate Review'!C:C,'SCC Certificate Review'!F:F)</f>
        <v/>
      </c>
    </row>
    <row r="166">
      <c r="A166" s="16">
        <v>165.0</v>
      </c>
      <c r="B166" s="6" t="s">
        <v>1710</v>
      </c>
      <c r="C166" s="6" t="s">
        <v>2166</v>
      </c>
      <c r="D166" s="6" t="s">
        <v>114</v>
      </c>
      <c r="E166" s="6" t="s">
        <v>114</v>
      </c>
      <c r="F166" s="6" t="s">
        <v>87</v>
      </c>
      <c r="I166" s="21">
        <v>46031.0</v>
      </c>
      <c r="J166" s="27"/>
      <c r="K166" s="6" t="s">
        <v>1615</v>
      </c>
      <c r="M166" s="6" t="s">
        <v>203</v>
      </c>
      <c r="N166" s="6" t="b">
        <v>0</v>
      </c>
      <c r="O166" s="6">
        <v>39.0</v>
      </c>
      <c r="P166" s="6">
        <v>39.0</v>
      </c>
      <c r="Q166" s="20">
        <f t="shared" si="36"/>
        <v>1</v>
      </c>
      <c r="R166" s="6" t="s">
        <v>1709</v>
      </c>
      <c r="S166" s="25">
        <v>5850.0</v>
      </c>
      <c r="T166" s="16" t="b">
        <f>COUNTIF(Parcels!A:A, A166) &gt; 0</f>
        <v>1</v>
      </c>
      <c r="U166" s="16" t="b">
        <f>MAXIFS(Parcels!AC:AC, Parcels!A:A, A166) &gt; 0</f>
        <v>0</v>
      </c>
      <c r="V166" s="17">
        <f>SUMIF(Parcels!A:A,
       A166,
       Parcels!Z:Z)</f>
        <v>0</v>
      </c>
      <c r="W166" s="17">
        <f>SUMIF(Parcels!$A:$A,
       $A166,
       Parcels!AC:AC)</f>
        <v>0</v>
      </c>
      <c r="X166" s="26">
        <f t="shared" si="6"/>
        <v>0</v>
      </c>
      <c r="Y166" s="26">
        <f t="shared" si="7"/>
        <v>0</v>
      </c>
      <c r="Z166" s="15" t="str">
        <f t="array" ref="Z166">_xlfn.XLOOKUP(
  A166,
  Parcels!A:A,
Parcels!AL:AL)</f>
        <v/>
      </c>
      <c r="AA166" s="26">
        <f t="shared" si="18"/>
        <v>0</v>
      </c>
      <c r="AB166" s="15"/>
      <c r="AC166" s="15"/>
      <c r="AD166" s="15"/>
      <c r="AJ166" s="14">
        <f t="shared" si="31"/>
        <v>23400</v>
      </c>
      <c r="AK166" s="14">
        <f t="shared" si="32"/>
        <v>5850</v>
      </c>
      <c r="AL166" s="19">
        <f t="shared" si="33"/>
        <v>0</v>
      </c>
      <c r="AM166" s="14">
        <f t="shared" si="35"/>
        <v>0</v>
      </c>
      <c r="AN166" s="19" t="str">
        <f t="array" ref="AN166">_xlfn.xlookup(C166,'SCC Certificate Review'!C:C,'SCC Certificate Review'!F:F)</f>
        <v/>
      </c>
    </row>
    <row r="167">
      <c r="A167" s="16">
        <v>166.0</v>
      </c>
      <c r="B167" s="6" t="s">
        <v>1626</v>
      </c>
      <c r="C167" s="6" t="s">
        <v>1627</v>
      </c>
      <c r="D167" s="6" t="s">
        <v>114</v>
      </c>
      <c r="E167" s="6" t="s">
        <v>114</v>
      </c>
      <c r="F167" s="6" t="s">
        <v>87</v>
      </c>
      <c r="I167" s="21">
        <v>46031.0</v>
      </c>
      <c r="J167" s="27"/>
      <c r="K167" s="6" t="s">
        <v>1615</v>
      </c>
      <c r="M167" s="6" t="s">
        <v>203</v>
      </c>
      <c r="N167" s="6" t="b">
        <v>0</v>
      </c>
      <c r="O167" s="6">
        <v>40.0</v>
      </c>
      <c r="P167" s="6">
        <v>40.0</v>
      </c>
      <c r="Q167" s="20">
        <f t="shared" si="36"/>
        <v>1</v>
      </c>
      <c r="R167" s="6" t="s">
        <v>3218</v>
      </c>
      <c r="S167" s="25">
        <v>6000.0</v>
      </c>
      <c r="T167" s="16" t="b">
        <f>COUNTIF(Parcels!A:A, A167) &gt; 0</f>
        <v>1</v>
      </c>
      <c r="U167" s="16" t="b">
        <f>MAXIFS(Parcels!AC:AC, Parcels!A:A, A167) &gt; 0</f>
        <v>0</v>
      </c>
      <c r="V167" s="17">
        <f>SUMIF(Parcels!A:A,
       A167,
       Parcels!Z:Z)</f>
        <v>0</v>
      </c>
      <c r="W167" s="17">
        <f>SUMIF(Parcels!$A:$A,
       $A167,
       Parcels!AC:AC)</f>
        <v>0</v>
      </c>
      <c r="X167" s="26">
        <f t="shared" si="6"/>
        <v>0</v>
      </c>
      <c r="Y167" s="26">
        <f t="shared" si="7"/>
        <v>0</v>
      </c>
      <c r="Z167" s="15" t="str">
        <f t="array" ref="Z167">_xlfn.XLOOKUP(
  A167,
  Parcels!A:A,
Parcels!AL:AL)</f>
        <v/>
      </c>
      <c r="AA167" s="26">
        <f t="shared" si="18"/>
        <v>0</v>
      </c>
      <c r="AB167" s="15"/>
      <c r="AC167" s="15"/>
      <c r="AD167" s="15"/>
      <c r="AJ167" s="14">
        <f t="shared" si="31"/>
        <v>24000</v>
      </c>
      <c r="AK167" s="14">
        <f t="shared" si="32"/>
        <v>6000</v>
      </c>
      <c r="AL167" s="19">
        <f t="shared" si="33"/>
        <v>0</v>
      </c>
      <c r="AM167" s="14">
        <f t="shared" si="35"/>
        <v>0</v>
      </c>
      <c r="AN167" s="19" t="str">
        <f t="array" ref="AN167">_xlfn.xlookup(C167,'SCC Certificate Review'!C:C,'SCC Certificate Review'!F:F)</f>
        <v/>
      </c>
    </row>
    <row r="168">
      <c r="A168" s="16">
        <v>167.0</v>
      </c>
      <c r="B168" s="6" t="s">
        <v>1631</v>
      </c>
      <c r="C168" s="6" t="s">
        <v>1633</v>
      </c>
      <c r="D168" s="6" t="s">
        <v>114</v>
      </c>
      <c r="E168" s="6" t="s">
        <v>114</v>
      </c>
      <c r="F168" s="6" t="s">
        <v>87</v>
      </c>
      <c r="I168" s="21">
        <v>46031.0</v>
      </c>
      <c r="J168" s="27"/>
      <c r="K168" s="6" t="s">
        <v>1615</v>
      </c>
      <c r="M168" s="6" t="s">
        <v>203</v>
      </c>
      <c r="N168" s="6" t="b">
        <v>0</v>
      </c>
      <c r="O168" s="6">
        <v>20.0</v>
      </c>
      <c r="P168" s="6">
        <v>20.0</v>
      </c>
      <c r="Q168" s="20">
        <f t="shared" si="36"/>
        <v>1</v>
      </c>
      <c r="R168" s="6" t="s">
        <v>3238</v>
      </c>
      <c r="S168" s="25">
        <v>3000.0</v>
      </c>
      <c r="T168" s="16" t="b">
        <f>COUNTIF(Parcels!A:A, A168) &gt; 0</f>
        <v>1</v>
      </c>
      <c r="U168" s="16" t="b">
        <f>MAXIFS(Parcels!AC:AC, Parcels!A:A, A168) &gt; 0</f>
        <v>0</v>
      </c>
      <c r="V168" s="17">
        <f>SUMIF(Parcels!A:A,
       A168,
       Parcels!Z:Z)</f>
        <v>0</v>
      </c>
      <c r="W168" s="17">
        <f>SUMIF(Parcels!$A:$A,
       $A168,
       Parcels!AC:AC)</f>
        <v>0</v>
      </c>
      <c r="X168" s="26">
        <f t="shared" si="6"/>
        <v>0</v>
      </c>
      <c r="Y168" s="26">
        <f t="shared" si="7"/>
        <v>0</v>
      </c>
      <c r="Z168" s="15" t="str">
        <f t="array" ref="Z168">_xlfn.XLOOKUP(
  A168,
  Parcels!A:A,
Parcels!AL:AL)</f>
        <v/>
      </c>
      <c r="AA168" s="26">
        <f t="shared" si="18"/>
        <v>0</v>
      </c>
      <c r="AB168" s="15"/>
      <c r="AC168" s="15"/>
      <c r="AD168" s="15"/>
      <c r="AJ168" s="14">
        <f t="shared" si="31"/>
        <v>12000</v>
      </c>
      <c r="AK168" s="14">
        <f t="shared" si="32"/>
        <v>4000</v>
      </c>
      <c r="AL168" s="19">
        <f t="shared" si="33"/>
        <v>0</v>
      </c>
      <c r="AM168" s="14">
        <f t="shared" si="35"/>
        <v>0</v>
      </c>
      <c r="AN168" s="19" t="str">
        <f t="array" ref="AN168">_xlfn.xlookup(C168,'SCC Certificate Review'!C:C,'SCC Certificate Review'!F:F)</f>
        <v/>
      </c>
    </row>
    <row r="169">
      <c r="A169" s="16">
        <v>168.0</v>
      </c>
      <c r="B169" s="6" t="s">
        <v>857</v>
      </c>
      <c r="C169" s="6" t="s">
        <v>2169</v>
      </c>
      <c r="D169" s="6" t="s">
        <v>114</v>
      </c>
      <c r="E169" s="6" t="s">
        <v>114</v>
      </c>
      <c r="F169" s="6" t="s">
        <v>87</v>
      </c>
      <c r="I169" s="21">
        <v>46031.0</v>
      </c>
      <c r="J169" s="27"/>
      <c r="K169" s="6" t="s">
        <v>1615</v>
      </c>
      <c r="M169" s="6" t="s">
        <v>203</v>
      </c>
      <c r="N169" s="6" t="b">
        <v>0</v>
      </c>
      <c r="O169" s="6">
        <v>48.0</v>
      </c>
      <c r="P169" s="6">
        <v>48.0</v>
      </c>
      <c r="Q169" s="20">
        <f t="shared" si="36"/>
        <v>1</v>
      </c>
      <c r="R169" s="6" t="s">
        <v>1731</v>
      </c>
      <c r="S169" s="25">
        <v>7200.0</v>
      </c>
      <c r="T169" s="16" t="b">
        <f>COUNTIF(Parcels!A:A, A169) &gt; 0</f>
        <v>1</v>
      </c>
      <c r="U169" s="16" t="b">
        <f>MAXIFS(Parcels!AC:AC, Parcels!A:A, A169) &gt; 0</f>
        <v>0</v>
      </c>
      <c r="V169" s="17">
        <f>SUMIF(Parcels!A:A,
       A169,
       Parcels!Z:Z)</f>
        <v>0</v>
      </c>
      <c r="W169" s="17">
        <f>SUMIF(Parcels!$A:$A,
       $A169,
       Parcels!AC:AC)</f>
        <v>0</v>
      </c>
      <c r="X169" s="26">
        <f t="shared" si="6"/>
        <v>0</v>
      </c>
      <c r="Y169" s="26">
        <f t="shared" si="7"/>
        <v>0</v>
      </c>
      <c r="Z169" s="15" t="str">
        <f t="array" ref="Z169">_xlfn.XLOOKUP(
  A169,
  Parcels!A:A,
Parcels!AL:AL)</f>
        <v/>
      </c>
      <c r="AA169" s="26">
        <f t="shared" si="18"/>
        <v>0</v>
      </c>
      <c r="AB169" s="15"/>
      <c r="AC169" s="15"/>
      <c r="AD169" s="15"/>
      <c r="AJ169" s="14">
        <f t="shared" si="31"/>
        <v>28800</v>
      </c>
      <c r="AK169" s="14">
        <f t="shared" si="32"/>
        <v>7200</v>
      </c>
      <c r="AL169" s="19">
        <f t="shared" si="33"/>
        <v>0</v>
      </c>
      <c r="AM169" s="14">
        <f t="shared" si="35"/>
        <v>0</v>
      </c>
      <c r="AN169" s="19" t="str">
        <f t="array" ref="AN169">_xlfn.xlookup(C169,'SCC Certificate Review'!C:C,'SCC Certificate Review'!F:F)</f>
        <v/>
      </c>
    </row>
    <row r="170">
      <c r="A170" s="16">
        <v>169.0</v>
      </c>
      <c r="B170" s="6" t="s">
        <v>1757</v>
      </c>
      <c r="C170" s="6" t="s">
        <v>2170</v>
      </c>
      <c r="D170" s="6" t="s">
        <v>114</v>
      </c>
      <c r="E170" s="6" t="s">
        <v>114</v>
      </c>
      <c r="F170" s="6" t="s">
        <v>87</v>
      </c>
      <c r="I170" s="21">
        <v>46031.0</v>
      </c>
      <c r="J170" s="27"/>
      <c r="K170" s="6" t="s">
        <v>1615</v>
      </c>
      <c r="M170" s="6" t="s">
        <v>203</v>
      </c>
      <c r="N170" s="6" t="b">
        <v>0</v>
      </c>
      <c r="O170" s="6">
        <v>18.0</v>
      </c>
      <c r="P170" s="6">
        <v>18.0</v>
      </c>
      <c r="Q170" s="20">
        <f t="shared" si="36"/>
        <v>1</v>
      </c>
      <c r="R170" s="6" t="s">
        <v>3275</v>
      </c>
      <c r="S170" s="25">
        <v>2700.0</v>
      </c>
      <c r="T170" s="16" t="b">
        <f>COUNTIF(Parcels!A:A, A170) &gt; 0</f>
        <v>1</v>
      </c>
      <c r="U170" s="16" t="b">
        <f>MAXIFS(Parcels!AC:AC, Parcels!A:A, A170) &gt; 0</f>
        <v>0</v>
      </c>
      <c r="V170" s="17">
        <f>SUMIF(Parcels!A:A,
       A170,
       Parcels!Z:Z)</f>
        <v>0</v>
      </c>
      <c r="W170" s="17">
        <f>SUMIF(Parcels!$A:$A,
       $A170,
       Parcels!AC:AC)</f>
        <v>0</v>
      </c>
      <c r="X170" s="26">
        <f t="shared" si="6"/>
        <v>0</v>
      </c>
      <c r="Y170" s="26">
        <f t="shared" si="7"/>
        <v>0</v>
      </c>
      <c r="Z170" s="15" t="str">
        <f t="array" ref="Z170">_xlfn.XLOOKUP(
  A170,
  Parcels!A:A,
Parcels!AL:AL)</f>
        <v/>
      </c>
      <c r="AA170" s="26">
        <f t="shared" si="18"/>
        <v>0</v>
      </c>
      <c r="AB170" s="15"/>
      <c r="AC170" s="15"/>
      <c r="AD170" s="15"/>
      <c r="AJ170" s="14">
        <f t="shared" si="31"/>
        <v>10800</v>
      </c>
      <c r="AK170" s="14">
        <f t="shared" si="32"/>
        <v>4000</v>
      </c>
      <c r="AL170" s="19">
        <f t="shared" si="33"/>
        <v>0</v>
      </c>
      <c r="AM170" s="14">
        <f t="shared" si="35"/>
        <v>0</v>
      </c>
      <c r="AN170" s="19" t="str">
        <f t="array" ref="AN170">_xlfn.xlookup(C170,'SCC Certificate Review'!C:C,'SCC Certificate Review'!F:F)</f>
        <v/>
      </c>
    </row>
    <row r="171">
      <c r="A171" s="16">
        <v>170.0</v>
      </c>
      <c r="B171" s="6" t="s">
        <v>2284</v>
      </c>
      <c r="C171" s="6" t="s">
        <v>2171</v>
      </c>
      <c r="D171" s="6" t="s">
        <v>114</v>
      </c>
      <c r="E171" s="6" t="s">
        <v>114</v>
      </c>
      <c r="F171" s="6" t="s">
        <v>87</v>
      </c>
      <c r="I171" s="21">
        <v>46031.0</v>
      </c>
      <c r="J171" s="27"/>
      <c r="K171" s="6" t="s">
        <v>1615</v>
      </c>
      <c r="M171" s="6" t="s">
        <v>203</v>
      </c>
      <c r="N171" s="6" t="b">
        <v>0</v>
      </c>
      <c r="O171" s="6">
        <v>45.0</v>
      </c>
      <c r="P171" s="6">
        <v>45.0</v>
      </c>
      <c r="Q171" s="20">
        <f t="shared" si="36"/>
        <v>1</v>
      </c>
      <c r="R171" s="6" t="s">
        <v>1764</v>
      </c>
      <c r="S171" s="25">
        <v>6750.0</v>
      </c>
      <c r="T171" s="16" t="b">
        <f>COUNTIF(Parcels!A:A, A171) &gt; 0</f>
        <v>1</v>
      </c>
      <c r="U171" s="16" t="b">
        <f>MAXIFS(Parcels!AC:AC, Parcels!A:A, A171) &gt; 0</f>
        <v>0</v>
      </c>
      <c r="V171" s="17">
        <f>SUMIF(Parcels!A:A,
       A171,
       Parcels!Z:Z)</f>
        <v>0</v>
      </c>
      <c r="W171" s="17">
        <f>SUMIF(Parcels!$A:$A,
       $A171,
       Parcels!AC:AC)</f>
        <v>0</v>
      </c>
      <c r="X171" s="26">
        <f t="shared" si="6"/>
        <v>0</v>
      </c>
      <c r="Y171" s="26">
        <f t="shared" si="7"/>
        <v>0</v>
      </c>
      <c r="Z171" s="15" t="str">
        <f t="array" ref="Z171">_xlfn.XLOOKUP(
  A171,
  Parcels!A:A,
Parcels!AL:AL)</f>
        <v/>
      </c>
      <c r="AA171" s="26">
        <f t="shared" si="18"/>
        <v>0</v>
      </c>
      <c r="AB171" s="15"/>
      <c r="AC171" s="15"/>
      <c r="AD171" s="15"/>
      <c r="AJ171" s="14">
        <f t="shared" si="31"/>
        <v>27000</v>
      </c>
      <c r="AK171" s="14">
        <f t="shared" si="32"/>
        <v>6750</v>
      </c>
      <c r="AL171" s="19">
        <f t="shared" si="33"/>
        <v>0</v>
      </c>
      <c r="AM171" s="14">
        <f t="shared" si="35"/>
        <v>0</v>
      </c>
      <c r="AN171" s="19" t="str">
        <f t="array" ref="AN171">_xlfn.xlookup(C171,'SCC Certificate Review'!C:C,'SCC Certificate Review'!F:F)</f>
        <v/>
      </c>
    </row>
    <row r="172">
      <c r="A172" s="16">
        <v>171.0</v>
      </c>
      <c r="B172" s="6" t="s">
        <v>1634</v>
      </c>
      <c r="C172" s="6" t="s">
        <v>1635</v>
      </c>
      <c r="D172" s="6" t="s">
        <v>114</v>
      </c>
      <c r="E172" s="6" t="s">
        <v>114</v>
      </c>
      <c r="F172" s="6" t="s">
        <v>87</v>
      </c>
      <c r="I172" s="21">
        <v>46031.0</v>
      </c>
      <c r="J172" s="27"/>
      <c r="K172" s="6" t="s">
        <v>1615</v>
      </c>
      <c r="M172" s="6" t="s">
        <v>203</v>
      </c>
      <c r="N172" s="6" t="b">
        <v>0</v>
      </c>
      <c r="O172" s="6">
        <v>42.0</v>
      </c>
      <c r="P172" s="6">
        <v>42.0</v>
      </c>
      <c r="Q172" s="20">
        <f t="shared" si="36"/>
        <v>1</v>
      </c>
      <c r="R172" s="6" t="s">
        <v>3305</v>
      </c>
      <c r="S172" s="25">
        <v>6300.0</v>
      </c>
      <c r="T172" s="16" t="b">
        <f>COUNTIF(Parcels!A:A, A172) &gt; 0</f>
        <v>1</v>
      </c>
      <c r="U172" s="16" t="b">
        <f>MAXIFS(Parcels!AC:AC, Parcels!A:A, A172) &gt; 0</f>
        <v>0</v>
      </c>
      <c r="V172" s="17">
        <f>SUMIF(Parcels!A:A,
       A172,
       Parcels!Z:Z)</f>
        <v>0</v>
      </c>
      <c r="W172" s="17">
        <f>SUMIF(Parcels!$A:$A,
       $A172,
       Parcels!AC:AC)</f>
        <v>0</v>
      </c>
      <c r="X172" s="26">
        <f t="shared" si="6"/>
        <v>0</v>
      </c>
      <c r="Y172" s="26">
        <f t="shared" si="7"/>
        <v>0</v>
      </c>
      <c r="Z172" s="15" t="str">
        <f t="array" ref="Z172">_xlfn.XLOOKUP(
  A172,
  Parcels!A:A,
Parcels!AL:AL)</f>
        <v/>
      </c>
      <c r="AA172" s="26">
        <f t="shared" si="18"/>
        <v>0</v>
      </c>
      <c r="AB172" s="15"/>
      <c r="AC172" s="15"/>
      <c r="AD172" s="15"/>
      <c r="AJ172" s="14">
        <f t="shared" si="31"/>
        <v>25200</v>
      </c>
      <c r="AK172" s="14">
        <f t="shared" si="32"/>
        <v>6300</v>
      </c>
      <c r="AL172" s="19">
        <f t="shared" si="33"/>
        <v>0</v>
      </c>
      <c r="AM172" s="14">
        <f t="shared" si="35"/>
        <v>0</v>
      </c>
      <c r="AN172" s="19" t="str">
        <f t="array" ref="AN172">_xlfn.xlookup(C172,'SCC Certificate Review'!C:C,'SCC Certificate Review'!F:F)</f>
        <v/>
      </c>
    </row>
    <row r="173">
      <c r="A173" s="16">
        <v>172.0</v>
      </c>
      <c r="B173" s="6" t="s">
        <v>1636</v>
      </c>
      <c r="C173" s="6" t="s">
        <v>1637</v>
      </c>
      <c r="D173" s="6" t="s">
        <v>114</v>
      </c>
      <c r="E173" s="6" t="s">
        <v>114</v>
      </c>
      <c r="F173" s="6" t="s">
        <v>87</v>
      </c>
      <c r="I173" s="21">
        <v>46031.0</v>
      </c>
      <c r="J173" s="27"/>
      <c r="K173" s="6" t="s">
        <v>1615</v>
      </c>
      <c r="M173" s="6" t="s">
        <v>203</v>
      </c>
      <c r="N173" s="6" t="b">
        <v>0</v>
      </c>
      <c r="O173" s="6">
        <v>106.0</v>
      </c>
      <c r="P173" s="6">
        <v>106.0</v>
      </c>
      <c r="Q173" s="20">
        <f t="shared" si="36"/>
        <v>1</v>
      </c>
      <c r="R173" s="6" t="s">
        <v>3318</v>
      </c>
      <c r="S173" s="25">
        <v>15900.0</v>
      </c>
      <c r="T173" s="16" t="b">
        <f>COUNTIF(Parcels!A:A, A173) &gt; 0</f>
        <v>1</v>
      </c>
      <c r="U173" s="16" t="b">
        <f>MAXIFS(Parcels!AC:AC, Parcels!A:A, A173) &gt; 0</f>
        <v>0</v>
      </c>
      <c r="V173" s="17">
        <f>SUMIF(Parcels!A:A,
       A173,
       Parcels!Z:Z)</f>
        <v>0</v>
      </c>
      <c r="W173" s="17">
        <f>SUMIF(Parcels!$A:$A,
       $A173,
       Parcels!AC:AC)</f>
        <v>0</v>
      </c>
      <c r="X173" s="26">
        <f t="shared" si="6"/>
        <v>0</v>
      </c>
      <c r="Y173" s="26">
        <f t="shared" si="7"/>
        <v>0</v>
      </c>
      <c r="Z173" s="15" t="str">
        <f t="array" ref="Z173">_xlfn.XLOOKUP(
  A173,
  Parcels!A:A,
Parcels!AL:AL)</f>
        <v/>
      </c>
      <c r="AA173" s="26">
        <f t="shared" si="18"/>
        <v>0</v>
      </c>
      <c r="AB173" s="15"/>
      <c r="AC173" s="15"/>
      <c r="AD173" s="15"/>
      <c r="AJ173" s="14">
        <f t="shared" si="31"/>
        <v>63600</v>
      </c>
      <c r="AK173" s="14">
        <f t="shared" si="32"/>
        <v>15900</v>
      </c>
      <c r="AL173" s="19">
        <f t="shared" si="33"/>
        <v>0</v>
      </c>
      <c r="AM173" s="14">
        <f t="shared" si="35"/>
        <v>0</v>
      </c>
      <c r="AN173" s="19" t="str">
        <f t="array" ref="AN173">_xlfn.xlookup(C173,'SCC Certificate Review'!C:C,'SCC Certificate Review'!F:F)</f>
        <v/>
      </c>
    </row>
    <row r="174">
      <c r="A174" s="16">
        <v>173.0</v>
      </c>
      <c r="B174" s="6" t="s">
        <v>1772</v>
      </c>
      <c r="C174" s="6" t="s">
        <v>2174</v>
      </c>
      <c r="D174" s="6" t="s">
        <v>114</v>
      </c>
      <c r="E174" s="6" t="s">
        <v>114</v>
      </c>
      <c r="F174" s="6" t="s">
        <v>87</v>
      </c>
      <c r="I174" s="21">
        <v>46031.0</v>
      </c>
      <c r="J174" s="27"/>
      <c r="K174" s="6" t="s">
        <v>1615</v>
      </c>
      <c r="M174" s="6" t="s">
        <v>203</v>
      </c>
      <c r="N174" s="6" t="b">
        <v>0</v>
      </c>
      <c r="O174" s="6">
        <v>40.0</v>
      </c>
      <c r="P174" s="6">
        <v>40.0</v>
      </c>
      <c r="Q174" s="20">
        <f t="shared" si="36"/>
        <v>1</v>
      </c>
      <c r="R174" s="6" t="s">
        <v>1771</v>
      </c>
      <c r="S174" s="25">
        <v>6000.0</v>
      </c>
      <c r="T174" s="16" t="b">
        <f>COUNTIF(Parcels!A:A, A174) &gt; 0</f>
        <v>1</v>
      </c>
      <c r="U174" s="16" t="b">
        <f>MAXIFS(Parcels!AC:AC, Parcels!A:A, A174) &gt; 0</f>
        <v>0</v>
      </c>
      <c r="V174" s="17">
        <f>SUMIF(Parcels!A:A,
       A174,
       Parcels!Z:Z)</f>
        <v>0</v>
      </c>
      <c r="W174" s="17">
        <f>SUMIF(Parcels!$A:$A,
       $A174,
       Parcels!AC:AC)</f>
        <v>0</v>
      </c>
      <c r="X174" s="26">
        <f t="shared" si="6"/>
        <v>0</v>
      </c>
      <c r="Y174" s="26">
        <f t="shared" si="7"/>
        <v>0</v>
      </c>
      <c r="Z174" s="15" t="str">
        <f t="array" ref="Z174">_xlfn.XLOOKUP(
  A174,
  Parcels!A:A,
Parcels!AL:AL)</f>
        <v/>
      </c>
      <c r="AA174" s="26">
        <f t="shared" si="18"/>
        <v>0</v>
      </c>
      <c r="AB174" s="15"/>
      <c r="AC174" s="15"/>
      <c r="AD174" s="15"/>
      <c r="AJ174" s="14">
        <f t="shared" si="31"/>
        <v>24000</v>
      </c>
      <c r="AK174" s="14">
        <f t="shared" si="32"/>
        <v>6000</v>
      </c>
      <c r="AL174" s="19">
        <f t="shared" si="33"/>
        <v>0</v>
      </c>
      <c r="AM174" s="14">
        <f t="shared" si="35"/>
        <v>0</v>
      </c>
      <c r="AN174" s="19" t="str">
        <f t="array" ref="AN174">_xlfn.xlookup(C174,'SCC Certificate Review'!C:C,'SCC Certificate Review'!F:F)</f>
        <v/>
      </c>
    </row>
    <row r="175">
      <c r="A175" s="16">
        <v>174.0</v>
      </c>
      <c r="B175" s="6" t="s">
        <v>1779</v>
      </c>
      <c r="C175" s="6" t="s">
        <v>2175</v>
      </c>
      <c r="D175" s="6" t="s">
        <v>114</v>
      </c>
      <c r="E175" s="6" t="s">
        <v>114</v>
      </c>
      <c r="F175" s="6" t="s">
        <v>87</v>
      </c>
      <c r="I175" s="21">
        <v>46031.0</v>
      </c>
      <c r="J175" s="27"/>
      <c r="K175" s="6" t="s">
        <v>1615</v>
      </c>
      <c r="M175" s="6" t="s">
        <v>203</v>
      </c>
      <c r="N175" s="6" t="b">
        <v>0</v>
      </c>
      <c r="O175" s="6">
        <v>23.0</v>
      </c>
      <c r="P175" s="6">
        <v>23.0</v>
      </c>
      <c r="Q175" s="20">
        <f t="shared" si="36"/>
        <v>1</v>
      </c>
      <c r="R175" s="6" t="s">
        <v>1778</v>
      </c>
      <c r="S175" s="25">
        <v>3450.0</v>
      </c>
      <c r="T175" s="16" t="b">
        <f>COUNTIF(Parcels!A:A, A175) &gt; 0</f>
        <v>1</v>
      </c>
      <c r="U175" s="16" t="b">
        <f>MAXIFS(Parcels!AC:AC, Parcels!A:A, A175) &gt; 0</f>
        <v>0</v>
      </c>
      <c r="V175" s="17">
        <f>SUMIF(Parcels!A:A,
       A175,
       Parcels!Z:Z)</f>
        <v>0</v>
      </c>
      <c r="W175" s="17">
        <f>SUMIF(Parcels!$A:$A,
       $A175,
       Parcels!AC:AC)</f>
        <v>0</v>
      </c>
      <c r="X175" s="26">
        <f t="shared" si="6"/>
        <v>0</v>
      </c>
      <c r="Y175" s="26">
        <f t="shared" si="7"/>
        <v>0</v>
      </c>
      <c r="Z175" s="15" t="str">
        <f t="array" ref="Z175">_xlfn.XLOOKUP(
  A175,
  Parcels!A:A,
Parcels!AL:AL)</f>
        <v/>
      </c>
      <c r="AA175" s="26">
        <f t="shared" si="18"/>
        <v>0</v>
      </c>
      <c r="AB175" s="15"/>
      <c r="AC175" s="15"/>
      <c r="AD175" s="15"/>
      <c r="AJ175" s="14">
        <f t="shared" si="31"/>
        <v>13800</v>
      </c>
      <c r="AK175" s="14">
        <f t="shared" si="32"/>
        <v>4000</v>
      </c>
      <c r="AL175" s="19">
        <f t="shared" si="33"/>
        <v>0</v>
      </c>
      <c r="AM175" s="14">
        <f t="shared" si="35"/>
        <v>0</v>
      </c>
      <c r="AN175" s="19" t="str">
        <f t="array" ref="AN175">_xlfn.xlookup(C175,'SCC Certificate Review'!C:C,'SCC Certificate Review'!F:F)</f>
        <v/>
      </c>
    </row>
    <row r="176">
      <c r="A176" s="16">
        <v>175.0</v>
      </c>
      <c r="B176" s="6" t="s">
        <v>1788</v>
      </c>
      <c r="C176" s="6" t="s">
        <v>2177</v>
      </c>
      <c r="D176" s="6" t="s">
        <v>114</v>
      </c>
      <c r="E176" s="6" t="s">
        <v>114</v>
      </c>
      <c r="F176" s="6" t="s">
        <v>87</v>
      </c>
      <c r="I176" s="21">
        <v>46031.0</v>
      </c>
      <c r="J176" s="27"/>
      <c r="K176" s="6" t="s">
        <v>1615</v>
      </c>
      <c r="M176" s="6" t="s">
        <v>203</v>
      </c>
      <c r="N176" s="6" t="b">
        <v>0</v>
      </c>
      <c r="O176" s="6">
        <v>48.0</v>
      </c>
      <c r="P176" s="6">
        <v>48.0</v>
      </c>
      <c r="Q176" s="20">
        <f t="shared" si="36"/>
        <v>1</v>
      </c>
      <c r="R176" s="6" t="s">
        <v>1787</v>
      </c>
      <c r="S176" s="25">
        <v>7200.0</v>
      </c>
      <c r="T176" s="16" t="b">
        <f>COUNTIF(Parcels!A:A, A176) &gt; 0</f>
        <v>1</v>
      </c>
      <c r="U176" s="16" t="b">
        <f>MAXIFS(Parcels!AC:AC, Parcels!A:A, A176) &gt; 0</f>
        <v>0</v>
      </c>
      <c r="V176" s="17">
        <f>SUMIF(Parcels!A:A,
       A176,
       Parcels!Z:Z)</f>
        <v>0</v>
      </c>
      <c r="W176" s="17">
        <f>SUMIF(Parcels!$A:$A,
       $A176,
       Parcels!AC:AC)</f>
        <v>0</v>
      </c>
      <c r="X176" s="26">
        <f t="shared" si="6"/>
        <v>0</v>
      </c>
      <c r="Y176" s="26">
        <f t="shared" si="7"/>
        <v>0</v>
      </c>
      <c r="Z176" s="15" t="str">
        <f t="array" ref="Z176">_xlfn.XLOOKUP(
  A176,
  Parcels!A:A,
Parcels!AL:AL)</f>
        <v/>
      </c>
      <c r="AA176" s="26">
        <f t="shared" si="18"/>
        <v>0</v>
      </c>
      <c r="AB176" s="15"/>
      <c r="AC176" s="15"/>
      <c r="AD176" s="15"/>
      <c r="AJ176" s="14">
        <f t="shared" si="31"/>
        <v>28800</v>
      </c>
      <c r="AK176" s="14">
        <f t="shared" si="32"/>
        <v>7200</v>
      </c>
      <c r="AL176" s="19">
        <f t="shared" si="33"/>
        <v>0</v>
      </c>
      <c r="AM176" s="14">
        <f t="shared" si="35"/>
        <v>0</v>
      </c>
      <c r="AN176" s="19" t="str">
        <f t="array" ref="AN176">_xlfn.xlookup(C176,'SCC Certificate Review'!C:C,'SCC Certificate Review'!F:F)</f>
        <v/>
      </c>
    </row>
    <row r="177">
      <c r="A177" s="16">
        <v>176.0</v>
      </c>
      <c r="B177" s="6" t="s">
        <v>2287</v>
      </c>
      <c r="C177" s="6" t="s">
        <v>2288</v>
      </c>
      <c r="D177" s="6" t="s">
        <v>114</v>
      </c>
      <c r="E177" s="6" t="s">
        <v>114</v>
      </c>
      <c r="F177" s="6" t="s">
        <v>87</v>
      </c>
      <c r="I177" s="21">
        <v>46031.0</v>
      </c>
      <c r="J177" s="27"/>
      <c r="K177" s="6" t="s">
        <v>1615</v>
      </c>
      <c r="M177" s="6" t="s">
        <v>203</v>
      </c>
      <c r="N177" s="6" t="b">
        <v>0</v>
      </c>
      <c r="O177" s="6">
        <v>31.0</v>
      </c>
      <c r="P177" s="6">
        <v>31.0</v>
      </c>
      <c r="Q177" s="20">
        <f t="shared" si="36"/>
        <v>1</v>
      </c>
      <c r="R177" s="6" t="s">
        <v>3361</v>
      </c>
      <c r="S177" s="25">
        <v>4650.0</v>
      </c>
      <c r="T177" s="16" t="b">
        <f>COUNTIF(Parcels!A:A, A177) &gt; 0</f>
        <v>1</v>
      </c>
      <c r="U177" s="16" t="b">
        <f>MAXIFS(Parcels!AC:AC, Parcels!A:A, A177) &gt; 0</f>
        <v>0</v>
      </c>
      <c r="V177" s="17">
        <f>SUMIF(Parcels!A:A,
       A177,
       Parcels!Z:Z)</f>
        <v>0</v>
      </c>
      <c r="W177" s="17">
        <f>SUMIF(Parcels!$A:$A,
       $A177,
       Parcels!AC:AC)</f>
        <v>0</v>
      </c>
      <c r="X177" s="26">
        <f t="shared" si="6"/>
        <v>0</v>
      </c>
      <c r="Y177" s="26">
        <f t="shared" si="7"/>
        <v>0</v>
      </c>
      <c r="Z177" s="15" t="str">
        <f t="array" ref="Z177">_xlfn.XLOOKUP(
  A177,
  Parcels!A:A,
Parcels!AL:AL)</f>
        <v/>
      </c>
      <c r="AA177" s="26">
        <f t="shared" si="18"/>
        <v>0</v>
      </c>
      <c r="AB177" s="15"/>
      <c r="AC177" s="15"/>
      <c r="AD177" s="15"/>
      <c r="AJ177" s="14">
        <f t="shared" si="31"/>
        <v>18600</v>
      </c>
      <c r="AK177" s="14">
        <f t="shared" si="32"/>
        <v>4650</v>
      </c>
      <c r="AL177" s="19">
        <f t="shared" si="33"/>
        <v>0</v>
      </c>
      <c r="AM177" s="14">
        <f t="shared" si="35"/>
        <v>0</v>
      </c>
      <c r="AN177" s="19" t="str">
        <f t="array" ref="AN177">_xlfn.xlookup(C177,'SCC Certificate Review'!C:C,'SCC Certificate Review'!F:F)</f>
        <v/>
      </c>
    </row>
    <row r="178">
      <c r="A178" s="16">
        <v>177.0</v>
      </c>
      <c r="B178" s="6" t="s">
        <v>1794</v>
      </c>
      <c r="C178" s="6" t="s">
        <v>2179</v>
      </c>
      <c r="D178" s="6" t="s">
        <v>114</v>
      </c>
      <c r="E178" s="6" t="s">
        <v>114</v>
      </c>
      <c r="F178" s="6" t="s">
        <v>87</v>
      </c>
      <c r="I178" s="21">
        <v>46031.0</v>
      </c>
      <c r="J178" s="27"/>
      <c r="K178" s="6" t="s">
        <v>1615</v>
      </c>
      <c r="M178" s="6" t="s">
        <v>203</v>
      </c>
      <c r="N178" s="6" t="b">
        <v>0</v>
      </c>
      <c r="O178" s="6">
        <v>32.0</v>
      </c>
      <c r="P178" s="6">
        <v>32.0</v>
      </c>
      <c r="Q178" s="20">
        <f t="shared" si="36"/>
        <v>1</v>
      </c>
      <c r="R178" s="6" t="s">
        <v>3366</v>
      </c>
      <c r="S178" s="25">
        <v>4800.0</v>
      </c>
      <c r="T178" s="16" t="b">
        <f>COUNTIF(Parcels!A:A, A178) &gt; 0</f>
        <v>1</v>
      </c>
      <c r="U178" s="16" t="b">
        <f>MAXIFS(Parcels!AC:AC, Parcels!A:A, A178) &gt; 0</f>
        <v>0</v>
      </c>
      <c r="V178" s="17">
        <f>SUMIF(Parcels!A:A,
       A178,
       Parcels!Z:Z)</f>
        <v>0</v>
      </c>
      <c r="W178" s="17">
        <f>SUMIF(Parcels!$A:$A,
       $A178,
       Parcels!AC:AC)</f>
        <v>0</v>
      </c>
      <c r="X178" s="26">
        <f t="shared" si="6"/>
        <v>0</v>
      </c>
      <c r="Y178" s="26">
        <f t="shared" si="7"/>
        <v>0</v>
      </c>
      <c r="Z178" s="15" t="str">
        <f t="array" ref="Z178">_xlfn.XLOOKUP(
  A178,
  Parcels!A:A,
Parcels!AL:AL)</f>
        <v/>
      </c>
      <c r="AA178" s="26">
        <f t="shared" si="18"/>
        <v>0</v>
      </c>
      <c r="AB178" s="15"/>
      <c r="AC178" s="15"/>
      <c r="AD178" s="15"/>
      <c r="AJ178" s="14">
        <f t="shared" si="31"/>
        <v>19200</v>
      </c>
      <c r="AK178" s="14">
        <f t="shared" si="32"/>
        <v>4800</v>
      </c>
      <c r="AL178" s="19">
        <f t="shared" si="33"/>
        <v>0</v>
      </c>
      <c r="AM178" s="14">
        <f t="shared" si="35"/>
        <v>0</v>
      </c>
      <c r="AN178" s="19" t="str">
        <f t="array" ref="AN178">_xlfn.xlookup(C178,'SCC Certificate Review'!C:C,'SCC Certificate Review'!F:F)</f>
        <v/>
      </c>
    </row>
    <row r="179">
      <c r="A179" s="16">
        <v>178.0</v>
      </c>
      <c r="B179" s="6" t="s">
        <v>2293</v>
      </c>
      <c r="C179" s="6" t="s">
        <v>2294</v>
      </c>
      <c r="D179" s="6" t="s">
        <v>114</v>
      </c>
      <c r="E179" s="6" t="s">
        <v>114</v>
      </c>
      <c r="F179" s="6" t="s">
        <v>87</v>
      </c>
      <c r="I179" s="21">
        <v>46031.0</v>
      </c>
      <c r="J179" s="27"/>
      <c r="K179" s="6" t="s">
        <v>1615</v>
      </c>
      <c r="M179" s="6" t="s">
        <v>203</v>
      </c>
      <c r="N179" s="6" t="b">
        <v>0</v>
      </c>
      <c r="O179" s="6">
        <v>40.0</v>
      </c>
      <c r="P179" s="6">
        <v>40.0</v>
      </c>
      <c r="Q179" s="20">
        <f t="shared" si="36"/>
        <v>1</v>
      </c>
      <c r="R179" s="6" t="s">
        <v>3373</v>
      </c>
      <c r="S179" s="25">
        <v>6000.0</v>
      </c>
      <c r="T179" s="16" t="b">
        <f>COUNTIF(Parcels!A:A, A179) &gt; 0</f>
        <v>1</v>
      </c>
      <c r="U179" s="16" t="b">
        <f>MAXIFS(Parcels!AC:AC, Parcels!A:A, A179) &gt; 0</f>
        <v>0</v>
      </c>
      <c r="V179" s="17">
        <f>SUMIF(Parcels!A:A,
       A179,
       Parcels!Z:Z)</f>
        <v>0</v>
      </c>
      <c r="W179" s="17">
        <f>SUMIF(Parcels!$A:$A,
       $A179,
       Parcels!AC:AC)</f>
        <v>0</v>
      </c>
      <c r="X179" s="26">
        <f t="shared" si="6"/>
        <v>0</v>
      </c>
      <c r="Y179" s="26">
        <f t="shared" si="7"/>
        <v>0</v>
      </c>
      <c r="Z179" s="15" t="str">
        <f t="array" ref="Z179">_xlfn.XLOOKUP(
  A179,
  Parcels!A:A,
Parcels!AL:AL)</f>
        <v/>
      </c>
      <c r="AA179" s="26">
        <f t="shared" si="18"/>
        <v>0</v>
      </c>
      <c r="AB179" s="15"/>
      <c r="AC179" s="15"/>
      <c r="AD179" s="15"/>
      <c r="AJ179" s="14">
        <f t="shared" si="31"/>
        <v>24000</v>
      </c>
      <c r="AK179" s="14">
        <f t="shared" si="32"/>
        <v>6000</v>
      </c>
      <c r="AL179" s="19">
        <f t="shared" si="33"/>
        <v>0</v>
      </c>
      <c r="AM179" s="14">
        <f t="shared" si="35"/>
        <v>0</v>
      </c>
      <c r="AN179" s="19" t="str">
        <f t="array" ref="AN179">_xlfn.xlookup(C179,'SCC Certificate Review'!C:C,'SCC Certificate Review'!F:F)</f>
        <v/>
      </c>
    </row>
    <row r="180">
      <c r="A180" s="16">
        <v>179.0</v>
      </c>
      <c r="B180" s="6" t="s">
        <v>1802</v>
      </c>
      <c r="C180" s="6" t="s">
        <v>2180</v>
      </c>
      <c r="D180" s="6" t="s">
        <v>114</v>
      </c>
      <c r="E180" s="6" t="s">
        <v>114</v>
      </c>
      <c r="F180" s="6" t="s">
        <v>87</v>
      </c>
      <c r="I180" s="21">
        <v>46031.0</v>
      </c>
      <c r="J180" s="27"/>
      <c r="K180" s="6" t="s">
        <v>1615</v>
      </c>
      <c r="M180" s="6" t="s">
        <v>203</v>
      </c>
      <c r="N180" s="6" t="b">
        <v>0</v>
      </c>
      <c r="O180" s="6">
        <v>76.0</v>
      </c>
      <c r="P180" s="6">
        <v>76.0</v>
      </c>
      <c r="Q180" s="20">
        <f t="shared" si="36"/>
        <v>1</v>
      </c>
      <c r="R180" s="6" t="s">
        <v>1801</v>
      </c>
      <c r="S180" s="25">
        <v>11400.0</v>
      </c>
      <c r="T180" s="16" t="b">
        <f>COUNTIF(Parcels!A:A, A180) &gt; 0</f>
        <v>1</v>
      </c>
      <c r="U180" s="16" t="b">
        <f>MAXIFS(Parcels!AC:AC, Parcels!A:A, A180) &gt; 0</f>
        <v>0</v>
      </c>
      <c r="V180" s="17">
        <f>SUMIF(Parcels!A:A,
       A180,
       Parcels!Z:Z)</f>
        <v>0</v>
      </c>
      <c r="W180" s="17">
        <f>SUMIF(Parcels!$A:$A,
       $A180,
       Parcels!AC:AC)</f>
        <v>0</v>
      </c>
      <c r="X180" s="26">
        <f t="shared" si="6"/>
        <v>0</v>
      </c>
      <c r="Y180" s="26">
        <f t="shared" si="7"/>
        <v>0</v>
      </c>
      <c r="Z180" s="15" t="str">
        <f t="array" ref="Z180">_xlfn.XLOOKUP(
  A180,
  Parcels!A:A,
Parcels!AL:AL)</f>
        <v/>
      </c>
      <c r="AA180" s="26">
        <f t="shared" si="18"/>
        <v>0</v>
      </c>
      <c r="AB180" s="15"/>
      <c r="AC180" s="15"/>
      <c r="AD180" s="15"/>
      <c r="AJ180" s="14">
        <f t="shared" si="31"/>
        <v>45600</v>
      </c>
      <c r="AK180" s="14">
        <f t="shared" si="32"/>
        <v>11400</v>
      </c>
      <c r="AL180" s="19">
        <f t="shared" si="33"/>
        <v>0</v>
      </c>
      <c r="AM180" s="14">
        <f t="shared" si="35"/>
        <v>0</v>
      </c>
      <c r="AN180" s="19" t="str">
        <f t="array" ref="AN180">_xlfn.xlookup(C180,'SCC Certificate Review'!C:C,'SCC Certificate Review'!F:F)</f>
        <v/>
      </c>
    </row>
    <row r="181">
      <c r="A181" s="16">
        <v>180.0</v>
      </c>
      <c r="B181" s="6" t="s">
        <v>2298</v>
      </c>
      <c r="C181" s="6" t="s">
        <v>2299</v>
      </c>
      <c r="D181" s="6" t="s">
        <v>114</v>
      </c>
      <c r="E181" s="6" t="s">
        <v>114</v>
      </c>
      <c r="F181" s="6" t="s">
        <v>87</v>
      </c>
      <c r="I181" s="21">
        <v>46031.0</v>
      </c>
      <c r="J181" s="27"/>
      <c r="K181" s="6" t="s">
        <v>1615</v>
      </c>
      <c r="M181" s="6" t="s">
        <v>203</v>
      </c>
      <c r="N181" s="6" t="b">
        <v>0</v>
      </c>
      <c r="O181" s="6">
        <v>20.0</v>
      </c>
      <c r="P181" s="6">
        <v>20.0</v>
      </c>
      <c r="Q181" s="20">
        <f t="shared" si="36"/>
        <v>1</v>
      </c>
      <c r="R181" s="6" t="s">
        <v>3378</v>
      </c>
      <c r="S181" s="25">
        <v>3000.0</v>
      </c>
      <c r="T181" s="16" t="b">
        <f>COUNTIF(Parcels!A:A, A181) &gt; 0</f>
        <v>1</v>
      </c>
      <c r="U181" s="16" t="b">
        <f>MAXIFS(Parcels!AC:AC, Parcels!A:A, A181) &gt; 0</f>
        <v>0</v>
      </c>
      <c r="V181" s="17">
        <f>SUMIF(Parcels!A:A,
       A181,
       Parcels!Z:Z)</f>
        <v>0</v>
      </c>
      <c r="W181" s="17">
        <f>SUMIF(Parcels!$A:$A,
       $A181,
       Parcels!AC:AC)</f>
        <v>0</v>
      </c>
      <c r="X181" s="26">
        <f t="shared" si="6"/>
        <v>0</v>
      </c>
      <c r="Y181" s="26">
        <f t="shared" si="7"/>
        <v>0</v>
      </c>
      <c r="Z181" s="15" t="str">
        <f t="array" ref="Z181">_xlfn.XLOOKUP(
  A181,
  Parcels!A:A,
Parcels!AL:AL)</f>
        <v/>
      </c>
      <c r="AA181" s="26">
        <f t="shared" si="18"/>
        <v>0</v>
      </c>
      <c r="AB181" s="15"/>
      <c r="AC181" s="15"/>
      <c r="AD181" s="15"/>
      <c r="AJ181" s="14">
        <f t="shared" si="31"/>
        <v>12000</v>
      </c>
      <c r="AK181" s="14">
        <f t="shared" si="32"/>
        <v>4000</v>
      </c>
      <c r="AL181" s="19">
        <f t="shared" si="33"/>
        <v>0</v>
      </c>
      <c r="AM181" s="14">
        <f t="shared" si="35"/>
        <v>0</v>
      </c>
      <c r="AN181" s="19" t="str">
        <f t="array" ref="AN181">_xlfn.xlookup(C181,'SCC Certificate Review'!C:C,'SCC Certificate Review'!F:F)</f>
        <v/>
      </c>
    </row>
    <row r="182">
      <c r="A182" s="16">
        <v>191.0</v>
      </c>
      <c r="B182" s="6" t="s">
        <v>2303</v>
      </c>
      <c r="C182" s="6" t="s">
        <v>2304</v>
      </c>
      <c r="D182" s="6" t="s">
        <v>149</v>
      </c>
      <c r="E182" s="6" t="s">
        <v>129</v>
      </c>
      <c r="F182" s="6" t="s">
        <v>2577</v>
      </c>
      <c r="I182" s="21">
        <v>46044.0</v>
      </c>
      <c r="J182" s="27"/>
      <c r="K182" s="6" t="s">
        <v>623</v>
      </c>
      <c r="N182" s="6" t="b">
        <v>0</v>
      </c>
      <c r="O182" s="6">
        <v>196.0</v>
      </c>
      <c r="P182" s="6">
        <v>79.0</v>
      </c>
      <c r="Q182" s="20">
        <f t="shared" si="36"/>
        <v>0.4030612245</v>
      </c>
      <c r="R182" s="6" t="s">
        <v>3388</v>
      </c>
      <c r="S182" s="14"/>
      <c r="T182" s="16" t="b">
        <f>COUNTIF(Parcels!A:A, A182) &gt; 0</f>
        <v>1</v>
      </c>
      <c r="U182" s="16" t="b">
        <f>MAXIFS(Parcels!AC:AC, Parcels!A:A, A182) &gt; 0</f>
        <v>0</v>
      </c>
      <c r="V182" s="17">
        <f>SUMIF(Parcels!A:A,
       A182,
       Parcels!Z:Z)</f>
        <v>104843965</v>
      </c>
      <c r="W182" s="17">
        <f>SUMIF(Parcels!$A:$A,
       $A182,
       Parcels!AC:AC)</f>
        <v>0</v>
      </c>
      <c r="X182" s="26">
        <f t="shared" si="6"/>
        <v>38032683.22</v>
      </c>
      <c r="Y182" s="26">
        <f t="shared" si="7"/>
        <v>38032683.22</v>
      </c>
      <c r="Z182" s="15" t="str">
        <f t="array" ref="Z182">_xlfn.XLOOKUP(
  A182,
  Parcels!A:A,
Parcels!AL:AL)</f>
        <v/>
      </c>
      <c r="AA182" s="26">
        <f t="shared" si="18"/>
        <v>0</v>
      </c>
      <c r="AB182" s="15"/>
      <c r="AC182" s="15"/>
      <c r="AD182" s="15"/>
      <c r="AJ182" s="14">
        <f t="shared" si="31"/>
        <v>20000</v>
      </c>
      <c r="AK182" s="14">
        <f t="shared" si="32"/>
        <v>5000</v>
      </c>
      <c r="AL182" s="19">
        <f t="shared" si="33"/>
        <v>0</v>
      </c>
      <c r="AM182" s="14">
        <f t="shared" si="35"/>
        <v>0</v>
      </c>
      <c r="AN182" s="19" t="str">
        <f t="array" ref="AN182">_xlfn.xlookup(C182,'SCC Certificate Review'!C:C,'SCC Certificate Review'!F:F)</f>
        <v/>
      </c>
    </row>
    <row r="183">
      <c r="A183" s="16">
        <v>189.0</v>
      </c>
      <c r="B183" s="6" t="s">
        <v>2333</v>
      </c>
      <c r="C183" s="6" t="s">
        <v>2334</v>
      </c>
      <c r="D183" s="6" t="s">
        <v>155</v>
      </c>
      <c r="E183" s="6" t="s">
        <v>129</v>
      </c>
      <c r="F183" s="6" t="s">
        <v>87</v>
      </c>
      <c r="H183" s="6" t="s">
        <v>3393</v>
      </c>
      <c r="I183" s="21">
        <v>46052.0</v>
      </c>
      <c r="J183" s="38" t="b">
        <v>1</v>
      </c>
      <c r="K183" s="6" t="s">
        <v>622</v>
      </c>
      <c r="M183" s="6" t="s">
        <v>3396</v>
      </c>
      <c r="N183" s="6" t="b">
        <v>0</v>
      </c>
      <c r="O183" s="6">
        <v>221.0</v>
      </c>
      <c r="P183" s="6">
        <v>221.0</v>
      </c>
      <c r="Q183" s="20">
        <f t="shared" si="36"/>
        <v>1</v>
      </c>
      <c r="R183" s="6" t="s">
        <v>3397</v>
      </c>
      <c r="S183" s="25">
        <v>33150.0</v>
      </c>
      <c r="T183" s="16" t="b">
        <f>COUNTIF(Parcels!A:A, A183) &gt; 0</f>
        <v>1</v>
      </c>
      <c r="U183" s="16" t="b">
        <f>MAXIFS(Parcels!AC:AC, Parcels!A:A, A183) &gt; 0</f>
        <v>0</v>
      </c>
      <c r="V183" s="17">
        <f>SUMIF(Parcels!A:A,
       A183,
       Parcels!Z:Z)</f>
        <v>31718046</v>
      </c>
      <c r="W183" s="17">
        <f>SUMIF(Parcels!$A:$A,
       $A183,
       Parcels!AC:AC)</f>
        <v>0</v>
      </c>
      <c r="X183" s="26">
        <f t="shared" si="6"/>
        <v>28546241.4</v>
      </c>
      <c r="Y183" s="26">
        <f t="shared" si="7"/>
        <v>28546241.4</v>
      </c>
      <c r="Z183" s="15" t="str">
        <f t="array" ref="Z183">_xlfn.XLOOKUP(
  A183,
  Parcels!A:A,
Parcels!AL:AL)</f>
        <v/>
      </c>
      <c r="AA183" s="26">
        <f t="shared" si="18"/>
        <v>0</v>
      </c>
      <c r="AB183" s="15"/>
      <c r="AC183" s="15"/>
      <c r="AD183" s="15"/>
      <c r="AE183" s="6" t="s">
        <v>92</v>
      </c>
      <c r="AF183" s="6">
        <v>1987.0</v>
      </c>
      <c r="AJ183" s="14">
        <f t="shared" si="31"/>
        <v>132600</v>
      </c>
      <c r="AK183" s="14">
        <f t="shared" si="32"/>
        <v>33150</v>
      </c>
      <c r="AL183" s="19">
        <f t="shared" si="33"/>
        <v>0</v>
      </c>
      <c r="AM183" s="14">
        <f t="shared" si="35"/>
        <v>0</v>
      </c>
      <c r="AN183" s="19" t="str">
        <f t="array" ref="AN183">_xlfn.xlookup(C183,'SCC Certificate Review'!C:C,'SCC Certificate Review'!F:F)</f>
        <v/>
      </c>
    </row>
    <row r="184">
      <c r="A184" s="16">
        <v>181.0</v>
      </c>
      <c r="B184" s="6" t="s">
        <v>2329</v>
      </c>
      <c r="C184" s="6" t="s">
        <v>2246</v>
      </c>
      <c r="D184" s="6" t="s">
        <v>114</v>
      </c>
      <c r="E184" s="6" t="s">
        <v>114</v>
      </c>
      <c r="F184" s="6" t="s">
        <v>87</v>
      </c>
      <c r="I184" s="21">
        <v>46052.0</v>
      </c>
      <c r="J184" s="27"/>
      <c r="K184" s="6" t="s">
        <v>2995</v>
      </c>
      <c r="M184" s="6" t="s">
        <v>203</v>
      </c>
      <c r="N184" s="6" t="b">
        <v>1</v>
      </c>
      <c r="O184" s="6">
        <v>152.0</v>
      </c>
      <c r="P184" s="6">
        <v>152.0</v>
      </c>
      <c r="Q184" s="20">
        <f t="shared" si="36"/>
        <v>1</v>
      </c>
      <c r="R184" s="6" t="s">
        <v>3403</v>
      </c>
      <c r="S184" s="25">
        <v>22800.0</v>
      </c>
      <c r="T184" s="16" t="b">
        <f>COUNTIF(Parcels!A:A, A184) &gt; 0</f>
        <v>1</v>
      </c>
      <c r="U184" s="16" t="b">
        <f>MAXIFS(Parcels!AC:AC, Parcels!A:A, A184) &gt; 0</f>
        <v>0</v>
      </c>
      <c r="V184" s="17">
        <f>SUMIF(Parcels!A:A,
       A184,
       Parcels!Z:Z)</f>
        <v>0</v>
      </c>
      <c r="W184" s="17">
        <f>SUMIF(Parcels!$A:$A,
       $A184,
       Parcels!AC:AC)</f>
        <v>0</v>
      </c>
      <c r="X184" s="26">
        <f t="shared" si="6"/>
        <v>0</v>
      </c>
      <c r="Y184" s="26">
        <f t="shared" si="7"/>
        <v>0</v>
      </c>
      <c r="Z184" s="15" t="str">
        <f t="array" ref="Z184">_xlfn.XLOOKUP(
  A184,
  Parcels!A:A,
Parcels!AL:AL)</f>
        <v/>
      </c>
      <c r="AA184" s="26">
        <f t="shared" si="18"/>
        <v>0</v>
      </c>
      <c r="AB184" s="15"/>
      <c r="AC184" s="15"/>
      <c r="AD184" s="15"/>
      <c r="AJ184" s="14">
        <f t="shared" si="31"/>
        <v>91200</v>
      </c>
      <c r="AK184" s="14">
        <f t="shared" si="32"/>
        <v>22800</v>
      </c>
      <c r="AL184" s="19">
        <f t="shared" si="33"/>
        <v>0</v>
      </c>
      <c r="AM184" s="14">
        <f t="shared" si="35"/>
        <v>0</v>
      </c>
      <c r="AN184" s="19" t="str">
        <f t="array" ref="AN184">_xlfn.xlookup(C184,'SCC Certificate Review'!C:C,'SCC Certificate Review'!F:F)</f>
        <v/>
      </c>
    </row>
    <row r="185">
      <c r="A185" s="16">
        <v>182.0</v>
      </c>
      <c r="B185" s="6" t="s">
        <v>2321</v>
      </c>
      <c r="C185" s="6" t="s">
        <v>2322</v>
      </c>
      <c r="D185" s="6" t="s">
        <v>114</v>
      </c>
      <c r="E185" s="6" t="s">
        <v>114</v>
      </c>
      <c r="F185" s="6" t="s">
        <v>87</v>
      </c>
      <c r="I185" s="21">
        <v>46052.0</v>
      </c>
      <c r="J185" s="27"/>
      <c r="K185" s="6" t="s">
        <v>445</v>
      </c>
      <c r="M185" s="6" t="s">
        <v>90</v>
      </c>
      <c r="N185" s="6" t="b">
        <v>1</v>
      </c>
      <c r="O185" s="6">
        <v>50.0</v>
      </c>
      <c r="P185" s="6">
        <v>50.0</v>
      </c>
      <c r="Q185" s="20">
        <f t="shared" si="36"/>
        <v>1</v>
      </c>
      <c r="R185" s="6" t="s">
        <v>3408</v>
      </c>
      <c r="S185" s="25">
        <v>7350.0</v>
      </c>
      <c r="T185" s="16" t="b">
        <f>COUNTIF(Parcels!A:A, A185) &gt; 0</f>
        <v>1</v>
      </c>
      <c r="U185" s="16" t="b">
        <f>MAXIFS(Parcels!AC:AC, Parcels!A:A, A185) &gt; 0</f>
        <v>0</v>
      </c>
      <c r="V185" s="17">
        <f>SUMIF(Parcels!A:A,
       A185,
       Parcels!Z:Z)</f>
        <v>0</v>
      </c>
      <c r="W185" s="17">
        <f>SUMIF(Parcels!$A:$A,
       $A185,
       Parcels!AC:AC)</f>
        <v>0</v>
      </c>
      <c r="X185" s="26">
        <f t="shared" si="6"/>
        <v>0</v>
      </c>
      <c r="Y185" s="26">
        <f t="shared" si="7"/>
        <v>0</v>
      </c>
      <c r="Z185" s="15" t="str">
        <f t="array" ref="Z185">_xlfn.XLOOKUP(
  A185,
  Parcels!A:A,
Parcels!AL:AL)</f>
        <v/>
      </c>
      <c r="AA185" s="26">
        <f t="shared" si="18"/>
        <v>0</v>
      </c>
      <c r="AB185" s="15"/>
      <c r="AC185" s="15"/>
      <c r="AD185" s="15"/>
      <c r="AE185" s="6" t="s">
        <v>474</v>
      </c>
      <c r="AJ185" s="14">
        <f t="shared" si="31"/>
        <v>30000</v>
      </c>
      <c r="AK185" s="14">
        <f t="shared" si="32"/>
        <v>7500</v>
      </c>
      <c r="AL185" s="19">
        <f t="shared" si="33"/>
        <v>0</v>
      </c>
      <c r="AM185" s="14">
        <f t="shared" si="35"/>
        <v>0</v>
      </c>
      <c r="AN185" s="19" t="str">
        <f t="array" ref="AN185">_xlfn.xlookup(C185,'SCC Certificate Review'!C:C,'SCC Certificate Review'!F:F)</f>
        <v/>
      </c>
    </row>
    <row r="186">
      <c r="A186" s="16">
        <v>183.0</v>
      </c>
      <c r="B186" s="6" t="s">
        <v>2307</v>
      </c>
      <c r="C186" s="6" t="s">
        <v>1725</v>
      </c>
      <c r="D186" s="6" t="s">
        <v>114</v>
      </c>
      <c r="E186" s="6" t="s">
        <v>114</v>
      </c>
      <c r="F186" s="6" t="s">
        <v>87</v>
      </c>
      <c r="I186" s="21">
        <v>46052.0</v>
      </c>
      <c r="J186" s="38" t="b">
        <v>1</v>
      </c>
      <c r="K186" s="6" t="s">
        <v>445</v>
      </c>
      <c r="M186" s="6" t="s">
        <v>90</v>
      </c>
      <c r="N186" s="6" t="b">
        <v>0</v>
      </c>
      <c r="O186" s="6">
        <v>70.0</v>
      </c>
      <c r="P186" s="6">
        <v>13.0</v>
      </c>
      <c r="Q186" s="20">
        <f t="shared" si="36"/>
        <v>0.1857142857</v>
      </c>
      <c r="R186" s="6" t="s">
        <v>3414</v>
      </c>
      <c r="S186" s="14"/>
      <c r="T186" s="16" t="b">
        <f>COUNTIF(Parcels!A:A, A186) &gt; 0</f>
        <v>1</v>
      </c>
      <c r="U186" s="16" t="b">
        <f>MAXIFS(Parcels!AC:AC, Parcels!A:A, A186) &gt; 0</f>
        <v>0</v>
      </c>
      <c r="V186" s="17">
        <f>SUMIF(Parcels!A:A,
       A186,
       Parcels!Z:Z)</f>
        <v>0</v>
      </c>
      <c r="W186" s="17">
        <f>SUMIF(Parcels!$A:$A,
       $A186,
       Parcels!AC:AC)</f>
        <v>0</v>
      </c>
      <c r="X186" s="26">
        <f t="shared" si="6"/>
        <v>0</v>
      </c>
      <c r="Y186" s="26">
        <f t="shared" si="7"/>
        <v>0</v>
      </c>
      <c r="Z186" s="15" t="str">
        <f t="array" ref="Z186">_xlfn.XLOOKUP(
  A186,
  Parcels!A:A,
Parcels!AL:AL)</f>
        <v/>
      </c>
      <c r="AA186" s="26">
        <f t="shared" si="18"/>
        <v>0</v>
      </c>
      <c r="AB186" s="15"/>
      <c r="AC186" s="15"/>
      <c r="AD186" s="15"/>
      <c r="AJ186" s="14">
        <f>if(F186="CMFA", if(O186&lt;16,10000,O186*600),"-")</f>
        <v>42000</v>
      </c>
      <c r="AK186" s="14">
        <f>if(F186="CMFA", if(O186&lt;26,4000,O186*150),"-")</f>
        <v>10500</v>
      </c>
      <c r="AL186" s="19">
        <f>IF(AND(I186&gt;=DATE(2022,7,1),I186&lt;=DATE(2023,6,30)),3,IF(AND(I186&gt;=DATE(2023,7,1),I186&lt;=DATE(2024,6,30)),2,IF(AND(I186&gt;=DATE(2024,7,1),I186&lt;=DATE(2025,6,30)),1,IF(AND(I186&gt;=DATE(2025,7,1),I186&lt;=DATE(2026,6,30)),0,"-"))))</f>
        <v>0</v>
      </c>
      <c r="AM186" s="14">
        <f t="shared" si="35"/>
        <v>0</v>
      </c>
      <c r="AN186" s="19" t="str">
        <f t="array" ref="AN186">_xlfn.xlookup(C186,'SCC Certificate Review'!C:C,'SCC Certificate Review'!F:F)</f>
        <v/>
      </c>
    </row>
    <row r="187">
      <c r="A187" s="16">
        <v>184.0</v>
      </c>
      <c r="B187" s="6" t="s">
        <v>2310</v>
      </c>
      <c r="C187" s="6" t="s">
        <v>2311</v>
      </c>
      <c r="D187" s="6" t="s">
        <v>114</v>
      </c>
      <c r="E187" s="6" t="s">
        <v>114</v>
      </c>
      <c r="F187" s="6" t="s">
        <v>87</v>
      </c>
      <c r="I187" s="21">
        <v>46052.0</v>
      </c>
      <c r="J187" s="27"/>
      <c r="K187" s="6" t="s">
        <v>445</v>
      </c>
      <c r="M187" s="6" t="s">
        <v>90</v>
      </c>
      <c r="N187" s="6" t="b">
        <v>0</v>
      </c>
      <c r="O187" s="6">
        <v>30.0</v>
      </c>
      <c r="P187" s="6">
        <v>6.0</v>
      </c>
      <c r="Q187" s="20">
        <f t="shared" si="36"/>
        <v>0.2</v>
      </c>
      <c r="R187" s="6" t="s">
        <v>3423</v>
      </c>
      <c r="S187" s="25">
        <v>2500.0</v>
      </c>
      <c r="T187" s="16" t="b">
        <f>COUNTIF(Parcels!A:A, A187) &gt; 0</f>
        <v>1</v>
      </c>
      <c r="U187" s="16" t="b">
        <f>MAXIFS(Parcels!AC:AC, Parcels!A:A, A187) &gt; 0</f>
        <v>0</v>
      </c>
      <c r="V187" s="17">
        <f>SUMIF(Parcels!A:A,
       A187,
       Parcels!Z:Z)</f>
        <v>0</v>
      </c>
      <c r="W187" s="17">
        <f>SUMIF(Parcels!$A:$A,
       $A187,
       Parcels!AC:AC)</f>
        <v>0</v>
      </c>
      <c r="X187" s="26">
        <f t="shared" si="6"/>
        <v>0</v>
      </c>
      <c r="Y187" s="26">
        <f t="shared" si="7"/>
        <v>0</v>
      </c>
      <c r="Z187" s="15" t="str">
        <f t="array" ref="Z187">_xlfn.XLOOKUP(
  A187,
  Parcels!A:A,
Parcels!AL:AL)</f>
        <v/>
      </c>
      <c r="AA187" s="26">
        <f t="shared" si="18"/>
        <v>0</v>
      </c>
      <c r="AB187" s="15"/>
      <c r="AC187" s="15"/>
      <c r="AD187" s="15"/>
      <c r="AE187" s="6" t="s">
        <v>474</v>
      </c>
      <c r="AJ187" s="14">
        <f>if(F187="CMFA", if(O187&lt;16,10000,O187*600),if(F187="CSCDA",if(33&lt;O187&lt;300, O187*600,if(O187&gt;300,(180000+(O187-300)*300),20000))))</f>
        <v>18000</v>
      </c>
      <c r="AK187" s="14">
        <f>if(F187="CMFA", if(O187&lt;26,4000,O187*150),if(F187="CSCDA",if(33&lt;O187&lt;300, O187*150,if(O187&gt;300,(45000+(O187-300)*75),5000))))</f>
        <v>4500</v>
      </c>
      <c r="AL187" s="19">
        <f>if(AE187="YES",0,IF(AND(I187&gt;=DATE(2022,7,1),I187&lt;=DATE(2023,6,30)),3,IF(AND(I187&gt;=DATE(2023,7,1),I187&lt;=DATE(2024,6,30)),2,IF(AND(I187&gt;=DATE(2024,7,1),I187&lt;=DATE(2025,6,30)),1,IF(AND(I187&gt;=DATE(2025,7,1),I187&lt;=DATE(2026,6,30)),0,"-")))))</f>
        <v>0</v>
      </c>
      <c r="AM187" s="14">
        <f t="shared" si="35"/>
        <v>0</v>
      </c>
      <c r="AN187" s="19" t="str">
        <f t="array" ref="AN187">_xlfn.xlookup(C187,'SCC Certificate Review'!C:C,'SCC Certificate Review'!F:F)</f>
        <v/>
      </c>
    </row>
    <row r="188">
      <c r="A188" s="16">
        <v>185.0</v>
      </c>
      <c r="B188" s="6" t="s">
        <v>2315</v>
      </c>
      <c r="C188" s="6" t="s">
        <v>2316</v>
      </c>
      <c r="D188" s="6" t="s">
        <v>114</v>
      </c>
      <c r="E188" s="6" t="s">
        <v>114</v>
      </c>
      <c r="F188" s="6" t="s">
        <v>87</v>
      </c>
      <c r="I188" s="21">
        <v>46052.0</v>
      </c>
      <c r="J188" s="27"/>
      <c r="K188" s="6" t="s">
        <v>445</v>
      </c>
      <c r="M188" s="6" t="s">
        <v>90</v>
      </c>
      <c r="N188" s="6" t="b">
        <v>0</v>
      </c>
      <c r="O188" s="6">
        <v>39.0</v>
      </c>
      <c r="P188" s="6">
        <v>8.0</v>
      </c>
      <c r="Q188" s="20">
        <f t="shared" si="36"/>
        <v>0.2051282051</v>
      </c>
      <c r="R188" s="6" t="s">
        <v>3432</v>
      </c>
      <c r="S188" s="25">
        <v>2500.0</v>
      </c>
      <c r="T188" s="16" t="b">
        <f>COUNTIF(Parcels!A:A, A188) &gt; 0</f>
        <v>1</v>
      </c>
      <c r="U188" s="16" t="b">
        <f>MAXIFS(Parcels!AC:AC, Parcels!A:A, A188) &gt; 0</f>
        <v>0</v>
      </c>
      <c r="V188" s="17">
        <f>SUMIF(Parcels!A:A,
       A188,
       Parcels!Z:Z)</f>
        <v>0</v>
      </c>
      <c r="W188" s="17">
        <f>SUMIF(Parcels!$A:$A,
       $A188,
       Parcels!AC:AC)</f>
        <v>0</v>
      </c>
      <c r="X188" s="26">
        <f t="shared" si="6"/>
        <v>0</v>
      </c>
      <c r="Y188" s="26">
        <f t="shared" si="7"/>
        <v>0</v>
      </c>
      <c r="Z188" s="15" t="str">
        <f t="array" ref="Z188">_xlfn.XLOOKUP(
  A188,
  Parcels!A:A,
Parcels!AL:AL)</f>
        <v/>
      </c>
      <c r="AA188" s="26">
        <f t="shared" si="18"/>
        <v>0</v>
      </c>
      <c r="AB188" s="15"/>
      <c r="AC188" s="15"/>
      <c r="AD188" s="15"/>
      <c r="AE188" s="6" t="s">
        <v>474</v>
      </c>
      <c r="AJ188" s="14">
        <f>if(F188="CMFA", if(O188&lt;16,10000,O188*600),"-")</f>
        <v>23400</v>
      </c>
      <c r="AK188" s="14">
        <f>if(F188="CMFA", if(O188&lt;26,4000,O188*150),"-")</f>
        <v>5850</v>
      </c>
      <c r="AL188" s="19">
        <f>IF(AND(I188&gt;=DATE(2022,7,1),I188&lt;=DATE(2023,6,30)),3,IF(AND(I188&gt;=DATE(2023,7,1),I188&lt;=DATE(2024,6,30)),2,IF(AND(I188&gt;=DATE(2024,7,1),I188&lt;=DATE(2025,6,30)),1,IF(AND(I188&gt;=DATE(2025,7,1),I188&lt;=DATE(2026,6,30)),0,"-"))))</f>
        <v>0</v>
      </c>
      <c r="AM188" s="14">
        <f t="shared" si="35"/>
        <v>0</v>
      </c>
      <c r="AN188" s="19" t="str">
        <f t="array" ref="AN188">_xlfn.xlookup(C188,'SCC Certificate Review'!C:C,'SCC Certificate Review'!F:F)</f>
        <v/>
      </c>
    </row>
    <row r="189">
      <c r="A189" s="16">
        <v>186.0</v>
      </c>
      <c r="B189" s="6" t="s">
        <v>2319</v>
      </c>
      <c r="C189" s="6" t="s">
        <v>2320</v>
      </c>
      <c r="D189" s="6" t="s">
        <v>114</v>
      </c>
      <c r="E189" s="6" t="s">
        <v>114</v>
      </c>
      <c r="F189" s="6" t="s">
        <v>87</v>
      </c>
      <c r="I189" s="21">
        <v>46052.0</v>
      </c>
      <c r="J189" s="27"/>
      <c r="K189" s="6" t="s">
        <v>445</v>
      </c>
      <c r="M189" s="6" t="s">
        <v>90</v>
      </c>
      <c r="N189" s="6" t="b">
        <v>0</v>
      </c>
      <c r="O189" s="6">
        <v>70.0</v>
      </c>
      <c r="P189" s="6">
        <v>14.0</v>
      </c>
      <c r="Q189" s="20">
        <f t="shared" si="36"/>
        <v>0.2</v>
      </c>
      <c r="R189" s="6" t="s">
        <v>3435</v>
      </c>
      <c r="S189" s="25">
        <v>2500.0</v>
      </c>
      <c r="T189" s="16" t="b">
        <f>COUNTIF(Parcels!A:A, A189) &gt; 0</f>
        <v>1</v>
      </c>
      <c r="U189" s="16" t="b">
        <f>MAXIFS(Parcels!AC:AC, Parcels!A:A, A189) &gt; 0</f>
        <v>0</v>
      </c>
      <c r="V189" s="17">
        <f>SUMIF(Parcels!A:A,
       A189,
       Parcels!Z:Z)</f>
        <v>0</v>
      </c>
      <c r="W189" s="17">
        <f>SUMIF(Parcels!$A:$A,
       $A189,
       Parcels!AC:AC)</f>
        <v>0</v>
      </c>
      <c r="X189" s="26">
        <f t="shared" si="6"/>
        <v>0</v>
      </c>
      <c r="Y189" s="26">
        <f t="shared" si="7"/>
        <v>0</v>
      </c>
      <c r="Z189" s="15" t="str">
        <f t="array" ref="Z189">_xlfn.XLOOKUP(
  A189,
  Parcels!A:A,
Parcels!AL:AL)</f>
        <v/>
      </c>
      <c r="AA189" s="26">
        <f t="shared" si="18"/>
        <v>0</v>
      </c>
      <c r="AB189" s="15"/>
      <c r="AC189" s="15"/>
      <c r="AD189" s="15"/>
      <c r="AE189" s="6" t="s">
        <v>474</v>
      </c>
      <c r="AJ189" s="14">
        <f t="shared" ref="AJ189:AJ204" si="37">if(F189="CMFA", if(O189&lt;16,10000,O189*600),if(F189="CSCDA",if(33&lt;O189&lt;300, O189*600,if(O189&gt;300,(180000+(O189-300)*300),20000))))</f>
        <v>42000</v>
      </c>
      <c r="AK189" s="14">
        <f t="shared" ref="AK189:AK204" si="38">if(F189="CMFA", if(O189&lt;26,4000,O189*150),if(F189="CSCDA",if(33&lt;O189&lt;300, O189*150,if(O189&gt;300,(45000+(O189-300)*75),5000))))</f>
        <v>10500</v>
      </c>
      <c r="AL189" s="19">
        <f t="shared" ref="AL189:AL191" si="39">if(AE189="YES",0,IF(AND(I189&gt;=DATE(2022,7,1),I189&lt;=DATE(2023,6,30)),3,IF(AND(I189&gt;=DATE(2023,7,1),I189&lt;=DATE(2024,6,30)),2,IF(AND(I189&gt;=DATE(2024,7,1),I189&lt;=DATE(2025,6,30)),1,IF(AND(I189&gt;=DATE(2025,7,1),I189&lt;=DATE(2026,6,30)),0,"-")))))</f>
        <v>0</v>
      </c>
      <c r="AM189" s="14">
        <f t="shared" si="35"/>
        <v>0</v>
      </c>
      <c r="AN189" s="19" t="str">
        <f t="array" ref="AN189">_xlfn.xlookup(C189,'SCC Certificate Review'!C:C,'SCC Certificate Review'!F:F)</f>
        <v/>
      </c>
    </row>
    <row r="190">
      <c r="A190" s="16">
        <v>190.0</v>
      </c>
      <c r="B190" s="6" t="s">
        <v>2336</v>
      </c>
      <c r="C190" s="6" t="s">
        <v>2337</v>
      </c>
      <c r="D190" s="6" t="s">
        <v>348</v>
      </c>
      <c r="E190" s="6" t="s">
        <v>111</v>
      </c>
      <c r="F190" s="6" t="s">
        <v>87</v>
      </c>
      <c r="G190" s="16"/>
      <c r="H190" s="16"/>
      <c r="I190" s="21">
        <v>46052.0</v>
      </c>
      <c r="J190" s="27"/>
      <c r="K190" s="6" t="s">
        <v>3439</v>
      </c>
      <c r="L190" s="16"/>
      <c r="M190" s="6" t="s">
        <v>1063</v>
      </c>
      <c r="N190" s="6" t="b">
        <v>0</v>
      </c>
      <c r="O190" s="6">
        <v>293.0</v>
      </c>
      <c r="P190" s="6">
        <v>102.0</v>
      </c>
      <c r="Q190" s="20">
        <f t="shared" si="36"/>
        <v>0.3481228669</v>
      </c>
      <c r="R190" s="6" t="s">
        <v>3440</v>
      </c>
      <c r="S190" s="25">
        <v>15300.0</v>
      </c>
      <c r="T190" s="16" t="b">
        <f>COUNTIF(Parcels!A:A, A190) &gt; 0</f>
        <v>1</v>
      </c>
      <c r="U190" s="16" t="b">
        <f>MAXIFS(Parcels!AC:AC, Parcels!A:A, A190) &gt; 0</f>
        <v>1</v>
      </c>
      <c r="V190" s="17">
        <f>SUMIF(Parcels!A:A,
       A190,
       Parcels!Z:Z)</f>
        <v>69647731</v>
      </c>
      <c r="W190" s="17">
        <f>SUMIF(Parcels!$A:$A,
       $A190,
       Parcels!AC:AC)</f>
        <v>46831134</v>
      </c>
      <c r="X190" s="26">
        <f t="shared" si="6"/>
        <v>21821371.01</v>
      </c>
      <c r="Y190" s="26">
        <f t="shared" si="7"/>
        <v>46831134</v>
      </c>
      <c r="Z190" s="15" t="str">
        <f t="array" ref="Z190">_xlfn.XLOOKUP(
  A190,
  Parcels!A:A,
Parcels!AL:AL)</f>
        <v/>
      </c>
      <c r="AA190" s="26">
        <f t="shared" si="18"/>
        <v>0</v>
      </c>
      <c r="AB190" s="15"/>
      <c r="AC190" s="15"/>
      <c r="AD190" s="15"/>
      <c r="AE190" s="6" t="s">
        <v>92</v>
      </c>
      <c r="AF190" s="16"/>
      <c r="AG190" s="16"/>
      <c r="AH190" s="16"/>
      <c r="AI190" s="16"/>
      <c r="AJ190" s="14">
        <f t="shared" si="37"/>
        <v>175800</v>
      </c>
      <c r="AK190" s="14">
        <f t="shared" si="38"/>
        <v>43950</v>
      </c>
      <c r="AL190" s="19">
        <f t="shared" si="39"/>
        <v>0</v>
      </c>
      <c r="AM190" s="14">
        <f t="shared" si="35"/>
        <v>0</v>
      </c>
      <c r="AN190" s="19" t="str">
        <f t="array" ref="AN190">_xlfn.xlookup(C190,'SCC Certificate Review'!C:C,'SCC Certificate Review'!F:F)</f>
        <v/>
      </c>
    </row>
    <row r="191">
      <c r="A191" s="16">
        <v>144.0</v>
      </c>
      <c r="B191" s="6" t="s">
        <v>2221</v>
      </c>
      <c r="C191" s="6" t="s">
        <v>2222</v>
      </c>
      <c r="D191" s="6" t="s">
        <v>252</v>
      </c>
      <c r="E191" s="6" t="s">
        <v>126</v>
      </c>
      <c r="F191" s="6" t="s">
        <v>87</v>
      </c>
      <c r="H191" s="6" t="s">
        <v>3444</v>
      </c>
      <c r="I191" s="13">
        <v>46073.0</v>
      </c>
      <c r="J191" s="47"/>
      <c r="K191" s="6" t="s">
        <v>3445</v>
      </c>
      <c r="M191" s="6" t="s">
        <v>951</v>
      </c>
      <c r="N191" s="6" t="b">
        <v>0</v>
      </c>
      <c r="O191" s="6">
        <v>460.0</v>
      </c>
      <c r="P191" s="6">
        <v>460.0</v>
      </c>
      <c r="Q191" s="20"/>
      <c r="R191" s="6" t="s">
        <v>3446</v>
      </c>
      <c r="S191" s="25">
        <v>57000.0</v>
      </c>
      <c r="T191" s="16" t="b">
        <f>COUNTIF(Parcels!A:A, A191) &gt; 0</f>
        <v>1</v>
      </c>
      <c r="U191" s="16" t="b">
        <f>MAXIFS(Parcels!AC:AC, Parcels!A:A, A191) &gt; 0</f>
        <v>0</v>
      </c>
      <c r="V191" s="17">
        <f>SUMIF(Parcels!A:A,
       A191,
       Parcels!Z:Z)</f>
        <v>22728000</v>
      </c>
      <c r="W191" s="17">
        <f>SUMIF(Parcels!$A:$A,
       $A191,
       Parcels!AC:AC)</f>
        <v>0</v>
      </c>
      <c r="X191" s="26">
        <f t="shared" si="6"/>
        <v>20455200</v>
      </c>
      <c r="Y191" s="26">
        <f t="shared" si="7"/>
        <v>20455200</v>
      </c>
      <c r="Z191" s="34">
        <f t="array" ref="Z191">_xlfn.XLOOKUP(
  A191,
  Parcels!A:A,
Parcels!AL:AL)</f>
        <v>0.010472</v>
      </c>
      <c r="AA191" s="26">
        <f t="shared" si="18"/>
        <v>0</v>
      </c>
      <c r="AB191" s="26">
        <f>Y191*Z191</f>
        <v>214206.8544</v>
      </c>
      <c r="AE191" s="6" t="s">
        <v>92</v>
      </c>
      <c r="AJ191" s="14">
        <f t="shared" si="37"/>
        <v>276000</v>
      </c>
      <c r="AK191" s="14">
        <f t="shared" si="38"/>
        <v>69000</v>
      </c>
      <c r="AL191" s="19">
        <f t="shared" si="39"/>
        <v>0</v>
      </c>
      <c r="AM191" s="14"/>
      <c r="AN191" s="19" t="str">
        <f t="array" ref="AN191">_xlfn.xlookup(C191,'SCC Certificate Review'!C:C,'SCC Certificate Review'!F:F)</f>
        <v/>
      </c>
    </row>
    <row r="192">
      <c r="A192" s="6">
        <v>195.0</v>
      </c>
      <c r="B192" s="6" t="s">
        <v>1737</v>
      </c>
      <c r="C192" s="6" t="s">
        <v>1738</v>
      </c>
      <c r="D192" s="6" t="s">
        <v>114</v>
      </c>
      <c r="E192" s="6" t="s">
        <v>114</v>
      </c>
      <c r="F192" s="6" t="s">
        <v>87</v>
      </c>
      <c r="H192" s="6" t="s">
        <v>3448</v>
      </c>
      <c r="I192" s="13">
        <v>46073.0</v>
      </c>
      <c r="J192" s="47"/>
      <c r="K192" s="6" t="s">
        <v>1739</v>
      </c>
      <c r="M192" s="6" t="s">
        <v>587</v>
      </c>
      <c r="N192" s="6" t="b">
        <v>0</v>
      </c>
      <c r="O192" s="6">
        <v>41.0</v>
      </c>
      <c r="P192" s="6">
        <v>41.0</v>
      </c>
      <c r="Q192" s="10">
        <f t="shared" ref="Q192:Q202" si="40">P192/O192</f>
        <v>1</v>
      </c>
      <c r="R192" s="6" t="s">
        <v>3449</v>
      </c>
      <c r="S192" s="25">
        <v>6300.0</v>
      </c>
      <c r="V192" s="17">
        <f>SUMIF(Parcels!A:A,
       A192,
       Parcels!Z:Z)</f>
        <v>0</v>
      </c>
      <c r="W192" s="17">
        <f>SUMIF(Parcels!$A:$A,
       $A192,
       Parcels!AC:AC)</f>
        <v>0</v>
      </c>
      <c r="X192" s="26">
        <f t="shared" si="6"/>
        <v>0</v>
      </c>
      <c r="Y192" s="26">
        <f t="shared" si="7"/>
        <v>0</v>
      </c>
      <c r="Z192" s="15" t="str">
        <f t="array" ref="Z192">_xlfn.XLOOKUP(
  A192,
  Parcels!A:A,
Parcels!AL:AL)</f>
        <v/>
      </c>
      <c r="AA192" s="26">
        <f t="shared" si="18"/>
        <v>0</v>
      </c>
      <c r="AB192" s="15"/>
      <c r="AC192" s="15"/>
      <c r="AD192" s="15"/>
      <c r="AE192" s="6" t="s">
        <v>474</v>
      </c>
      <c r="AJ192" s="14">
        <f t="shared" si="37"/>
        <v>24600</v>
      </c>
      <c r="AK192" s="14">
        <f t="shared" si="38"/>
        <v>6150</v>
      </c>
      <c r="AL192" s="19">
        <f t="shared" ref="AL192:AL193" si="41">if(AE192="YES",0,IF(AND(I192&gt;=DATE(2022,7,1),I192&lt;=DATE(2023,6,30)),3,IF(AND(I192&gt;=DATE(2023,7,1),I192&lt;=DATE(2024,6,30)),2,IF(AND(I192&gt;=DATE(2024,7,1),I192&lt;=DATE(2025,6,30)),1,IF(AND(I192&gt;=DATE(2025,7,1),I192&lt;=DATE(2026,6,30)),0,0)))))</f>
        <v>0</v>
      </c>
      <c r="AM192" s="14">
        <f t="shared" ref="AM192:AM195" si="42">AK192*AL192</f>
        <v>0</v>
      </c>
      <c r="AN192" s="19" t="str">
        <f t="array" ref="AN192">_xlfn.xlookup(C192,'SCC Certificate Review'!C:C,'SCC Certificate Review'!F:F)</f>
        <v/>
      </c>
    </row>
    <row r="193">
      <c r="A193" s="6">
        <v>194.0</v>
      </c>
      <c r="B193" s="6" t="s">
        <v>1740</v>
      </c>
      <c r="C193" s="6" t="s">
        <v>2348</v>
      </c>
      <c r="D193" s="6" t="s">
        <v>114</v>
      </c>
      <c r="E193" s="6" t="s">
        <v>114</v>
      </c>
      <c r="F193" s="6" t="s">
        <v>87</v>
      </c>
      <c r="H193" s="6" t="s">
        <v>3452</v>
      </c>
      <c r="I193" s="13">
        <v>46073.0</v>
      </c>
      <c r="J193" s="47"/>
      <c r="K193" s="6" t="s">
        <v>1739</v>
      </c>
      <c r="M193" s="6" t="s">
        <v>587</v>
      </c>
      <c r="N193" s="6" t="b">
        <v>0</v>
      </c>
      <c r="O193" s="6">
        <v>37.0</v>
      </c>
      <c r="P193" s="6">
        <v>36.0</v>
      </c>
      <c r="Q193" s="10">
        <f t="shared" si="40"/>
        <v>0.972972973</v>
      </c>
      <c r="R193" s="6" t="s">
        <v>3453</v>
      </c>
      <c r="S193" s="25">
        <v>5550.0</v>
      </c>
      <c r="V193" s="17">
        <f>SUMIF(Parcels!A:A,
       A193,
       Parcels!Z:Z)</f>
        <v>0</v>
      </c>
      <c r="W193" s="17">
        <f>SUMIF(Parcels!$A:$A,
       $A193,
       Parcels!AC:AC)</f>
        <v>0</v>
      </c>
      <c r="X193" s="26">
        <f t="shared" si="6"/>
        <v>0</v>
      </c>
      <c r="Y193" s="26">
        <f t="shared" si="7"/>
        <v>0</v>
      </c>
      <c r="Z193" s="15" t="str">
        <f t="array" ref="Z193">_xlfn.XLOOKUP(
  A193,
  Parcels!A:A,
Parcels!AL:AL)</f>
        <v/>
      </c>
      <c r="AA193" s="26">
        <f t="shared" si="18"/>
        <v>0</v>
      </c>
      <c r="AB193" s="15"/>
      <c r="AC193" s="15"/>
      <c r="AD193" s="15"/>
      <c r="AE193" s="6" t="s">
        <v>474</v>
      </c>
      <c r="AJ193" s="14">
        <f t="shared" si="37"/>
        <v>22200</v>
      </c>
      <c r="AK193" s="14">
        <f t="shared" si="38"/>
        <v>5550</v>
      </c>
      <c r="AL193" s="19">
        <f t="shared" si="41"/>
        <v>0</v>
      </c>
      <c r="AM193" s="14">
        <f t="shared" si="42"/>
        <v>0</v>
      </c>
      <c r="AN193" s="19" t="str">
        <f t="array" ref="AN193">_xlfn.xlookup(C193,'SCC Certificate Review'!C:C,'SCC Certificate Review'!F:F)</f>
        <v/>
      </c>
    </row>
    <row r="194">
      <c r="A194" s="16">
        <v>187.0</v>
      </c>
      <c r="B194" s="6" t="s">
        <v>2325</v>
      </c>
      <c r="C194" s="6" t="s">
        <v>2326</v>
      </c>
      <c r="D194" s="6" t="s">
        <v>268</v>
      </c>
      <c r="E194" s="6" t="s">
        <v>119</v>
      </c>
      <c r="F194" s="6" t="s">
        <v>87</v>
      </c>
      <c r="H194" s="6" t="s">
        <v>3393</v>
      </c>
      <c r="I194" s="13">
        <v>46073.0</v>
      </c>
      <c r="J194" s="47"/>
      <c r="K194" s="6" t="s">
        <v>622</v>
      </c>
      <c r="M194" s="6" t="s">
        <v>3396</v>
      </c>
      <c r="N194" s="6" t="b">
        <v>0</v>
      </c>
      <c r="O194" s="6">
        <v>232.0</v>
      </c>
      <c r="P194" s="6">
        <v>232.0</v>
      </c>
      <c r="Q194" s="20">
        <f t="shared" si="40"/>
        <v>1</v>
      </c>
      <c r="R194" s="6" t="s">
        <v>3454</v>
      </c>
      <c r="S194" s="25">
        <v>34800.0</v>
      </c>
      <c r="T194" s="16" t="b">
        <f>COUNTIF(Parcels!A:A, A194) &gt; 0</f>
        <v>1</v>
      </c>
      <c r="U194" s="16" t="b">
        <f>MAXIFS(Parcels!AC:AC, Parcels!A:A, A194) &gt; 0</f>
        <v>0</v>
      </c>
      <c r="V194" s="17">
        <f>SUMIF(Parcels!A:A,
       A194,
       Parcels!Z:Z)</f>
        <v>26605309</v>
      </c>
      <c r="W194" s="17">
        <f>SUMIF(Parcels!$A:$A,
       $A194,
       Parcels!AC:AC)</f>
        <v>0</v>
      </c>
      <c r="X194" s="26">
        <f t="shared" si="6"/>
        <v>23944778.1</v>
      </c>
      <c r="Y194" s="26">
        <f t="shared" si="7"/>
        <v>23944778.1</v>
      </c>
      <c r="Z194" s="15" t="str">
        <f t="array" ref="Z194">_xlfn.XLOOKUP(
  A194,
  Parcels!A:A,
Parcels!AL:AL)</f>
        <v/>
      </c>
      <c r="AA194" s="26">
        <f t="shared" si="18"/>
        <v>0</v>
      </c>
      <c r="AB194" s="15"/>
      <c r="AC194" s="15"/>
      <c r="AD194" s="15"/>
      <c r="AF194" s="6">
        <v>1987.0</v>
      </c>
      <c r="AJ194" s="14">
        <f t="shared" si="37"/>
        <v>139200</v>
      </c>
      <c r="AK194" s="14">
        <f t="shared" si="38"/>
        <v>34800</v>
      </c>
      <c r="AL194" s="19">
        <f t="shared" ref="AL194:AL204" si="43">if(AE194="YES",0,IF(AND(I194&gt;=DATE(2022,7,1),I194&lt;=DATE(2023,6,30)),3,IF(AND(I194&gt;=DATE(2023,7,1),I194&lt;=DATE(2024,6,30)),2,IF(AND(I194&gt;=DATE(2024,7,1),I194&lt;=DATE(2025,6,30)),1,IF(AND(I194&gt;=DATE(2025,7,1),I194&lt;=DATE(2026,6,30)),0,"-")))))</f>
        <v>0</v>
      </c>
      <c r="AM194" s="14">
        <f t="shared" si="42"/>
        <v>0</v>
      </c>
      <c r="AN194" s="19" t="str">
        <f t="array" ref="AN194">_xlfn.xlookup(C194,'SCC Certificate Review'!C:C,'SCC Certificate Review'!F:F)</f>
        <v/>
      </c>
    </row>
    <row r="195">
      <c r="A195" s="6">
        <v>196.0</v>
      </c>
      <c r="B195" s="6" t="s">
        <v>2345</v>
      </c>
      <c r="C195" s="6" t="s">
        <v>2346</v>
      </c>
      <c r="D195" s="6" t="s">
        <v>114</v>
      </c>
      <c r="E195" s="6" t="s">
        <v>114</v>
      </c>
      <c r="F195" s="6" t="s">
        <v>2577</v>
      </c>
      <c r="I195" s="21">
        <v>46086.0</v>
      </c>
      <c r="J195" s="38" t="b">
        <v>1</v>
      </c>
      <c r="K195" s="6" t="s">
        <v>3464</v>
      </c>
      <c r="M195" s="6" t="s">
        <v>560</v>
      </c>
      <c r="N195" s="6" t="b">
        <v>0</v>
      </c>
      <c r="O195" s="6">
        <v>572.0</v>
      </c>
      <c r="P195" s="6">
        <v>514.0</v>
      </c>
      <c r="Q195" s="10">
        <f t="shared" si="40"/>
        <v>0.8986013986</v>
      </c>
      <c r="R195" s="6" t="s">
        <v>3465</v>
      </c>
      <c r="S195" s="14"/>
      <c r="V195" s="17">
        <f>SUMIF(Parcels!A:A,
       A195,
       Parcels!Z:Z)</f>
        <v>0</v>
      </c>
      <c r="W195" s="17">
        <f>SUMIF(Parcels!$A:$A,
       $A195,
       Parcels!AC:AC)</f>
        <v>0</v>
      </c>
      <c r="X195" s="26">
        <f t="shared" si="6"/>
        <v>0</v>
      </c>
      <c r="Y195" s="26">
        <f t="shared" si="7"/>
        <v>0</v>
      </c>
      <c r="Z195" s="15" t="str">
        <f t="array" ref="Z195">_xlfn.XLOOKUP(
  A195,
  Parcels!A:A,
Parcels!AL:AL)</f>
        <v/>
      </c>
      <c r="AA195" s="26">
        <f t="shared" si="18"/>
        <v>0</v>
      </c>
      <c r="AB195" s="15"/>
      <c r="AC195" s="15"/>
      <c r="AD195" s="15"/>
      <c r="AJ195" s="14">
        <f t="shared" si="37"/>
        <v>261600</v>
      </c>
      <c r="AK195" s="14">
        <f t="shared" si="38"/>
        <v>65400</v>
      </c>
      <c r="AL195" s="19">
        <f t="shared" si="43"/>
        <v>0</v>
      </c>
      <c r="AM195" s="14">
        <f t="shared" si="42"/>
        <v>0</v>
      </c>
      <c r="AN195" s="19" t="str">
        <f t="array" ref="AN195">_xlfn.xlookup(C195,'SCC Certificate Review'!C:C,'SCC Certificate Review'!F:F)</f>
        <v/>
      </c>
    </row>
    <row r="196">
      <c r="A196" s="6">
        <v>200.0</v>
      </c>
      <c r="B196" s="6" t="s">
        <v>1745</v>
      </c>
      <c r="C196" s="6" t="s">
        <v>1746</v>
      </c>
      <c r="D196" s="6" t="s">
        <v>114</v>
      </c>
      <c r="E196" s="6" t="s">
        <v>114</v>
      </c>
      <c r="F196" s="6" t="s">
        <v>87</v>
      </c>
      <c r="H196" s="6" t="s">
        <v>3467</v>
      </c>
      <c r="I196" s="21">
        <v>46094.0</v>
      </c>
      <c r="J196" s="27"/>
      <c r="K196" s="6" t="s">
        <v>1747</v>
      </c>
      <c r="M196" s="6" t="s">
        <v>587</v>
      </c>
      <c r="N196" s="6" t="b">
        <v>0</v>
      </c>
      <c r="O196" s="6">
        <v>70.0</v>
      </c>
      <c r="P196" s="6">
        <v>70.0</v>
      </c>
      <c r="Q196" s="10">
        <f t="shared" si="40"/>
        <v>1</v>
      </c>
      <c r="R196" s="6" t="s">
        <v>3468</v>
      </c>
      <c r="S196" s="25">
        <v>10500.0</v>
      </c>
      <c r="V196" s="17">
        <f>SUMIF(Parcels!A:A,
       A196,
       Parcels!Z:Z)</f>
        <v>0</v>
      </c>
      <c r="W196" s="17">
        <f>SUMIF(Parcels!$A:$A,
       $A196,
       Parcels!AC:AC)</f>
        <v>0</v>
      </c>
      <c r="X196" s="26">
        <f t="shared" si="6"/>
        <v>0</v>
      </c>
      <c r="Y196" s="26">
        <f t="shared" si="7"/>
        <v>0</v>
      </c>
      <c r="Z196" s="15" t="str">
        <f t="array" ref="Z196">_xlfn.XLOOKUP(
  A196,
  Parcels!A:A,
Parcels!AL:AL)</f>
        <v/>
      </c>
      <c r="AA196" s="26">
        <f t="shared" si="18"/>
        <v>0</v>
      </c>
      <c r="AB196" s="15"/>
      <c r="AC196" s="15"/>
      <c r="AD196" s="15"/>
      <c r="AJ196" s="14">
        <f t="shared" si="37"/>
        <v>42000</v>
      </c>
      <c r="AK196" s="14">
        <f t="shared" si="38"/>
        <v>10500</v>
      </c>
      <c r="AL196" s="19">
        <f t="shared" si="43"/>
        <v>0</v>
      </c>
      <c r="AM196" s="14"/>
      <c r="AN196" s="19" t="str">
        <f t="array" ref="AN196">_xlfn.xlookup(C196,'SCC Certificate Review'!C:C,'SCC Certificate Review'!F:F)</f>
        <v/>
      </c>
    </row>
    <row r="197">
      <c r="A197" s="6">
        <v>197.0</v>
      </c>
      <c r="B197" s="6" t="s">
        <v>2352</v>
      </c>
      <c r="C197" s="6" t="s">
        <v>2353</v>
      </c>
      <c r="D197" s="6" t="s">
        <v>114</v>
      </c>
      <c r="E197" s="6" t="s">
        <v>114</v>
      </c>
      <c r="F197" s="6" t="s">
        <v>87</v>
      </c>
      <c r="I197" s="21">
        <v>46094.0</v>
      </c>
      <c r="J197" s="38" t="b">
        <v>1</v>
      </c>
      <c r="K197" s="6" t="s">
        <v>586</v>
      </c>
      <c r="M197" s="6" t="s">
        <v>587</v>
      </c>
      <c r="N197" s="6" t="b">
        <v>0</v>
      </c>
      <c r="O197" s="6">
        <v>100.0</v>
      </c>
      <c r="P197" s="6">
        <v>100.0</v>
      </c>
      <c r="Q197" s="10">
        <f t="shared" si="40"/>
        <v>1</v>
      </c>
      <c r="R197" s="6" t="s">
        <v>3470</v>
      </c>
      <c r="S197" s="25">
        <v>15000.0</v>
      </c>
      <c r="V197" s="17">
        <f>SUMIF(Parcels!A:A,
       A197,
       Parcels!Z:Z)</f>
        <v>0</v>
      </c>
      <c r="W197" s="17">
        <f>SUMIF(Parcels!$A:$A,
       $A197,
       Parcels!AC:AC)</f>
        <v>0</v>
      </c>
      <c r="X197" s="26">
        <f t="shared" si="6"/>
        <v>0</v>
      </c>
      <c r="Y197" s="26">
        <f t="shared" si="7"/>
        <v>0</v>
      </c>
      <c r="Z197" s="15" t="str">
        <f t="array" ref="Z197">_xlfn.XLOOKUP(
  A197,
  Parcels!A:A,
Parcels!AL:AL)</f>
        <v/>
      </c>
      <c r="AA197" s="26">
        <f t="shared" si="18"/>
        <v>0</v>
      </c>
      <c r="AB197" s="15"/>
      <c r="AC197" s="15"/>
      <c r="AD197" s="15"/>
      <c r="AE197" s="6" t="s">
        <v>474</v>
      </c>
      <c r="AJ197" s="14">
        <f t="shared" si="37"/>
        <v>60000</v>
      </c>
      <c r="AK197" s="14">
        <f t="shared" si="38"/>
        <v>15000</v>
      </c>
      <c r="AL197" s="19">
        <f t="shared" si="43"/>
        <v>0</v>
      </c>
      <c r="AM197" s="14">
        <f t="shared" ref="AM197:AM204" si="44">AK197*AL197</f>
        <v>0</v>
      </c>
      <c r="AN197" s="19" t="str">
        <f t="array" ref="AN197">_xlfn.xlookup(C197,'SCC Certificate Review'!C:C,'SCC Certificate Review'!F:F)</f>
        <v/>
      </c>
    </row>
    <row r="198">
      <c r="A198" s="6">
        <v>198.0</v>
      </c>
      <c r="B198" s="6" t="s">
        <v>2355</v>
      </c>
      <c r="C198" s="6" t="s">
        <v>2357</v>
      </c>
      <c r="D198" s="6" t="s">
        <v>158</v>
      </c>
      <c r="E198" s="6" t="s">
        <v>129</v>
      </c>
      <c r="F198" s="6" t="s">
        <v>87</v>
      </c>
      <c r="I198" s="21">
        <v>46094.0</v>
      </c>
      <c r="J198" s="27"/>
      <c r="K198" s="6" t="s">
        <v>1226</v>
      </c>
      <c r="M198" s="6" t="s">
        <v>1228</v>
      </c>
      <c r="N198" s="6" t="b">
        <v>0</v>
      </c>
      <c r="O198" s="6">
        <v>264.0</v>
      </c>
      <c r="P198" s="6">
        <v>264.0</v>
      </c>
      <c r="Q198" s="20">
        <f t="shared" si="40"/>
        <v>1</v>
      </c>
      <c r="R198" s="6" t="s">
        <v>3473</v>
      </c>
      <c r="S198" s="25">
        <v>39600.0</v>
      </c>
      <c r="V198" s="17">
        <f>SUMIF(Parcels!A:A,
       A198,
       Parcels!Z:Z)</f>
        <v>0</v>
      </c>
      <c r="W198" s="17">
        <f>SUMIF(Parcels!$A:$A,
       $A198,
       Parcels!AC:AC)</f>
        <v>0</v>
      </c>
      <c r="X198" s="26">
        <f t="shared" si="6"/>
        <v>0</v>
      </c>
      <c r="Y198" s="26">
        <f t="shared" si="7"/>
        <v>0</v>
      </c>
      <c r="Z198" s="15" t="str">
        <f t="array" ref="Z198">_xlfn.XLOOKUP(
  A198,
  Parcels!A:A,
Parcels!AL:AL)</f>
        <v/>
      </c>
      <c r="AA198" s="26">
        <f t="shared" si="18"/>
        <v>0</v>
      </c>
      <c r="AB198" s="15"/>
      <c r="AC198" s="15"/>
      <c r="AD198" s="15"/>
      <c r="AE198" s="6" t="s">
        <v>474</v>
      </c>
      <c r="AJ198" s="14">
        <f t="shared" si="37"/>
        <v>158400</v>
      </c>
      <c r="AK198" s="14">
        <f t="shared" si="38"/>
        <v>39600</v>
      </c>
      <c r="AL198" s="19">
        <f t="shared" si="43"/>
        <v>0</v>
      </c>
      <c r="AM198" s="14">
        <f t="shared" si="44"/>
        <v>0</v>
      </c>
      <c r="AN198" s="19" t="str">
        <f t="array" ref="AN198">_xlfn.xlookup(C198,'SCC Certificate Review'!C:C,'SCC Certificate Review'!F:F)</f>
        <v/>
      </c>
    </row>
    <row r="199">
      <c r="A199" s="6">
        <v>199.0</v>
      </c>
      <c r="B199" s="6" t="s">
        <v>1700</v>
      </c>
      <c r="C199" s="6" t="s">
        <v>2360</v>
      </c>
      <c r="D199" s="6" t="s">
        <v>114</v>
      </c>
      <c r="E199" s="6" t="s">
        <v>114</v>
      </c>
      <c r="F199" s="6" t="s">
        <v>87</v>
      </c>
      <c r="I199" s="21">
        <v>46094.0</v>
      </c>
      <c r="J199" s="27"/>
      <c r="K199" s="6" t="s">
        <v>1588</v>
      </c>
      <c r="M199" s="6" t="s">
        <v>951</v>
      </c>
      <c r="N199" s="6" t="b">
        <v>0</v>
      </c>
      <c r="O199" s="6">
        <v>38.0</v>
      </c>
      <c r="P199" s="6">
        <v>37.0</v>
      </c>
      <c r="Q199" s="10">
        <f t="shared" si="40"/>
        <v>0.9736842105</v>
      </c>
      <c r="S199" s="25">
        <v>5500.0</v>
      </c>
      <c r="V199" s="17">
        <f>SUMIF(Parcels!A:A,
       A199,
       Parcels!Z:Z)</f>
        <v>0</v>
      </c>
      <c r="W199" s="17">
        <f>SUMIF(Parcels!$A:$A,
       $A199,
       Parcels!AC:AC)</f>
        <v>0</v>
      </c>
      <c r="X199" s="26">
        <f t="shared" si="6"/>
        <v>0</v>
      </c>
      <c r="Y199" s="26">
        <f t="shared" si="7"/>
        <v>0</v>
      </c>
      <c r="Z199" s="15" t="str">
        <f t="array" ref="Z199">_xlfn.XLOOKUP(
  A199,
  Parcels!A:A,
Parcels!AL:AL)</f>
        <v/>
      </c>
      <c r="AA199" s="26">
        <f t="shared" si="18"/>
        <v>0</v>
      </c>
      <c r="AB199" s="15"/>
      <c r="AC199" s="15"/>
      <c r="AD199" s="15"/>
      <c r="AJ199" s="14">
        <f t="shared" si="37"/>
        <v>22800</v>
      </c>
      <c r="AK199" s="14">
        <f t="shared" si="38"/>
        <v>5700</v>
      </c>
      <c r="AL199" s="19">
        <f t="shared" si="43"/>
        <v>0</v>
      </c>
      <c r="AM199" s="14">
        <f t="shared" si="44"/>
        <v>0</v>
      </c>
      <c r="AN199" s="19" t="str">
        <f t="array" ref="AN199">_xlfn.xlookup(C199,'SCC Certificate Review'!C:C,'SCC Certificate Review'!F:F)</f>
        <v/>
      </c>
    </row>
    <row r="200">
      <c r="A200" s="6">
        <v>201.0</v>
      </c>
      <c r="B200" s="6" t="s">
        <v>1754</v>
      </c>
      <c r="D200" s="6" t="s">
        <v>252</v>
      </c>
      <c r="E200" s="6" t="s">
        <v>126</v>
      </c>
      <c r="F200" s="6" t="s">
        <v>87</v>
      </c>
      <c r="I200" s="21">
        <v>46108.0</v>
      </c>
      <c r="J200" s="38" t="b">
        <v>1</v>
      </c>
      <c r="K200" s="6" t="s">
        <v>1756</v>
      </c>
      <c r="M200" s="6" t="s">
        <v>587</v>
      </c>
      <c r="N200" s="6" t="b">
        <v>0</v>
      </c>
      <c r="O200" s="6">
        <v>197.0</v>
      </c>
      <c r="P200" s="6">
        <v>80.0</v>
      </c>
      <c r="Q200" s="10">
        <f t="shared" si="40"/>
        <v>0.4060913706</v>
      </c>
      <c r="R200" s="6" t="s">
        <v>3482</v>
      </c>
      <c r="S200" s="25">
        <v>29550.0</v>
      </c>
      <c r="V200" s="17">
        <f>SUMIF(Parcels!A:A,
       A200,
       Parcels!Z:Z)</f>
        <v>0</v>
      </c>
      <c r="W200" s="17">
        <f>SUMIF(Parcels!$A:$A,
       $A200,
       Parcels!AC:AC)</f>
        <v>0</v>
      </c>
      <c r="X200" s="26">
        <f t="shared" si="6"/>
        <v>0</v>
      </c>
      <c r="Y200" s="26">
        <f t="shared" si="7"/>
        <v>0</v>
      </c>
      <c r="Z200" s="15" t="str">
        <f t="array" ref="Z200">_xlfn.XLOOKUP(
  A200,
  Parcels!A:A,
Parcels!AL:AL)</f>
        <v/>
      </c>
      <c r="AA200" s="26">
        <f t="shared" si="18"/>
        <v>0</v>
      </c>
      <c r="AB200" s="15"/>
      <c r="AC200" s="15"/>
      <c r="AD200" s="15"/>
      <c r="AJ200" s="14">
        <f t="shared" si="37"/>
        <v>118200</v>
      </c>
      <c r="AK200" s="14">
        <f t="shared" si="38"/>
        <v>29550</v>
      </c>
      <c r="AL200" s="19">
        <f t="shared" si="43"/>
        <v>0</v>
      </c>
      <c r="AM200" s="14">
        <f t="shared" si="44"/>
        <v>0</v>
      </c>
      <c r="AN200" s="19" t="str">
        <f t="array" ref="AN200">_xlfn.xlookup(C200,'SCC Certificate Review'!C:C,'SCC Certificate Review'!F:F)</f>
        <v>#N/A</v>
      </c>
    </row>
    <row r="201">
      <c r="A201" s="6">
        <v>207.0</v>
      </c>
      <c r="B201" s="6" t="s">
        <v>2365</v>
      </c>
      <c r="C201" s="6" t="s">
        <v>2366</v>
      </c>
      <c r="D201" s="6" t="s">
        <v>114</v>
      </c>
      <c r="E201" s="6" t="s">
        <v>114</v>
      </c>
      <c r="F201" s="6" t="s">
        <v>2577</v>
      </c>
      <c r="I201" s="21">
        <v>46114.0</v>
      </c>
      <c r="J201" s="38" t="b">
        <v>1</v>
      </c>
      <c r="K201" s="6" t="s">
        <v>3486</v>
      </c>
      <c r="M201" s="6" t="s">
        <v>560</v>
      </c>
      <c r="N201" s="6" t="b">
        <v>0</v>
      </c>
      <c r="O201" s="6">
        <v>70.0</v>
      </c>
      <c r="P201" s="6">
        <v>56.0</v>
      </c>
      <c r="Q201" s="10">
        <f t="shared" si="40"/>
        <v>0.8</v>
      </c>
      <c r="R201" s="6" t="s">
        <v>3487</v>
      </c>
      <c r="S201" s="14"/>
      <c r="V201" s="17">
        <f>SUMIF(Parcels!A:A,
       A201,
       Parcels!Z:Z)</f>
        <v>0</v>
      </c>
      <c r="W201" s="17">
        <f>SUMIF(Parcels!$A:$A,
       $A201,
       Parcels!AC:AC)</f>
        <v>0</v>
      </c>
      <c r="X201" s="26">
        <f t="shared" si="6"/>
        <v>0</v>
      </c>
      <c r="Y201" s="26">
        <f t="shared" si="7"/>
        <v>0</v>
      </c>
      <c r="Z201" s="15" t="str">
        <f t="array" ref="Z201">_xlfn.XLOOKUP(
  A201,
  Parcels!A:A,
Parcels!AL:AL)</f>
        <v/>
      </c>
      <c r="AA201" s="26">
        <f t="shared" si="18"/>
        <v>0</v>
      </c>
      <c r="AB201" s="15"/>
      <c r="AC201" s="15"/>
      <c r="AD201" s="15"/>
      <c r="AJ201" s="14">
        <f t="shared" si="37"/>
        <v>20000</v>
      </c>
      <c r="AK201" s="14">
        <f t="shared" si="38"/>
        <v>5000</v>
      </c>
      <c r="AL201" s="19">
        <f t="shared" si="43"/>
        <v>0</v>
      </c>
      <c r="AM201" s="14">
        <f t="shared" si="44"/>
        <v>0</v>
      </c>
      <c r="AN201" s="19" t="str">
        <f t="array" ref="AN201">_xlfn.xlookup(C201,'SCC Certificate Review'!C:C,'SCC Certificate Review'!F:F)</f>
        <v/>
      </c>
    </row>
    <row r="202">
      <c r="A202" s="6">
        <v>208.0</v>
      </c>
      <c r="B202" s="6" t="s">
        <v>2362</v>
      </c>
      <c r="C202" s="6" t="s">
        <v>2363</v>
      </c>
      <c r="D202" s="6" t="s">
        <v>114</v>
      </c>
      <c r="E202" s="6" t="s">
        <v>114</v>
      </c>
      <c r="F202" s="6" t="s">
        <v>2577</v>
      </c>
      <c r="I202" s="21">
        <v>46114.0</v>
      </c>
      <c r="J202" s="38" t="b">
        <v>1</v>
      </c>
      <c r="K202" s="6" t="s">
        <v>3486</v>
      </c>
      <c r="M202" s="6" t="s">
        <v>560</v>
      </c>
      <c r="N202" s="6" t="b">
        <v>0</v>
      </c>
      <c r="O202" s="6">
        <v>42.0</v>
      </c>
      <c r="P202" s="6">
        <v>34.0</v>
      </c>
      <c r="Q202" s="10">
        <f t="shared" si="40"/>
        <v>0.8095238095</v>
      </c>
      <c r="R202" s="6" t="s">
        <v>3490</v>
      </c>
      <c r="S202" s="14"/>
      <c r="V202" s="17">
        <f>SUMIF(Parcels!A:A,
       A202,
       Parcels!Z:Z)</f>
        <v>0</v>
      </c>
      <c r="W202" s="17">
        <f>SUMIF(Parcels!$A:$A,
       $A202,
       Parcels!AC:AC)</f>
        <v>0</v>
      </c>
      <c r="X202" s="26">
        <f t="shared" si="6"/>
        <v>0</v>
      </c>
      <c r="Y202" s="26">
        <f t="shared" si="7"/>
        <v>0</v>
      </c>
      <c r="Z202" s="15" t="str">
        <f t="array" ref="Z202">_xlfn.XLOOKUP(
  A202,
  Parcels!A:A,
Parcels!AL:AL)</f>
        <v/>
      </c>
      <c r="AA202" s="26">
        <f t="shared" si="18"/>
        <v>0</v>
      </c>
      <c r="AB202" s="15"/>
      <c r="AC202" s="15"/>
      <c r="AD202" s="15"/>
      <c r="AJ202" s="14">
        <f t="shared" si="37"/>
        <v>20000</v>
      </c>
      <c r="AK202" s="14">
        <f t="shared" si="38"/>
        <v>5000</v>
      </c>
      <c r="AL202" s="19">
        <f t="shared" si="43"/>
        <v>0</v>
      </c>
      <c r="AM202" s="14">
        <f t="shared" si="44"/>
        <v>0</v>
      </c>
      <c r="AN202" s="19" t="str">
        <f t="array" ref="AN202">_xlfn.xlookup(C202,'SCC Certificate Review'!C:C,'SCC Certificate Review'!F:F)</f>
        <v/>
      </c>
    </row>
    <row r="203">
      <c r="A203" s="16">
        <v>49.0</v>
      </c>
      <c r="B203" s="6" t="s">
        <v>1997</v>
      </c>
      <c r="C203" s="6" t="s">
        <v>1998</v>
      </c>
      <c r="D203" s="6" t="s">
        <v>188</v>
      </c>
      <c r="E203" s="6" t="s">
        <v>86</v>
      </c>
      <c r="F203" s="6" t="s">
        <v>87</v>
      </c>
      <c r="G203" s="6"/>
      <c r="H203" s="6" t="s">
        <v>3491</v>
      </c>
      <c r="I203" s="21">
        <v>46129.0</v>
      </c>
      <c r="J203" s="27"/>
      <c r="K203" s="6" t="s">
        <v>1998</v>
      </c>
      <c r="M203" s="6" t="s">
        <v>90</v>
      </c>
      <c r="N203" s="6" t="b">
        <v>0</v>
      </c>
      <c r="O203" s="6">
        <v>162.0</v>
      </c>
      <c r="P203" s="6">
        <v>162.0</v>
      </c>
      <c r="Q203" s="20"/>
      <c r="R203" s="6" t="s">
        <v>3493</v>
      </c>
      <c r="S203" s="25">
        <v>18450.0</v>
      </c>
      <c r="T203" s="16" t="b">
        <f>COUNTIF(Parcels!A:A, A203) &gt; 0</f>
        <v>1</v>
      </c>
      <c r="U203" s="16" t="b">
        <f>MAXIFS(Parcels!AC:AC, Parcels!A:A, A203) &gt; 0</f>
        <v>0</v>
      </c>
      <c r="V203" s="17">
        <f>SUMIF(Parcels!A:A,
       A203,
       Parcels!Z:Z)</f>
        <v>38656726</v>
      </c>
      <c r="W203" s="17">
        <f>SUMIF(Parcels!$A:$A,
       $A203,
       Parcels!AC:AC)</f>
        <v>0</v>
      </c>
      <c r="X203" s="26">
        <f t="shared" si="6"/>
        <v>34791053.4</v>
      </c>
      <c r="Y203" s="26">
        <f t="shared" si="7"/>
        <v>34791053.4</v>
      </c>
      <c r="Z203" s="34">
        <f t="array" ref="Z203">_xlfn.XLOOKUP(
  A203,
  Parcels!A:A,
Parcels!AL:AL)</f>
        <v>0.011724</v>
      </c>
      <c r="AA203" s="26">
        <f t="shared" si="18"/>
        <v>0</v>
      </c>
      <c r="AB203" s="26">
        <f>Y203*Z203</f>
        <v>407890.3101</v>
      </c>
      <c r="AE203" s="6" t="s">
        <v>92</v>
      </c>
      <c r="AJ203" s="14">
        <f t="shared" si="37"/>
        <v>97200</v>
      </c>
      <c r="AK203" s="14">
        <f t="shared" si="38"/>
        <v>24300</v>
      </c>
      <c r="AL203" s="19">
        <f t="shared" si="43"/>
        <v>0</v>
      </c>
      <c r="AM203" s="14">
        <f t="shared" si="44"/>
        <v>0</v>
      </c>
      <c r="AN203" s="19" t="str">
        <f t="array" ref="AN203">_xlfn.xlookup(C203,'SCC Certificate Review'!C:C,'SCC Certificate Review'!F:F)</f>
        <v/>
      </c>
    </row>
    <row r="204" ht="22.5" customHeight="1">
      <c r="A204" s="16">
        <v>188.0</v>
      </c>
      <c r="B204" s="6" t="s">
        <v>2330</v>
      </c>
      <c r="C204" s="6" t="s">
        <v>2331</v>
      </c>
      <c r="D204" s="6" t="s">
        <v>324</v>
      </c>
      <c r="E204" s="6" t="s">
        <v>111</v>
      </c>
      <c r="F204" s="6" t="s">
        <v>87</v>
      </c>
      <c r="G204" s="16"/>
      <c r="H204" s="16"/>
      <c r="I204" s="21">
        <v>46129.0</v>
      </c>
      <c r="J204" s="38" t="b">
        <v>1</v>
      </c>
      <c r="K204" s="6" t="s">
        <v>3498</v>
      </c>
      <c r="L204" s="16"/>
      <c r="M204" s="6" t="s">
        <v>1063</v>
      </c>
      <c r="N204" s="6" t="b">
        <v>0</v>
      </c>
      <c r="O204" s="6">
        <v>135.0</v>
      </c>
      <c r="P204" s="6">
        <v>27.0</v>
      </c>
      <c r="Q204" s="20">
        <f t="shared" ref="Q204:Q209" si="45">P204/O204</f>
        <v>0.2</v>
      </c>
      <c r="R204" s="6" t="s">
        <v>3499</v>
      </c>
      <c r="S204" s="25">
        <v>4050.0</v>
      </c>
      <c r="T204" s="16" t="b">
        <f>COUNTIF(Parcels!A:A, A204) &gt; 0</f>
        <v>1</v>
      </c>
      <c r="U204" s="16" t="b">
        <f>MAXIFS(Parcels!AC:AC, Parcels!A:A, A204) &gt; 0</f>
        <v>1</v>
      </c>
      <c r="V204" s="17">
        <f>SUMIF(Parcels!A:A,
       A204,
       Parcels!Z:Z)</f>
        <v>42750000</v>
      </c>
      <c r="W204" s="17">
        <f>SUMIF(Parcels!$A:$A,
       $A204,
       Parcels!AC:AC)</f>
        <v>9419226</v>
      </c>
      <c r="X204" s="26">
        <f t="shared" si="6"/>
        <v>7695000</v>
      </c>
      <c r="Y204" s="26">
        <f t="shared" si="7"/>
        <v>9419226</v>
      </c>
      <c r="Z204" s="15" t="str">
        <f t="array" ref="Z204">_xlfn.XLOOKUP(
  A204,
  Parcels!A:A,
Parcels!AL:AL)</f>
        <v/>
      </c>
      <c r="AA204" s="26">
        <f t="shared" si="18"/>
        <v>0</v>
      </c>
      <c r="AB204" s="15"/>
      <c r="AC204" s="15"/>
      <c r="AD204" s="15"/>
      <c r="AE204" s="16"/>
      <c r="AF204" s="16"/>
      <c r="AG204" s="16"/>
      <c r="AH204" s="16"/>
      <c r="AI204" s="16"/>
      <c r="AJ204" s="14">
        <f t="shared" si="37"/>
        <v>81000</v>
      </c>
      <c r="AK204" s="14">
        <f t="shared" si="38"/>
        <v>20250</v>
      </c>
      <c r="AL204" s="19">
        <f t="shared" si="43"/>
        <v>0</v>
      </c>
      <c r="AM204" s="14">
        <f t="shared" si="44"/>
        <v>0</v>
      </c>
      <c r="AN204" s="19" t="str">
        <f t="array" ref="AN204">_xlfn.xlookup(C204,'SCC Certificate Review'!C:C,'SCC Certificate Review'!F:F)</f>
        <v/>
      </c>
    </row>
    <row r="205">
      <c r="A205" s="6">
        <v>202.0</v>
      </c>
      <c r="B205" s="6" t="s">
        <v>2370</v>
      </c>
      <c r="C205" s="6" t="s">
        <v>2371</v>
      </c>
      <c r="D205" s="6" t="s">
        <v>133</v>
      </c>
      <c r="E205" s="6" t="s">
        <v>133</v>
      </c>
      <c r="F205" s="6" t="s">
        <v>87</v>
      </c>
      <c r="I205" s="21">
        <v>46129.0</v>
      </c>
      <c r="J205" s="27"/>
      <c r="K205" s="6" t="s">
        <v>619</v>
      </c>
      <c r="M205" s="6" t="s">
        <v>1654</v>
      </c>
      <c r="N205" s="6" t="b">
        <v>0</v>
      </c>
      <c r="O205" s="6">
        <v>150.0</v>
      </c>
      <c r="P205" s="6">
        <v>150.0</v>
      </c>
      <c r="Q205" s="10">
        <f t="shared" si="45"/>
        <v>1</v>
      </c>
      <c r="R205" s="6" t="s">
        <v>3507</v>
      </c>
      <c r="S205" s="25">
        <v>22500.0</v>
      </c>
      <c r="V205" s="17">
        <f>SUMIF(Parcels!A:A,
       A205,
       Parcels!Z:Z)</f>
        <v>0</v>
      </c>
      <c r="W205" s="17">
        <f>SUMIF(Parcels!$A:$A,
       $A205,
       Parcels!AC:AC)</f>
        <v>0</v>
      </c>
      <c r="X205" s="26">
        <f t="shared" si="6"/>
        <v>0</v>
      </c>
      <c r="Y205" s="26">
        <f t="shared" si="7"/>
        <v>0</v>
      </c>
      <c r="Z205" s="15" t="str">
        <f t="array" ref="Z205">_xlfn.XLOOKUP(
  A205,
  Parcels!A:A,
Parcels!AL:AL)</f>
        <v/>
      </c>
      <c r="AA205" s="26">
        <f t="shared" si="18"/>
        <v>0</v>
      </c>
      <c r="AB205" s="15"/>
      <c r="AC205" s="15"/>
      <c r="AD205" s="15"/>
      <c r="AE205" s="6" t="s">
        <v>92</v>
      </c>
      <c r="AF205" s="6">
        <v>1980.0</v>
      </c>
      <c r="AJ205" s="14">
        <f>if(F205="CMFA", if(O205&lt;16,10000,O205*600),"-")</f>
        <v>90000</v>
      </c>
      <c r="AK205" s="14">
        <f>if(F205="CMFA", if(O205&lt;26,4000,O205*150),"-")</f>
        <v>22500</v>
      </c>
      <c r="AL205" s="14"/>
      <c r="AM205" s="14"/>
      <c r="AN205" s="19" t="str">
        <f t="array" ref="AN205">_xlfn.xlookup(C205,'SCC Certificate Review'!C:C,'SCC Certificate Review'!F:F)</f>
        <v/>
      </c>
    </row>
    <row r="206">
      <c r="A206" s="6">
        <v>205.0</v>
      </c>
      <c r="B206" s="6" t="s">
        <v>2330</v>
      </c>
      <c r="C206" s="6" t="s">
        <v>2376</v>
      </c>
      <c r="D206" s="6" t="s">
        <v>324</v>
      </c>
      <c r="E206" s="6" t="s">
        <v>111</v>
      </c>
      <c r="F206" s="6" t="s">
        <v>2577</v>
      </c>
      <c r="I206" s="21">
        <v>46149.0</v>
      </c>
      <c r="J206" s="27"/>
      <c r="K206" s="6" t="s">
        <v>3498</v>
      </c>
      <c r="M206" s="6" t="s">
        <v>3516</v>
      </c>
      <c r="N206" s="6" t="b">
        <v>1</v>
      </c>
      <c r="O206" s="6">
        <v>135.0</v>
      </c>
      <c r="P206" s="6">
        <v>54.0</v>
      </c>
      <c r="Q206" s="10">
        <f t="shared" si="45"/>
        <v>0.4</v>
      </c>
      <c r="R206" s="6" t="s">
        <v>3517</v>
      </c>
      <c r="S206" s="14"/>
      <c r="V206" s="17">
        <f>SUMIF(Parcels!A:A,
       A206,
       Parcels!Z:Z)</f>
        <v>0</v>
      </c>
      <c r="W206" s="17">
        <f>SUMIF(Parcels!$A:$A,
       $A206,
       Parcels!AC:AC)</f>
        <v>0</v>
      </c>
      <c r="X206" s="26">
        <f t="shared" si="6"/>
        <v>0</v>
      </c>
      <c r="Y206" s="26">
        <f t="shared" si="7"/>
        <v>0</v>
      </c>
      <c r="Z206" s="15" t="str">
        <f t="array" ref="Z206">_xlfn.XLOOKUP(
  A206,
  Parcels!A:A,
Parcels!AL:AL)</f>
        <v/>
      </c>
      <c r="AA206" s="26">
        <f t="shared" si="18"/>
        <v>0</v>
      </c>
      <c r="AB206" s="15"/>
      <c r="AC206" s="15"/>
      <c r="AD206" s="15"/>
      <c r="AJ206" s="14">
        <f t="shared" ref="AJ206:AJ237" si="46">if(F206="CMFA", if(O206&lt;16,10000,O206*600),if(F206="CSCDA",if(33&lt;O206&lt;300, O206*600,if(O206&gt;300,(180000+(O206-300)*300),20000))))</f>
        <v>20000</v>
      </c>
      <c r="AK206" s="14">
        <f t="shared" ref="AK206:AK237" si="47">if(F206="CMFA", if(O206&lt;26,4000,O206*150),if(F206="CSCDA",if(33&lt;O206&lt;300, O206*150,if(O206&gt;300,(45000+(O206-300)*75),5000))))</f>
        <v>5000</v>
      </c>
      <c r="AL206" s="19">
        <f t="shared" ref="AL206:AL210" si="48">if(AE206="YES",0,IF(AND(I206&gt;=DATE(2022,7,1),I206&lt;=DATE(2023,6,30)),3,IF(AND(I206&gt;=DATE(2023,7,1),I206&lt;=DATE(2024,6,30)),2,IF(AND(I206&gt;=DATE(2024,7,1),I206&lt;=DATE(2025,6,30)),1,IF(AND(I206&gt;=DATE(2025,7,1),I206&lt;=DATE(2026,6,30)),0,"-")))))</f>
        <v>0</v>
      </c>
      <c r="AM206" s="14">
        <f>AK206*AL206</f>
        <v>0</v>
      </c>
      <c r="AN206" s="19" t="str">
        <f t="array" ref="AN206">_xlfn.xlookup(C206,'SCC Certificate Review'!C:C,'SCC Certificate Review'!F:F)</f>
        <v/>
      </c>
    </row>
    <row r="207">
      <c r="A207" s="6">
        <v>203.0</v>
      </c>
      <c r="B207" s="6" t="s">
        <v>2377</v>
      </c>
      <c r="C207" s="6" t="s">
        <v>2378</v>
      </c>
      <c r="D207" s="6" t="s">
        <v>694</v>
      </c>
      <c r="E207" s="6" t="s">
        <v>120</v>
      </c>
      <c r="F207" s="6" t="s">
        <v>87</v>
      </c>
      <c r="I207" s="21">
        <v>46150.0</v>
      </c>
      <c r="J207" s="27"/>
      <c r="K207" s="6" t="s">
        <v>3534</v>
      </c>
      <c r="M207" s="6" t="s">
        <v>90</v>
      </c>
      <c r="N207" s="6" t="b">
        <v>0</v>
      </c>
      <c r="O207" s="6">
        <v>208.0</v>
      </c>
      <c r="P207" s="6">
        <v>208.0</v>
      </c>
      <c r="Q207" s="10">
        <f t="shared" si="45"/>
        <v>1</v>
      </c>
      <c r="R207" s="6" t="s">
        <v>3535</v>
      </c>
      <c r="S207" s="25">
        <v>31200.0</v>
      </c>
      <c r="V207" s="17">
        <f>SUMIF(Parcels!A:A,
       A207,
       Parcels!Z:Z)</f>
        <v>0</v>
      </c>
      <c r="W207" s="17">
        <f>SUMIF(Parcels!$A:$A,
       $A207,
       Parcels!AC:AC)</f>
        <v>0</v>
      </c>
      <c r="X207" s="26">
        <f t="shared" si="6"/>
        <v>0</v>
      </c>
      <c r="Y207" s="26">
        <f t="shared" si="7"/>
        <v>0</v>
      </c>
      <c r="Z207" s="15" t="str">
        <f t="array" ref="Z207">_xlfn.XLOOKUP(
  A207,
  Parcels!A:A,
Parcels!AL:AL)</f>
        <v/>
      </c>
      <c r="AA207" s="26">
        <f t="shared" si="18"/>
        <v>0</v>
      </c>
      <c r="AB207" s="15"/>
      <c r="AC207" s="15"/>
      <c r="AD207" s="15"/>
      <c r="AJ207" s="14">
        <f t="shared" si="46"/>
        <v>124800</v>
      </c>
      <c r="AK207" s="14">
        <f t="shared" si="47"/>
        <v>31200</v>
      </c>
      <c r="AL207" s="19">
        <f t="shared" si="48"/>
        <v>0</v>
      </c>
      <c r="AM207" s="14"/>
      <c r="AN207" s="19" t="str">
        <f t="array" ref="AN207">_xlfn.xlookup(C207,'SCC Certificate Review'!C:C,'SCC Certificate Review'!F:F)</f>
        <v/>
      </c>
    </row>
    <row r="208">
      <c r="A208" s="6">
        <v>204.0</v>
      </c>
      <c r="B208" s="6" t="s">
        <v>1749</v>
      </c>
      <c r="C208" s="6" t="s">
        <v>1750</v>
      </c>
      <c r="D208" s="6" t="s">
        <v>114</v>
      </c>
      <c r="E208" s="6" t="s">
        <v>114</v>
      </c>
      <c r="F208" s="6" t="s">
        <v>87</v>
      </c>
      <c r="I208" s="21">
        <v>46150.0</v>
      </c>
      <c r="J208" s="27"/>
      <c r="K208" s="6" t="s">
        <v>1588</v>
      </c>
      <c r="M208" s="6" t="s">
        <v>951</v>
      </c>
      <c r="N208" s="6" t="b">
        <v>0</v>
      </c>
      <c r="O208" s="6">
        <v>49.0</v>
      </c>
      <c r="P208" s="6">
        <v>49.0</v>
      </c>
      <c r="Q208" s="10">
        <f t="shared" si="45"/>
        <v>1</v>
      </c>
      <c r="S208" s="25">
        <v>7350.0</v>
      </c>
      <c r="V208" s="17">
        <f>SUMIF(Parcels!A:A,
       A208,
       Parcels!Z:Z)</f>
        <v>0</v>
      </c>
      <c r="W208" s="17">
        <f>SUMIF(Parcels!$A:$A,
       $A208,
       Parcels!AC:AC)</f>
        <v>0</v>
      </c>
      <c r="X208" s="26">
        <f t="shared" si="6"/>
        <v>0</v>
      </c>
      <c r="Y208" s="26">
        <f t="shared" si="7"/>
        <v>0</v>
      </c>
      <c r="Z208" s="15" t="str">
        <f t="array" ref="Z208">_xlfn.XLOOKUP(
  A208,
  Parcels!A:A,
Parcels!AL:AL)</f>
        <v/>
      </c>
      <c r="AA208" s="26">
        <f t="shared" si="18"/>
        <v>0</v>
      </c>
      <c r="AB208" s="15"/>
      <c r="AC208" s="15"/>
      <c r="AD208" s="15"/>
      <c r="AE208" s="6" t="s">
        <v>474</v>
      </c>
      <c r="AJ208" s="14">
        <f t="shared" si="46"/>
        <v>29400</v>
      </c>
      <c r="AK208" s="14">
        <f t="shared" si="47"/>
        <v>7350</v>
      </c>
      <c r="AL208" s="19">
        <f t="shared" si="48"/>
        <v>0</v>
      </c>
      <c r="AM208" s="14"/>
      <c r="AN208" s="19" t="str">
        <f t="array" ref="AN208">_xlfn.xlookup(C208,'SCC Certificate Review'!C:C,'SCC Certificate Review'!F:F)</f>
        <v/>
      </c>
    </row>
    <row r="209">
      <c r="A209" s="6">
        <v>206.0</v>
      </c>
      <c r="B209" s="6" t="s">
        <v>2385</v>
      </c>
      <c r="C209" s="6" t="s">
        <v>2386</v>
      </c>
      <c r="D209" s="6" t="s">
        <v>172</v>
      </c>
      <c r="E209" s="6" t="s">
        <v>114</v>
      </c>
      <c r="F209" s="6" t="s">
        <v>87</v>
      </c>
      <c r="I209" s="21">
        <v>46150.0</v>
      </c>
      <c r="J209" s="38" t="b">
        <v>1</v>
      </c>
      <c r="K209" s="6" t="s">
        <v>3540</v>
      </c>
      <c r="M209" s="6" t="s">
        <v>3541</v>
      </c>
      <c r="N209" s="6" t="b">
        <v>0</v>
      </c>
      <c r="O209" s="6">
        <v>123.0</v>
      </c>
      <c r="P209" s="6">
        <v>123.0</v>
      </c>
      <c r="Q209" s="10">
        <f t="shared" si="45"/>
        <v>1</v>
      </c>
      <c r="R209" s="6" t="s">
        <v>3542</v>
      </c>
      <c r="S209" s="14"/>
      <c r="V209" s="17">
        <f>SUMIF(Parcels!A:A,
       A209,
       Parcels!Z:Z)</f>
        <v>0</v>
      </c>
      <c r="W209" s="17">
        <f>SUMIF(Parcels!$A:$A,
       $A209,
       Parcels!AC:AC)</f>
        <v>0</v>
      </c>
      <c r="X209" s="26">
        <f t="shared" si="6"/>
        <v>0</v>
      </c>
      <c r="Y209" s="26">
        <f t="shared" si="7"/>
        <v>0</v>
      </c>
      <c r="Z209" s="15" t="str">
        <f t="array" ref="Z209">_xlfn.XLOOKUP(
  A209,
  Parcels!A:A,
Parcels!AL:AL)</f>
        <v/>
      </c>
      <c r="AA209" s="26">
        <f t="shared" si="18"/>
        <v>0</v>
      </c>
      <c r="AB209" s="15"/>
      <c r="AC209" s="15"/>
      <c r="AD209" s="15"/>
      <c r="AJ209" s="14">
        <f t="shared" si="46"/>
        <v>73800</v>
      </c>
      <c r="AK209" s="14">
        <f t="shared" si="47"/>
        <v>18450</v>
      </c>
      <c r="AL209" s="19">
        <f t="shared" si="48"/>
        <v>0</v>
      </c>
      <c r="AM209" s="14">
        <f t="shared" ref="AM209:AM210" si="49">AK209*AL209</f>
        <v>0</v>
      </c>
      <c r="AN209" s="19" t="str">
        <f t="array" ref="AN209">_xlfn.xlookup(C209,'SCC Certificate Review'!C:C,'SCC Certificate Review'!F:F)</f>
        <v/>
      </c>
    </row>
    <row r="210">
      <c r="A210" s="6">
        <v>224.0</v>
      </c>
      <c r="B210" s="6" t="s">
        <v>2388</v>
      </c>
      <c r="C210" s="6" t="s">
        <v>2389</v>
      </c>
      <c r="D210" s="6" t="s">
        <v>114</v>
      </c>
      <c r="E210" s="6" t="s">
        <v>114</v>
      </c>
      <c r="F210" s="6" t="s">
        <v>2577</v>
      </c>
      <c r="I210" s="13">
        <v>46163.0</v>
      </c>
      <c r="J210" s="47"/>
      <c r="K210" s="6" t="s">
        <v>3545</v>
      </c>
      <c r="N210" s="6" t="b">
        <v>0</v>
      </c>
      <c r="O210" s="6">
        <v>31.0</v>
      </c>
      <c r="P210" s="6">
        <v>31.0</v>
      </c>
      <c r="Q210" s="10"/>
      <c r="R210" s="6" t="s">
        <v>3547</v>
      </c>
      <c r="S210" s="14"/>
      <c r="V210" s="17">
        <f>SUMIF(Parcels!A:A,
       A210,
       Parcels!Z:Z)</f>
        <v>0</v>
      </c>
      <c r="W210" s="17">
        <f>SUMIF(Parcels!$A:$A,
       $A210,
       Parcels!AC:AC)</f>
        <v>0</v>
      </c>
      <c r="X210" s="26">
        <f t="shared" si="6"/>
        <v>0</v>
      </c>
      <c r="Y210" s="26">
        <f t="shared" si="7"/>
        <v>0</v>
      </c>
      <c r="Z210" s="15" t="str">
        <f t="array" ref="Z210">_xlfn.XLOOKUP(
  A210,
  Parcels!A:A,
Parcels!AL:AL)</f>
        <v/>
      </c>
      <c r="AA210" s="26">
        <f t="shared" si="18"/>
        <v>0</v>
      </c>
      <c r="AB210" s="15"/>
      <c r="AC210" s="15"/>
      <c r="AD210" s="15"/>
      <c r="AE210" s="6" t="s">
        <v>474</v>
      </c>
      <c r="AJ210" s="14">
        <f t="shared" si="46"/>
        <v>20000</v>
      </c>
      <c r="AK210" s="14">
        <f t="shared" si="47"/>
        <v>5000</v>
      </c>
      <c r="AL210" s="19">
        <f t="shared" si="48"/>
        <v>0</v>
      </c>
      <c r="AM210" s="14">
        <f t="shared" si="49"/>
        <v>0</v>
      </c>
      <c r="AN210" s="19" t="str">
        <f t="array" ref="AN210">_xlfn.xlookup(C210,'SCC Certificate Review'!C:C,'SCC Certificate Review'!F:F)</f>
        <v/>
      </c>
    </row>
    <row r="211">
      <c r="A211" s="6">
        <v>209.0</v>
      </c>
      <c r="B211" s="6" t="s">
        <v>2390</v>
      </c>
      <c r="C211" s="6" t="s">
        <v>2391</v>
      </c>
      <c r="D211" s="6" t="s">
        <v>177</v>
      </c>
      <c r="E211" s="6" t="s">
        <v>122</v>
      </c>
      <c r="F211" s="6" t="s">
        <v>87</v>
      </c>
      <c r="I211" s="21">
        <v>46171.0</v>
      </c>
      <c r="J211" s="27"/>
      <c r="K211" s="6" t="s">
        <v>3551</v>
      </c>
      <c r="M211" s="6" t="s">
        <v>3552</v>
      </c>
      <c r="N211" s="6" t="b">
        <v>0</v>
      </c>
      <c r="O211" s="6">
        <v>12.0</v>
      </c>
      <c r="P211" s="6">
        <v>12.0</v>
      </c>
      <c r="Q211" s="10">
        <f t="shared" ref="Q211:Q212" si="50">P211/O211</f>
        <v>1</v>
      </c>
      <c r="R211" s="6" t="s">
        <v>3554</v>
      </c>
      <c r="S211" s="25">
        <v>2500.0</v>
      </c>
      <c r="V211" s="17">
        <f>SUMIF(Parcels!A:A,
       A211,
       Parcels!Z:Z)</f>
        <v>0</v>
      </c>
      <c r="W211" s="17">
        <f>SUMIF(Parcels!$A:$A,
       $A211,
       Parcels!AC:AC)</f>
        <v>0</v>
      </c>
      <c r="X211" s="26">
        <f t="shared" si="6"/>
        <v>0</v>
      </c>
      <c r="Y211" s="26">
        <f t="shared" si="7"/>
        <v>0</v>
      </c>
      <c r="Z211" s="15" t="str">
        <f t="array" ref="Z211">_xlfn.XLOOKUP(
  A211,
  Parcels!A:A,
Parcels!AL:AL)</f>
        <v/>
      </c>
      <c r="AA211" s="26">
        <f t="shared" si="18"/>
        <v>0</v>
      </c>
      <c r="AB211" s="15"/>
      <c r="AC211" s="15"/>
      <c r="AD211" s="15"/>
      <c r="AI211" s="6">
        <v>15.0</v>
      </c>
      <c r="AJ211" s="14">
        <f t="shared" si="46"/>
        <v>10000</v>
      </c>
      <c r="AK211" s="14">
        <f t="shared" si="47"/>
        <v>4000</v>
      </c>
      <c r="AL211" s="19">
        <f>if(AE211="YES",0,IF(AND(I211&gt;=DATE(2022,7,1),I211&lt;=DATE(2023,6,30)),3,IF(AND(I211&gt;=DATE(2023,7,1),I211&lt;=DATE(2024,6,30)),2,IF(AND(I211&gt;=DATE(2024,7,1),I211&lt;=DATE(2025,6,30)),1,IF(AND(I211&gt;=DATE(2025,7,1),I211&lt;=DATE(2026,6,30)),0,"0")))))</f>
        <v>0</v>
      </c>
      <c r="AM211" s="14"/>
      <c r="AN211" s="19" t="str">
        <f t="array" ref="AN211">_xlfn.xlookup(C211,'SCC Certificate Review'!C:C,'SCC Certificate Review'!F:F)</f>
        <v/>
      </c>
    </row>
    <row r="212">
      <c r="A212" s="6">
        <v>210.0</v>
      </c>
      <c r="B212" s="6" t="s">
        <v>2394</v>
      </c>
      <c r="C212" s="6" t="s">
        <v>2395</v>
      </c>
      <c r="D212" s="6" t="s">
        <v>120</v>
      </c>
      <c r="E212" s="6" t="s">
        <v>120</v>
      </c>
      <c r="F212" s="6" t="s">
        <v>87</v>
      </c>
      <c r="I212" s="21">
        <v>46171.0</v>
      </c>
      <c r="J212" s="27"/>
      <c r="K212" s="6" t="s">
        <v>3534</v>
      </c>
      <c r="M212" s="6" t="s">
        <v>90</v>
      </c>
      <c r="N212" s="6" t="b">
        <v>0</v>
      </c>
      <c r="O212" s="6">
        <v>211.0</v>
      </c>
      <c r="P212" s="6">
        <v>211.0</v>
      </c>
      <c r="Q212" s="10">
        <f t="shared" si="50"/>
        <v>1</v>
      </c>
      <c r="R212" s="6" t="s">
        <v>3560</v>
      </c>
      <c r="S212" s="14"/>
      <c r="V212" s="17">
        <f>SUMIF(Parcels!A:A,
       A212,
       Parcels!Z:Z)</f>
        <v>11438021</v>
      </c>
      <c r="W212" s="17">
        <f>SUMIF(Parcels!$A:$A,
       $A212,
       Parcels!AC:AC)</f>
        <v>0</v>
      </c>
      <c r="X212" s="26">
        <f t="shared" si="6"/>
        <v>10294218.9</v>
      </c>
      <c r="Y212" s="26">
        <f t="shared" si="7"/>
        <v>10294218.9</v>
      </c>
      <c r="Z212" s="15" t="str">
        <f t="array" ref="Z212">_xlfn.XLOOKUP(
  A212,
  Parcels!A:A,
Parcels!AL:AL)</f>
        <v/>
      </c>
      <c r="AA212" s="26">
        <f t="shared" si="18"/>
        <v>0</v>
      </c>
      <c r="AB212" s="15"/>
      <c r="AC212" s="15"/>
      <c r="AD212" s="15"/>
      <c r="AI212" s="6">
        <v>10.0</v>
      </c>
      <c r="AJ212" s="14">
        <f t="shared" si="46"/>
        <v>126600</v>
      </c>
      <c r="AK212" s="14">
        <f t="shared" si="47"/>
        <v>31650</v>
      </c>
      <c r="AL212" s="19">
        <f>if(AE212="YES",0,IF(AND(I212&gt;=DATE(2022,7,1),I212&lt;=DATE(2023,6,30)),3,IF(AND(I212&gt;=DATE(2023,7,1),I212&lt;=DATE(2024,6,30)),2,IF(AND(I212&gt;=DATE(2024,7,1),I212&lt;=DATE(2025,6,30)),1,IF(AND(I212&gt;=DATE(2025,7,1),I212&lt;=DATE(2026,6,30)),0,"-")))))</f>
        <v>0</v>
      </c>
      <c r="AM212" s="14"/>
      <c r="AN212" s="19" t="str">
        <f t="array" ref="AN212">_xlfn.xlookup(C212,'SCC Certificate Review'!C:C,'SCC Certificate Review'!F:F)</f>
        <v/>
      </c>
    </row>
    <row r="213">
      <c r="A213" s="6">
        <v>226.0</v>
      </c>
      <c r="B213" s="6" t="s">
        <v>2410</v>
      </c>
      <c r="C213" s="6" t="s">
        <v>2411</v>
      </c>
      <c r="D213" s="6" t="s">
        <v>332</v>
      </c>
      <c r="E213" s="6" t="s">
        <v>111</v>
      </c>
      <c r="F213" s="6" t="s">
        <v>2577</v>
      </c>
      <c r="I213" s="21">
        <v>46175.0</v>
      </c>
      <c r="J213" s="38" t="b">
        <v>1</v>
      </c>
      <c r="K213" s="6" t="s">
        <v>3498</v>
      </c>
      <c r="M213" s="6" t="s">
        <v>835</v>
      </c>
      <c r="N213" s="6" t="b">
        <v>0</v>
      </c>
      <c r="O213" s="6">
        <v>168.0</v>
      </c>
      <c r="P213" s="6">
        <v>134.0</v>
      </c>
      <c r="Q213" s="10"/>
      <c r="R213" s="6" t="s">
        <v>3567</v>
      </c>
      <c r="S213" s="14"/>
      <c r="V213" s="17">
        <f>SUMIF(Parcels!A:A,
       A213,
       Parcels!Z:Z)</f>
        <v>0</v>
      </c>
      <c r="W213" s="17">
        <f>SUMIF(Parcels!$A:$A,
       $A213,
       Parcels!AC:AC)</f>
        <v>0</v>
      </c>
      <c r="X213" s="26">
        <f t="shared" si="6"/>
        <v>0</v>
      </c>
      <c r="Y213" s="26">
        <f t="shared" si="7"/>
        <v>0</v>
      </c>
      <c r="Z213" s="15" t="str">
        <f t="array" ref="Z213">_xlfn.XLOOKUP(
  A213,
  Parcels!A:A,
Parcels!AL:AL)</f>
        <v/>
      </c>
      <c r="AA213" s="26">
        <f t="shared" si="18"/>
        <v>0</v>
      </c>
      <c r="AB213" s="15"/>
      <c r="AC213" s="15"/>
      <c r="AD213" s="15"/>
      <c r="AI213" s="6">
        <v>10.0</v>
      </c>
      <c r="AJ213" s="14">
        <f t="shared" si="46"/>
        <v>20000</v>
      </c>
      <c r="AK213" s="14">
        <f t="shared" si="47"/>
        <v>5000</v>
      </c>
      <c r="AL213" s="19">
        <f t="shared" ref="AL213:AL214" si="51">if(AE213="YES",0,IF(AND(I213&gt;=DATE(2022,7,1),I213&lt;=DATE(2023,6,30)),3,IF(AND(I213&gt;=DATE(2023,7,1),I213&lt;=DATE(2024,6,30)),2,IF(AND(I213&gt;=DATE(2024,7,1),I213&lt;=DATE(2025,6,30)),1,IF(AND(I213&gt;=DATE(2025,7,1),I213&lt;=DATE(2026,6,30)),0,"0")))))</f>
        <v>0</v>
      </c>
      <c r="AM213" s="14"/>
      <c r="AN213" s="19" t="str">
        <f t="array" ref="AN213">_xlfn.xlookup(C213,'SCC Certificate Review'!C:C,'SCC Certificate Review'!F:F)</f>
        <v/>
      </c>
    </row>
    <row r="214">
      <c r="A214" s="6">
        <v>228.0</v>
      </c>
      <c r="B214" s="6" t="s">
        <v>2397</v>
      </c>
      <c r="C214" s="6" t="s">
        <v>2398</v>
      </c>
      <c r="D214" s="6" t="s">
        <v>114</v>
      </c>
      <c r="E214" s="6" t="s">
        <v>114</v>
      </c>
      <c r="F214" s="6" t="s">
        <v>2577</v>
      </c>
      <c r="I214" s="21">
        <v>46175.0</v>
      </c>
      <c r="J214" s="27"/>
      <c r="K214" s="6" t="s">
        <v>3573</v>
      </c>
      <c r="M214" s="6" t="s">
        <v>587</v>
      </c>
      <c r="N214" s="6" t="b">
        <v>0</v>
      </c>
      <c r="O214" s="6">
        <v>38.0</v>
      </c>
      <c r="P214" s="6">
        <v>19.0</v>
      </c>
      <c r="Q214" s="10"/>
      <c r="R214" s="6" t="s">
        <v>3574</v>
      </c>
      <c r="S214" s="14"/>
      <c r="V214" s="17">
        <f>SUMIF(Parcels!A:A,
       A214,
       Parcels!Z:Z)</f>
        <v>0</v>
      </c>
      <c r="W214" s="17">
        <f>SUMIF(Parcels!$A:$A,
       $A214,
       Parcels!AC:AC)</f>
        <v>0</v>
      </c>
      <c r="X214" s="26">
        <f t="shared" si="6"/>
        <v>0</v>
      </c>
      <c r="Y214" s="26">
        <f t="shared" si="7"/>
        <v>0</v>
      </c>
      <c r="Z214" s="15" t="str">
        <f t="array" ref="Z214">_xlfn.XLOOKUP(
  A214,
  Parcels!A:A,
Parcels!AL:AL)</f>
        <v/>
      </c>
      <c r="AA214" s="26">
        <f t="shared" si="18"/>
        <v>0</v>
      </c>
      <c r="AB214" s="15"/>
      <c r="AC214" s="15"/>
      <c r="AD214" s="15"/>
      <c r="AI214" s="6">
        <v>15.0</v>
      </c>
      <c r="AJ214" s="14">
        <f t="shared" si="46"/>
        <v>20000</v>
      </c>
      <c r="AK214" s="14">
        <f t="shared" si="47"/>
        <v>5000</v>
      </c>
      <c r="AL214" s="19">
        <f t="shared" si="51"/>
        <v>0</v>
      </c>
      <c r="AM214" s="14"/>
      <c r="AN214" s="19" t="str">
        <f t="array" ref="AN214">_xlfn.xlookup(C214,'SCC Certificate Review'!C:C,'SCC Certificate Review'!F:F)</f>
        <v/>
      </c>
    </row>
    <row r="215">
      <c r="A215" s="6">
        <v>230.0</v>
      </c>
      <c r="B215" s="6" t="s">
        <v>2403</v>
      </c>
      <c r="C215" s="6" t="s">
        <v>2404</v>
      </c>
      <c r="D215" s="6" t="s">
        <v>114</v>
      </c>
      <c r="E215" s="6" t="s">
        <v>114</v>
      </c>
      <c r="F215" s="6" t="s">
        <v>2577</v>
      </c>
      <c r="I215" s="21">
        <v>46175.0</v>
      </c>
      <c r="J215" s="27"/>
      <c r="K215" s="6" t="s">
        <v>3573</v>
      </c>
      <c r="M215" s="6" t="s">
        <v>587</v>
      </c>
      <c r="N215" s="6" t="b">
        <v>0</v>
      </c>
      <c r="O215" s="6">
        <v>116.0</v>
      </c>
      <c r="P215" s="6">
        <v>29.0</v>
      </c>
      <c r="Q215" s="10"/>
      <c r="R215" s="6" t="s">
        <v>3578</v>
      </c>
      <c r="S215" s="14"/>
      <c r="V215" s="17">
        <f>SUMIF(Parcels!A:A,
       A215,
       Parcels!Z:Z)</f>
        <v>0</v>
      </c>
      <c r="W215" s="17">
        <f>SUMIF(Parcels!$A:$A,
       $A215,
       Parcels!AC:AC)</f>
        <v>0</v>
      </c>
      <c r="X215" s="26">
        <f t="shared" si="6"/>
        <v>0</v>
      </c>
      <c r="Y215" s="26">
        <f t="shared" si="7"/>
        <v>0</v>
      </c>
      <c r="Z215" s="15" t="str">
        <f t="array" ref="Z215">_xlfn.XLOOKUP(
  A215,
  Parcels!A:A,
Parcels!AL:AL)</f>
        <v/>
      </c>
      <c r="AA215" s="26">
        <f t="shared" si="18"/>
        <v>0</v>
      </c>
      <c r="AB215" s="15"/>
      <c r="AC215" s="15"/>
      <c r="AD215" s="15"/>
      <c r="AE215" s="6" t="s">
        <v>92</v>
      </c>
      <c r="AJ215" s="14">
        <f t="shared" si="46"/>
        <v>20000</v>
      </c>
      <c r="AK215" s="14">
        <f t="shared" si="47"/>
        <v>5000</v>
      </c>
      <c r="AL215" s="19">
        <f t="shared" ref="AL215:AL217" si="52">if(AE215="YES",0,IF(AND(I215&gt;=DATE(2022,7,1),I215&lt;=DATE(2023,6,30)),3,IF(AND(I215&gt;=DATE(2023,7,1),I215&lt;=DATE(2024,6,30)),2,IF(AND(I215&gt;=DATE(2024,7,1),I215&lt;=DATE(2025,6,30)),1,IF(AND(I215&gt;=DATE(2025,7,1),I215&lt;=DATE(2026,6,30)),0,"-")))))</f>
        <v>0</v>
      </c>
      <c r="AM215" s="14"/>
      <c r="AN215" s="19" t="str">
        <f t="array" ref="AN215">_xlfn.xlookup(C215,'SCC Certificate Review'!C:C,'SCC Certificate Review'!F:F)</f>
        <v/>
      </c>
    </row>
    <row r="216">
      <c r="A216" s="6">
        <v>232.0</v>
      </c>
      <c r="B216" s="237" t="s">
        <v>2406</v>
      </c>
      <c r="C216" s="237" t="s">
        <v>3583</v>
      </c>
      <c r="D216" s="237" t="s">
        <v>275</v>
      </c>
      <c r="E216" s="237" t="s">
        <v>119</v>
      </c>
      <c r="F216" s="6" t="s">
        <v>2577</v>
      </c>
      <c r="I216" s="21">
        <v>46175.0</v>
      </c>
      <c r="J216" s="27"/>
      <c r="K216" s="6" t="s">
        <v>3096</v>
      </c>
      <c r="L216" s="6" t="s">
        <v>1507</v>
      </c>
      <c r="M216" s="237" t="s">
        <v>1228</v>
      </c>
      <c r="N216" s="6" t="b">
        <v>0</v>
      </c>
      <c r="O216" s="6">
        <v>402.0</v>
      </c>
      <c r="P216" s="6">
        <v>120.0</v>
      </c>
      <c r="Q216" s="10"/>
      <c r="R216" s="6" t="s">
        <v>3584</v>
      </c>
      <c r="S216" s="14"/>
      <c r="V216" s="17">
        <f>SUMIF(Parcels!A:A,
       A216,
       Parcels!Z:Z)</f>
        <v>120178213</v>
      </c>
      <c r="W216" s="17">
        <f>SUMIF(Parcels!$A:$A,
       $A216,
       Parcels!AC:AC)</f>
        <v>82808796</v>
      </c>
      <c r="X216" s="26">
        <f t="shared" si="6"/>
        <v>32286684.09</v>
      </c>
      <c r="Y216" s="26">
        <f t="shared" si="7"/>
        <v>82808796</v>
      </c>
      <c r="Z216" s="15" t="str">
        <f t="array" ref="Z216">_xlfn.XLOOKUP(
  A216,
  Parcels!A:A,
Parcels!AL:AL)</f>
        <v/>
      </c>
      <c r="AA216" s="26">
        <f t="shared" si="18"/>
        <v>0</v>
      </c>
      <c r="AB216" s="15"/>
      <c r="AC216" s="51" t="s">
        <v>3585</v>
      </c>
      <c r="AD216" s="15"/>
      <c r="AE216" s="6" t="s">
        <v>92</v>
      </c>
      <c r="AJ216" s="14">
        <f t="shared" si="46"/>
        <v>210600</v>
      </c>
      <c r="AK216" s="14">
        <f t="shared" si="47"/>
        <v>52650</v>
      </c>
      <c r="AL216" s="19">
        <f t="shared" si="52"/>
        <v>0</v>
      </c>
      <c r="AM216" s="14">
        <f t="shared" ref="AM216:AM221" si="53">AK216*AL216</f>
        <v>0</v>
      </c>
      <c r="AN216" s="19" t="str">
        <f t="array" ref="AN216">_xlfn.xlookup(C216,'SCC Certificate Review'!C:C,'SCC Certificate Review'!F:F)</f>
        <v>#N/A</v>
      </c>
    </row>
    <row r="217">
      <c r="A217" s="6">
        <v>222.0</v>
      </c>
      <c r="B217" s="237" t="s">
        <v>2414</v>
      </c>
      <c r="C217" s="237" t="s">
        <v>2415</v>
      </c>
      <c r="D217" s="237" t="s">
        <v>3586</v>
      </c>
      <c r="E217" s="237" t="s">
        <v>86</v>
      </c>
      <c r="F217" s="6" t="s">
        <v>2577</v>
      </c>
      <c r="I217" s="13">
        <v>46191.0</v>
      </c>
      <c r="J217" s="47"/>
      <c r="K217" s="6" t="s">
        <v>3587</v>
      </c>
      <c r="M217" s="237" t="s">
        <v>560</v>
      </c>
      <c r="N217" s="6" t="b">
        <v>0</v>
      </c>
      <c r="O217" s="6">
        <v>135.0</v>
      </c>
      <c r="P217" s="6">
        <v>135.0</v>
      </c>
      <c r="Q217" s="10"/>
      <c r="R217" s="6" t="s">
        <v>3589</v>
      </c>
      <c r="S217" s="14"/>
      <c r="V217" s="17">
        <f>SUMIF(Parcels!A:A,
       A217,
       Parcels!Z:Z)</f>
        <v>0</v>
      </c>
      <c r="W217" s="17">
        <f>SUMIF(Parcels!$A:$A,
       $A217,
       Parcels!AC:AC)</f>
        <v>0</v>
      </c>
      <c r="X217" s="26">
        <f t="shared" si="6"/>
        <v>0</v>
      </c>
      <c r="Y217" s="26">
        <f t="shared" si="7"/>
        <v>0</v>
      </c>
      <c r="Z217" s="15" t="str">
        <f t="array" ref="Z217">_xlfn.XLOOKUP(
  A217,
  Parcels!A:A,
Parcels!AL:AL)</f>
        <v/>
      </c>
      <c r="AA217" s="26">
        <f t="shared" si="18"/>
        <v>0</v>
      </c>
      <c r="AB217" s="15"/>
      <c r="AC217" s="15"/>
      <c r="AD217" s="15"/>
      <c r="AJ217" s="14">
        <f t="shared" si="46"/>
        <v>20000</v>
      </c>
      <c r="AK217" s="14">
        <f t="shared" si="47"/>
        <v>5000</v>
      </c>
      <c r="AL217" s="19">
        <f t="shared" si="52"/>
        <v>0</v>
      </c>
      <c r="AM217" s="14">
        <f t="shared" si="53"/>
        <v>0</v>
      </c>
      <c r="AN217" s="19" t="str">
        <f t="array" ref="AN217">_xlfn.xlookup(C217,'SCC Certificate Review'!C:C,'SCC Certificate Review'!F:F)</f>
        <v/>
      </c>
    </row>
    <row r="218">
      <c r="A218" s="6">
        <v>216.0</v>
      </c>
      <c r="B218" s="242" t="s">
        <v>2418</v>
      </c>
      <c r="C218" s="242" t="s">
        <v>2419</v>
      </c>
      <c r="D218" s="243" t="s">
        <v>187</v>
      </c>
      <c r="E218" s="243" t="s">
        <v>122</v>
      </c>
      <c r="F218" s="6" t="s">
        <v>87</v>
      </c>
      <c r="I218" s="21">
        <v>46199.0</v>
      </c>
      <c r="J218" s="27"/>
      <c r="K218" s="6" t="s">
        <v>3590</v>
      </c>
      <c r="M218" s="242" t="s">
        <v>587</v>
      </c>
      <c r="N218" s="6" t="b">
        <v>0</v>
      </c>
      <c r="O218" s="6">
        <v>81.0</v>
      </c>
      <c r="P218" s="6">
        <v>81.0</v>
      </c>
      <c r="Q218" s="10">
        <f t="shared" ref="Q218:Q224" si="54">P218/O218</f>
        <v>1</v>
      </c>
      <c r="R218" s="6" t="s">
        <v>3591</v>
      </c>
      <c r="S218" s="25">
        <v>12000.0</v>
      </c>
      <c r="V218" s="17">
        <f>SUMIF(Parcels!A:A,
       A218,
       Parcels!Z:Z)</f>
        <v>0</v>
      </c>
      <c r="W218" s="17">
        <f>SUMIF(Parcels!$A:$A,
       $A218,
       Parcels!AC:AC)</f>
        <v>0</v>
      </c>
      <c r="X218" s="26">
        <f t="shared" si="6"/>
        <v>0</v>
      </c>
      <c r="Y218" s="26">
        <f t="shared" si="7"/>
        <v>0</v>
      </c>
      <c r="Z218" s="15" t="str">
        <f t="array" ref="Z218">_xlfn.XLOOKUP(
  A218,
  Parcels!A:A,
Parcels!AL:AL)</f>
        <v/>
      </c>
      <c r="AA218" s="26">
        <f t="shared" si="18"/>
        <v>0</v>
      </c>
      <c r="AB218" s="15"/>
      <c r="AC218" s="15"/>
      <c r="AD218" s="15"/>
      <c r="AE218" s="6" t="s">
        <v>92</v>
      </c>
      <c r="AJ218" s="14">
        <f t="shared" si="46"/>
        <v>48600</v>
      </c>
      <c r="AK218" s="14">
        <f t="shared" si="47"/>
        <v>12150</v>
      </c>
      <c r="AL218" s="19">
        <f t="shared" ref="AL218:AL221" si="55">if(AE218="YES",0,IF(AND(I218&gt;=DATE(2022,7,1),I218&lt;=DATE(2023,6,30)),3,IF(AND(I218&gt;=DATE(2023,7,1),I218&lt;=DATE(2024,6,30)),2,IF(AND(I218&gt;=DATE(2024,7,1),I218&lt;=DATE(2025,6,30)),1,IF(AND(I218&gt;=DATE(2025,7,1),I218&lt;=DATE(2026,6,30)),0,"0")))))</f>
        <v>0</v>
      </c>
      <c r="AM218" s="14">
        <f t="shared" si="53"/>
        <v>0</v>
      </c>
      <c r="AN218" s="19" t="str">
        <f t="array" ref="AN218">_xlfn.xlookup(C218,'SCC Certificate Review'!C:C,'SCC Certificate Review'!F:F)</f>
        <v/>
      </c>
    </row>
    <row r="219">
      <c r="A219" s="6">
        <v>217.0</v>
      </c>
      <c r="B219" s="245" t="s">
        <v>2421</v>
      </c>
      <c r="C219" s="245" t="s">
        <v>2422</v>
      </c>
      <c r="D219" s="246" t="s">
        <v>114</v>
      </c>
      <c r="E219" s="246" t="s">
        <v>114</v>
      </c>
      <c r="F219" s="6" t="s">
        <v>87</v>
      </c>
      <c r="I219" s="21">
        <v>46199.0</v>
      </c>
      <c r="J219" s="27"/>
      <c r="K219" s="6" t="s">
        <v>1227</v>
      </c>
      <c r="M219" s="245" t="s">
        <v>951</v>
      </c>
      <c r="N219" s="6" t="b">
        <v>0</v>
      </c>
      <c r="O219" s="6">
        <v>34.0</v>
      </c>
      <c r="P219" s="6">
        <v>34.0</v>
      </c>
      <c r="Q219" s="10">
        <f t="shared" si="54"/>
        <v>1</v>
      </c>
      <c r="S219" s="25">
        <v>5100.0</v>
      </c>
      <c r="V219" s="17">
        <f>SUMIF(Parcels!A:A,
       A219,
       Parcels!Z:Z)</f>
        <v>0</v>
      </c>
      <c r="W219" s="17">
        <f>SUMIF(Parcels!$A:$A,
       $A219,
       Parcels!AC:AC)</f>
        <v>0</v>
      </c>
      <c r="X219" s="26">
        <f t="shared" si="6"/>
        <v>0</v>
      </c>
      <c r="Y219" s="26">
        <f t="shared" si="7"/>
        <v>0</v>
      </c>
      <c r="Z219" s="15" t="str">
        <f t="array" ref="Z219">_xlfn.XLOOKUP(
  A219,
  Parcels!A:A,
Parcels!AL:AL)</f>
        <v/>
      </c>
      <c r="AA219" s="26">
        <f t="shared" si="18"/>
        <v>0</v>
      </c>
      <c r="AB219" s="15"/>
      <c r="AC219" s="15"/>
      <c r="AD219" s="15"/>
      <c r="AE219" s="6" t="s">
        <v>474</v>
      </c>
      <c r="AJ219" s="14">
        <f t="shared" si="46"/>
        <v>20400</v>
      </c>
      <c r="AK219" s="14">
        <f t="shared" si="47"/>
        <v>5100</v>
      </c>
      <c r="AL219" s="19">
        <f t="shared" si="55"/>
        <v>0</v>
      </c>
      <c r="AM219" s="14">
        <f t="shared" si="53"/>
        <v>0</v>
      </c>
      <c r="AN219" s="19" t="str">
        <f t="array" ref="AN219">_xlfn.xlookup(C219,'SCC Certificate Review'!C:C,'SCC Certificate Review'!F:F)</f>
        <v/>
      </c>
    </row>
    <row r="220">
      <c r="A220" s="6">
        <v>215.0</v>
      </c>
      <c r="B220" s="6" t="s">
        <v>2426</v>
      </c>
      <c r="C220" s="6" t="s">
        <v>2427</v>
      </c>
      <c r="D220" s="237" t="s">
        <v>114</v>
      </c>
      <c r="E220" s="237" t="s">
        <v>114</v>
      </c>
      <c r="F220" s="6" t="s">
        <v>2577</v>
      </c>
      <c r="G220" s="6" t="s">
        <v>3593</v>
      </c>
      <c r="H220" s="6" t="s">
        <v>3594</v>
      </c>
      <c r="I220" s="21">
        <v>46205.0</v>
      </c>
      <c r="J220" s="27"/>
      <c r="K220" s="6" t="s">
        <v>3595</v>
      </c>
      <c r="M220" s="6" t="s">
        <v>90</v>
      </c>
      <c r="N220" s="6" t="b">
        <v>0</v>
      </c>
      <c r="O220" s="6">
        <v>145.0</v>
      </c>
      <c r="P220" s="6">
        <v>73.0</v>
      </c>
      <c r="Q220" s="10">
        <f t="shared" si="54"/>
        <v>0.5034482759</v>
      </c>
      <c r="R220" s="6" t="s">
        <v>3596</v>
      </c>
      <c r="S220" s="25"/>
      <c r="V220" s="17">
        <f>SUMIF(Parcels!A:A,
       A220,
       Parcels!Z:Z)</f>
        <v>0</v>
      </c>
      <c r="W220" s="17">
        <f>SUMIF(Parcels!$A:$A,
       $A220,
       Parcels!AC:AC)</f>
        <v>0</v>
      </c>
      <c r="X220" s="26">
        <f t="shared" si="6"/>
        <v>0</v>
      </c>
      <c r="Y220" s="26">
        <f t="shared" si="7"/>
        <v>0</v>
      </c>
      <c r="Z220" s="15" t="str">
        <f t="array" ref="Z220">_xlfn.XLOOKUP(
  A220,
  Parcels!A:A,
Parcels!AL:AL)</f>
        <v/>
      </c>
      <c r="AA220" s="26">
        <f t="shared" si="18"/>
        <v>0</v>
      </c>
      <c r="AB220" s="15"/>
      <c r="AC220" s="51" t="s">
        <v>3597</v>
      </c>
      <c r="AD220" s="15"/>
      <c r="AE220" s="6" t="s">
        <v>474</v>
      </c>
      <c r="AJ220" s="14">
        <f t="shared" si="46"/>
        <v>20000</v>
      </c>
      <c r="AK220" s="14">
        <f t="shared" si="47"/>
        <v>5000</v>
      </c>
      <c r="AL220" s="19">
        <f t="shared" si="55"/>
        <v>0</v>
      </c>
      <c r="AM220" s="14">
        <f t="shared" si="53"/>
        <v>0</v>
      </c>
      <c r="AN220" s="19" t="str">
        <f t="array" ref="AN220">_xlfn.xlookup(C220,'SCC Certificate Review'!C:C,'SCC Certificate Review'!F:F)</f>
        <v/>
      </c>
    </row>
    <row r="221">
      <c r="A221" s="6">
        <v>211.0</v>
      </c>
      <c r="B221" s="6" t="s">
        <v>2442</v>
      </c>
      <c r="C221" s="6" t="s">
        <v>2443</v>
      </c>
      <c r="D221" s="237" t="s">
        <v>114</v>
      </c>
      <c r="E221" s="237" t="s">
        <v>114</v>
      </c>
      <c r="F221" s="6" t="s">
        <v>2577</v>
      </c>
      <c r="I221" s="21">
        <v>46219.0</v>
      </c>
      <c r="J221" s="27"/>
      <c r="K221" s="6" t="s">
        <v>3598</v>
      </c>
      <c r="M221" s="6" t="s">
        <v>1735</v>
      </c>
      <c r="N221" s="6" t="b">
        <v>0</v>
      </c>
      <c r="O221" s="6">
        <v>205.0</v>
      </c>
      <c r="P221" s="6">
        <v>82.0</v>
      </c>
      <c r="Q221" s="10">
        <f t="shared" si="54"/>
        <v>0.4</v>
      </c>
      <c r="R221" s="6" t="s">
        <v>3599</v>
      </c>
      <c r="S221" s="14"/>
      <c r="V221" s="17">
        <f>SUMIF(Parcels!A:A,
       A221,
       Parcels!Z:Z)</f>
        <v>0</v>
      </c>
      <c r="W221" s="17">
        <f>SUMIF(Parcels!$A:$A,
       $A221,
       Parcels!AC:AC)</f>
        <v>0</v>
      </c>
      <c r="X221" s="26">
        <f t="shared" si="6"/>
        <v>0</v>
      </c>
      <c r="Y221" s="26">
        <f t="shared" si="7"/>
        <v>0</v>
      </c>
      <c r="Z221" s="15" t="str">
        <f t="array" ref="Z221">_xlfn.XLOOKUP(
  A221,
  Parcels!A:A,
Parcels!AL:AL)</f>
        <v/>
      </c>
      <c r="AA221" s="26">
        <f t="shared" si="18"/>
        <v>0</v>
      </c>
      <c r="AB221" s="15"/>
      <c r="AC221" s="15"/>
      <c r="AD221" s="15"/>
      <c r="AJ221" s="14">
        <f t="shared" si="46"/>
        <v>20000</v>
      </c>
      <c r="AK221" s="14">
        <f t="shared" si="47"/>
        <v>5000</v>
      </c>
      <c r="AL221" s="19" t="str">
        <f t="shared" si="55"/>
        <v>0</v>
      </c>
      <c r="AM221" s="14">
        <f t="shared" si="53"/>
        <v>0</v>
      </c>
      <c r="AN221" s="19" t="str">
        <f t="array" ref="AN221">_xlfn.xlookup(C221,'SCC Certificate Review'!C:C,'SCC Certificate Review'!F:F)</f>
        <v/>
      </c>
    </row>
    <row r="222">
      <c r="A222" s="6">
        <v>212.0</v>
      </c>
      <c r="B222" s="6" t="s">
        <v>2430</v>
      </c>
      <c r="C222" s="6" t="s">
        <v>2431</v>
      </c>
      <c r="D222" s="6" t="s">
        <v>114</v>
      </c>
      <c r="E222" s="6" t="s">
        <v>114</v>
      </c>
      <c r="F222" s="6" t="s">
        <v>2577</v>
      </c>
      <c r="I222" s="21">
        <v>46219.0</v>
      </c>
      <c r="J222" s="27"/>
      <c r="K222" s="6" t="s">
        <v>3600</v>
      </c>
      <c r="M222" s="6" t="s">
        <v>1735</v>
      </c>
      <c r="N222" s="6" t="b">
        <v>0</v>
      </c>
      <c r="O222" s="6">
        <v>100.0</v>
      </c>
      <c r="P222" s="6">
        <v>50.0</v>
      </c>
      <c r="Q222" s="10">
        <f t="shared" si="54"/>
        <v>0.5</v>
      </c>
      <c r="R222" s="6" t="s">
        <v>3601</v>
      </c>
      <c r="S222" s="14"/>
      <c r="V222" s="17">
        <f>SUMIF(Parcels!A:A,
       A222,
       Parcels!Z:Z)</f>
        <v>0</v>
      </c>
      <c r="W222" s="17">
        <f>SUMIF(Parcels!$A:$A,
       $A222,
       Parcels!AC:AC)</f>
        <v>0</v>
      </c>
      <c r="X222" s="26">
        <f t="shared" si="6"/>
        <v>0</v>
      </c>
      <c r="Y222" s="26">
        <f t="shared" si="7"/>
        <v>0</v>
      </c>
      <c r="Z222" s="15" t="str">
        <f t="array" ref="Z222">_xlfn.XLOOKUP(
  A222,
  Parcels!A:A,
Parcels!AL:AL)</f>
        <v/>
      </c>
      <c r="AA222" s="26">
        <f t="shared" si="18"/>
        <v>0</v>
      </c>
      <c r="AB222" s="15"/>
      <c r="AC222" s="15"/>
      <c r="AD222" s="15"/>
      <c r="AE222" s="6" t="s">
        <v>474</v>
      </c>
      <c r="AJ222" s="14">
        <f t="shared" si="46"/>
        <v>20000</v>
      </c>
      <c r="AK222" s="14">
        <f t="shared" si="47"/>
        <v>5000</v>
      </c>
      <c r="AL222" s="19">
        <f>if(AE222="YES",0,IF(AND(I222&gt;=DATE(2022,7,1),I222&lt;=DATE(2023,6,30)),3,IF(AND(I222&gt;=DATE(2023,7,1),I222&lt;=DATE(2024,6,30)),2,IF(AND(I222&gt;=DATE(2024,7,1),I222&lt;=DATE(2025,6,30)),1,IF(AND(I222&gt;=DATE(2025,7,1),I222&lt;=DATE(2026,6,30)),0,"-")))))</f>
        <v>0</v>
      </c>
      <c r="AM222" s="14"/>
      <c r="AN222" s="19" t="str">
        <f t="array" ref="AN222">_xlfn.xlookup(C222,'SCC Certificate Review'!C:C,'SCC Certificate Review'!F:F)</f>
        <v/>
      </c>
    </row>
    <row r="223">
      <c r="A223" s="6">
        <v>213.0</v>
      </c>
      <c r="B223" s="6" t="s">
        <v>2438</v>
      </c>
      <c r="C223" s="6" t="s">
        <v>2439</v>
      </c>
      <c r="D223" s="6" t="s">
        <v>694</v>
      </c>
      <c r="E223" s="6" t="s">
        <v>120</v>
      </c>
      <c r="F223" s="6" t="s">
        <v>2577</v>
      </c>
      <c r="I223" s="21">
        <v>46219.0</v>
      </c>
      <c r="J223" s="27"/>
      <c r="K223" s="6" t="s">
        <v>3602</v>
      </c>
      <c r="M223" s="6" t="s">
        <v>587</v>
      </c>
      <c r="N223" s="6" t="b">
        <v>0</v>
      </c>
      <c r="O223" s="6">
        <v>185.0</v>
      </c>
      <c r="P223" s="6">
        <v>74.0</v>
      </c>
      <c r="Q223" s="10">
        <f t="shared" si="54"/>
        <v>0.4</v>
      </c>
      <c r="R223" s="6" t="s">
        <v>3603</v>
      </c>
      <c r="S223" s="14"/>
      <c r="V223" s="17">
        <f>SUMIF(Parcels!A:A,
       A223,
       Parcels!Z:Z)</f>
        <v>0</v>
      </c>
      <c r="W223" s="17">
        <f>SUMIF(Parcels!$A:$A,
       $A223,
       Parcels!AC:AC)</f>
        <v>0</v>
      </c>
      <c r="X223" s="26">
        <f t="shared" si="6"/>
        <v>0</v>
      </c>
      <c r="Y223" s="26">
        <f t="shared" si="7"/>
        <v>0</v>
      </c>
      <c r="Z223" s="15" t="str">
        <f t="array" ref="Z223">_xlfn.XLOOKUP(
  A223,
  Parcels!A:A,
Parcels!AL:AL)</f>
        <v/>
      </c>
      <c r="AA223" s="26">
        <f t="shared" si="18"/>
        <v>0</v>
      </c>
      <c r="AB223" s="15"/>
      <c r="AC223" s="15"/>
      <c r="AD223" s="15"/>
      <c r="AJ223" s="14">
        <f t="shared" si="46"/>
        <v>20000</v>
      </c>
      <c r="AK223" s="14">
        <f t="shared" si="47"/>
        <v>5000</v>
      </c>
      <c r="AL223" s="19" t="str">
        <f>if(AE223="YES",0,IF(AND(I223&gt;=DATE(2022,7,1),I223&lt;=DATE(2023,6,30)),3,IF(AND(I223&gt;=DATE(2023,7,1),I223&lt;=DATE(2024,6,30)),2,IF(AND(I223&gt;=DATE(2024,7,1),I223&lt;=DATE(2025,6,30)),1,IF(AND(I223&gt;=DATE(2025,7,1),I223&lt;=DATE(2026,6,30)),0,"0")))))</f>
        <v>0</v>
      </c>
      <c r="AM223" s="19"/>
      <c r="AN223" s="19" t="str">
        <f t="array" ref="AN223">_xlfn.xlookup(C223,'SCC Certificate Review'!C:C,'SCC Certificate Review'!F:F)</f>
        <v/>
      </c>
    </row>
    <row r="224">
      <c r="A224" s="6">
        <v>214.0</v>
      </c>
      <c r="B224" s="6" t="s">
        <v>2434</v>
      </c>
      <c r="C224" s="6" t="s">
        <v>2435</v>
      </c>
      <c r="D224" s="6" t="s">
        <v>3604</v>
      </c>
      <c r="E224" s="6" t="s">
        <v>114</v>
      </c>
      <c r="F224" s="6" t="s">
        <v>2577</v>
      </c>
      <c r="I224" s="21">
        <v>46219.0</v>
      </c>
      <c r="J224" s="27"/>
      <c r="K224" s="6" t="s">
        <v>3605</v>
      </c>
      <c r="M224" s="6" t="s">
        <v>3606</v>
      </c>
      <c r="N224" s="6" t="b">
        <v>0</v>
      </c>
      <c r="O224" s="6">
        <v>288.0</v>
      </c>
      <c r="P224" s="6">
        <v>72.0</v>
      </c>
      <c r="Q224" s="10">
        <f t="shared" si="54"/>
        <v>0.25</v>
      </c>
      <c r="R224" s="6" t="s">
        <v>3607</v>
      </c>
      <c r="S224" s="14"/>
      <c r="V224" s="17">
        <f>SUMIF(Parcels!A:A,
       A224,
       Parcels!Z:Z)</f>
        <v>0</v>
      </c>
      <c r="W224" s="17">
        <f>SUMIF(Parcels!$A:$A,
       $A224,
       Parcels!AC:AC)</f>
        <v>0</v>
      </c>
      <c r="X224" s="26">
        <f t="shared" si="6"/>
        <v>0</v>
      </c>
      <c r="Y224" s="26">
        <f t="shared" si="7"/>
        <v>0</v>
      </c>
      <c r="Z224" s="15" t="str">
        <f t="array" ref="Z224">_xlfn.XLOOKUP(
  A224,
  Parcels!A:A,
Parcels!AL:AL)</f>
        <v/>
      </c>
      <c r="AA224" s="26">
        <f t="shared" si="18"/>
        <v>0</v>
      </c>
      <c r="AB224" s="15"/>
      <c r="AC224" s="15"/>
      <c r="AD224" s="15"/>
      <c r="AE224" s="6" t="s">
        <v>92</v>
      </c>
      <c r="AJ224" s="14">
        <f t="shared" si="46"/>
        <v>20000</v>
      </c>
      <c r="AK224" s="14">
        <f t="shared" si="47"/>
        <v>5000</v>
      </c>
      <c r="AL224" s="19" t="str">
        <f>if(AE224="YES",0,IF(AND(I224&gt;=DATE(2022,7,1),I224&lt;=DATE(2023,6,30)),3,IF(AND(I224&gt;=DATE(2023,7,1),I224&lt;=DATE(2024,6,30)),2,IF(AND(I224&gt;=DATE(2024,7,1),I224&lt;=DATE(2025,6,30)),1,IF(AND(I224&gt;=DATE(2025,7,1),I224&lt;=DATE(2026,6,30)),0,"-")))))</f>
        <v>-</v>
      </c>
      <c r="AM224" s="14"/>
      <c r="AN224" s="19" t="str">
        <f t="array" ref="AN224">_xlfn.xlookup(C224,'SCC Certificate Review'!C:C,'SCC Certificate Review'!F:F)</f>
        <v/>
      </c>
    </row>
    <row r="225">
      <c r="A225" s="6">
        <v>218.0</v>
      </c>
      <c r="B225" s="248" t="s">
        <v>2447</v>
      </c>
      <c r="C225" s="248" t="s">
        <v>2448</v>
      </c>
      <c r="D225" s="245" t="s">
        <v>114</v>
      </c>
      <c r="E225" s="245" t="s">
        <v>114</v>
      </c>
      <c r="F225" s="6" t="s">
        <v>87</v>
      </c>
      <c r="I225" s="21">
        <v>46220.0</v>
      </c>
      <c r="J225" s="27"/>
      <c r="K225" s="158" t="s">
        <v>1747</v>
      </c>
      <c r="M225" s="249" t="s">
        <v>587</v>
      </c>
      <c r="N225" s="6" t="b">
        <v>0</v>
      </c>
      <c r="O225" s="6">
        <v>70.0</v>
      </c>
      <c r="P225" s="6">
        <v>70.0</v>
      </c>
      <c r="Q225" s="10"/>
      <c r="R225" s="6" t="s">
        <v>3608</v>
      </c>
      <c r="S225" s="25">
        <v>10500.0</v>
      </c>
      <c r="V225" s="17">
        <f>SUMIF(Parcels!A:A,
       A225,
       Parcels!Z:Z)</f>
        <v>0</v>
      </c>
      <c r="W225" s="17">
        <f>SUMIF(Parcels!$A:$A,
       $A225,
       Parcels!AC:AC)</f>
        <v>0</v>
      </c>
      <c r="X225" s="26">
        <f t="shared" si="6"/>
        <v>0</v>
      </c>
      <c r="Y225" s="26">
        <f t="shared" si="7"/>
        <v>0</v>
      </c>
      <c r="Z225" s="15" t="str">
        <f t="array" ref="Z225">_xlfn.XLOOKUP(
  A225,
  Parcels!A:A,
Parcels!AL:AL)</f>
        <v/>
      </c>
      <c r="AA225" s="26">
        <f t="shared" si="18"/>
        <v>0</v>
      </c>
      <c r="AB225" s="15"/>
      <c r="AC225" s="15"/>
      <c r="AD225" s="15"/>
      <c r="AE225" s="6" t="s">
        <v>474</v>
      </c>
      <c r="AJ225" s="14">
        <f t="shared" si="46"/>
        <v>42000</v>
      </c>
      <c r="AK225" s="14">
        <f t="shared" si="47"/>
        <v>10500</v>
      </c>
      <c r="AL225" s="19">
        <f>if(AE225="YES",0,IF(AND(I225&gt;=DATE(2022,7,1),I225&lt;=DATE(2023,6,30)),3,IF(AND(I225&gt;=DATE(2023,7,1),I225&lt;=DATE(2024,6,30)),2,IF(AND(I225&gt;=DATE(2024,7,1),I225&lt;=DATE(2025,6,30)),1,IF(AND(I225&gt;=DATE(2025,7,1),I225&lt;=DATE(2026,6,30)),0,"0")))))</f>
        <v>0</v>
      </c>
      <c r="AM225" s="19"/>
      <c r="AN225" s="19" t="str">
        <f t="array" ref="AN225">_xlfn.xlookup(C225,'SCC Certificate Review'!C:C,'SCC Certificate Review'!F:F)</f>
        <v/>
      </c>
    </row>
    <row r="226">
      <c r="A226" s="6">
        <v>219.0</v>
      </c>
      <c r="B226" s="248" t="s">
        <v>3610</v>
      </c>
      <c r="C226" s="245"/>
      <c r="D226" s="245" t="s">
        <v>114</v>
      </c>
      <c r="E226" s="245" t="s">
        <v>114</v>
      </c>
      <c r="F226" s="6" t="s">
        <v>87</v>
      </c>
      <c r="I226" s="23">
        <v>46220.0</v>
      </c>
      <c r="J226" s="27"/>
      <c r="K226" s="6" t="s">
        <v>411</v>
      </c>
      <c r="M226" s="248" t="s">
        <v>412</v>
      </c>
      <c r="N226" s="6" t="b">
        <v>0</v>
      </c>
      <c r="O226" s="6">
        <v>94.0</v>
      </c>
      <c r="P226" s="6">
        <v>94.0</v>
      </c>
      <c r="Q226" s="10"/>
      <c r="R226" s="6" t="s">
        <v>3611</v>
      </c>
      <c r="S226" s="25">
        <v>14100.0</v>
      </c>
      <c r="V226" s="17">
        <f>SUMIF(Parcels!A:A,
       A226,
       Parcels!Z:Z)</f>
        <v>0</v>
      </c>
      <c r="W226" s="17">
        <f>SUMIF(Parcels!$A:$A,
       $A226,
       Parcels!AC:AC)</f>
        <v>0</v>
      </c>
      <c r="X226" s="26">
        <f t="shared" si="6"/>
        <v>0</v>
      </c>
      <c r="Y226" s="26">
        <f t="shared" si="7"/>
        <v>0</v>
      </c>
      <c r="Z226" s="15" t="str">
        <f t="array" ref="Z226">_xlfn.XLOOKUP(
  A226,
  Parcels!A:A,
Parcels!AL:AL)</f>
        <v/>
      </c>
      <c r="AA226" s="26">
        <f t="shared" si="18"/>
        <v>0</v>
      </c>
      <c r="AB226" s="15"/>
      <c r="AC226" s="15"/>
      <c r="AD226" s="15"/>
      <c r="AE226" s="6" t="s">
        <v>474</v>
      </c>
      <c r="AJ226" s="14">
        <f t="shared" si="46"/>
        <v>56400</v>
      </c>
      <c r="AK226" s="14">
        <f t="shared" si="47"/>
        <v>14100</v>
      </c>
      <c r="AL226" s="19">
        <f>if(AE226="YES",0,IF(AND(I226&gt;=DATE(2022,7,1),I226&lt;=DATE(2023,6,30)),3,IF(AND(I226&gt;=DATE(2023,7,1),I226&lt;=DATE(2024,6,30)),2,IF(AND(I226&gt;=DATE(2024,7,1),I226&lt;=DATE(2025,6,30)),1,IF(AND(I226&gt;=DATE(2025,7,1),I226&lt;=DATE(2026,6,30)),0,"-")))))</f>
        <v>0</v>
      </c>
      <c r="AM226" s="14"/>
      <c r="AN226" s="19" t="str">
        <f t="array" ref="AN226">_xlfn.xlookup(C226,'SCC Certificate Review'!C:C,'SCC Certificate Review'!F:F)</f>
        <v>#N/A</v>
      </c>
    </row>
    <row r="227">
      <c r="A227" s="6">
        <v>220.0</v>
      </c>
      <c r="B227" s="248" t="s">
        <v>1820</v>
      </c>
      <c r="C227" s="245"/>
      <c r="D227" s="245" t="s">
        <v>114</v>
      </c>
      <c r="E227" s="245" t="s">
        <v>114</v>
      </c>
      <c r="F227" s="6" t="s">
        <v>87</v>
      </c>
      <c r="I227" s="23">
        <v>46220.0</v>
      </c>
      <c r="J227" s="38"/>
      <c r="K227" s="6" t="s">
        <v>834</v>
      </c>
      <c r="M227" s="6" t="s">
        <v>835</v>
      </c>
      <c r="N227" s="6" t="b">
        <v>0</v>
      </c>
      <c r="O227" s="6">
        <v>52.0</v>
      </c>
      <c r="P227" s="6">
        <v>52.0</v>
      </c>
      <c r="Q227" s="10"/>
      <c r="R227" s="6" t="s">
        <v>3612</v>
      </c>
      <c r="S227" s="25">
        <v>7650.0</v>
      </c>
      <c r="V227" s="17">
        <f>SUMIF(Parcels!A:A,
       A227,
       Parcels!Z:Z)</f>
        <v>0</v>
      </c>
      <c r="W227" s="17">
        <f>SUMIF(Parcels!$A:$A,
       $A227,
       Parcels!AC:AC)</f>
        <v>0</v>
      </c>
      <c r="X227" s="26">
        <f t="shared" si="6"/>
        <v>0</v>
      </c>
      <c r="Y227" s="26">
        <f t="shared" si="7"/>
        <v>0</v>
      </c>
      <c r="Z227" s="15" t="str">
        <f t="array" ref="Z227">_xlfn.XLOOKUP(
  A227,
  Parcels!A:A,
Parcels!AL:AL)</f>
        <v/>
      </c>
      <c r="AA227" s="26">
        <f t="shared" si="18"/>
        <v>0</v>
      </c>
      <c r="AB227" s="15"/>
      <c r="AC227" s="15"/>
      <c r="AD227" s="15"/>
      <c r="AE227" s="6" t="s">
        <v>474</v>
      </c>
      <c r="AJ227" s="14">
        <f t="shared" si="46"/>
        <v>31200</v>
      </c>
      <c r="AK227" s="14">
        <f t="shared" si="47"/>
        <v>7800</v>
      </c>
      <c r="AL227" s="19">
        <f>if(AE227="YES",0,IF(AND(I227&gt;=DATE(2022,7,1),I227&lt;=DATE(2023,6,30)),3,IF(AND(I227&gt;=DATE(2023,7,1),I227&lt;=DATE(2024,6,30)),2,IF(AND(I227&gt;=DATE(2024,7,1),I227&lt;=DATE(2025,6,30)),1,IF(AND(I227&gt;=DATE(2025,7,1),I227&lt;=DATE(2026,6,30)),0,"0")))))</f>
        <v>0</v>
      </c>
      <c r="AM227" s="19"/>
      <c r="AN227" s="19" t="str">
        <f t="array" ref="AN227">_xlfn.xlookup(C227,'SCC Certificate Review'!C:C,'SCC Certificate Review'!F:F)</f>
        <v>#N/A</v>
      </c>
    </row>
    <row r="228">
      <c r="A228" s="6">
        <v>221.0</v>
      </c>
      <c r="B228" s="248" t="s">
        <v>3615</v>
      </c>
      <c r="C228" s="245"/>
      <c r="D228" s="245" t="s">
        <v>114</v>
      </c>
      <c r="E228" s="245" t="s">
        <v>114</v>
      </c>
      <c r="F228" s="6" t="s">
        <v>87</v>
      </c>
      <c r="I228" s="23">
        <v>46220.0</v>
      </c>
      <c r="J228" s="27"/>
      <c r="K228" s="6" t="s">
        <v>3618</v>
      </c>
      <c r="M228" s="248" t="s">
        <v>3619</v>
      </c>
      <c r="N228" s="6" t="b">
        <v>0</v>
      </c>
      <c r="O228" s="6">
        <v>64.0</v>
      </c>
      <c r="P228" s="6">
        <v>58.0</v>
      </c>
      <c r="Q228" s="10"/>
      <c r="R228" s="6" t="s">
        <v>3621</v>
      </c>
      <c r="S228" s="25">
        <v>9450.0</v>
      </c>
      <c r="V228" s="17">
        <f>SUMIF(Parcels!A:A,
       A228,
       Parcels!Z:Z)</f>
        <v>0</v>
      </c>
      <c r="W228" s="17">
        <f>SUMIF(Parcels!$A:$A,
       $A228,
       Parcels!AC:AC)</f>
        <v>0</v>
      </c>
      <c r="X228" s="26">
        <f t="shared" si="6"/>
        <v>0</v>
      </c>
      <c r="Y228" s="26">
        <f t="shared" si="7"/>
        <v>0</v>
      </c>
      <c r="Z228" s="15" t="str">
        <f t="array" ref="Z228">_xlfn.XLOOKUP(
  A228,
  Parcels!A:A,
Parcels!AL:AL)</f>
        <v/>
      </c>
      <c r="AA228" s="26">
        <f t="shared" si="18"/>
        <v>0</v>
      </c>
      <c r="AB228" s="15"/>
      <c r="AC228" s="15"/>
      <c r="AD228" s="15"/>
      <c r="AE228" s="6" t="s">
        <v>474</v>
      </c>
      <c r="AJ228" s="14">
        <f t="shared" si="46"/>
        <v>38400</v>
      </c>
      <c r="AK228" s="14">
        <f t="shared" si="47"/>
        <v>9600</v>
      </c>
      <c r="AL228" s="19">
        <f>if(AE228="YES",0,IF(AND(I228&gt;=DATE(2022,7,1),I228&lt;=DATE(2023,6,30)),3,IF(AND(I228&gt;=DATE(2023,7,1),I228&lt;=DATE(2024,6,30)),2,IF(AND(I228&gt;=DATE(2024,7,1),I228&lt;=DATE(2025,6,30)),1,IF(AND(I228&gt;=DATE(2025,7,1),I228&lt;=DATE(2026,6,30)),0,"-")))))</f>
        <v>0</v>
      </c>
      <c r="AM228" s="14"/>
      <c r="AN228" s="19" t="str">
        <f t="array" ref="AN228">_xlfn.xlookup(C228,'SCC Certificate Review'!C:C,'SCC Certificate Review'!F:F)</f>
        <v>#N/A</v>
      </c>
    </row>
    <row r="229">
      <c r="A229" s="6">
        <v>229.0</v>
      </c>
      <c r="B229" s="6" t="s">
        <v>995</v>
      </c>
      <c r="C229" s="6" t="s">
        <v>2457</v>
      </c>
      <c r="D229" s="6" t="s">
        <v>122</v>
      </c>
      <c r="E229" s="6" t="s">
        <v>122</v>
      </c>
      <c r="F229" s="6" t="s">
        <v>2577</v>
      </c>
      <c r="I229" s="21">
        <v>46240.0</v>
      </c>
      <c r="K229" s="6" t="s">
        <v>3626</v>
      </c>
      <c r="M229" s="6" t="s">
        <v>3396</v>
      </c>
      <c r="N229" s="6" t="b">
        <v>0</v>
      </c>
      <c r="O229" s="6">
        <v>144.0</v>
      </c>
      <c r="P229" s="6">
        <v>144.0</v>
      </c>
      <c r="Q229" s="10"/>
      <c r="R229" s="6" t="s">
        <v>999</v>
      </c>
      <c r="S229" s="14"/>
      <c r="V229" s="17">
        <f>SUMIF(Parcels!A:A,
       A229,
       Parcels!Z:Z)</f>
        <v>0</v>
      </c>
      <c r="W229" s="17">
        <f>SUMIF(Parcels!$A:$A,
       $A229,
       Parcels!AC:AC)</f>
        <v>0</v>
      </c>
      <c r="X229" s="26">
        <f t="shared" si="6"/>
        <v>0</v>
      </c>
      <c r="Y229" s="26">
        <f t="shared" si="7"/>
        <v>0</v>
      </c>
      <c r="Z229" s="15" t="str">
        <f t="array" ref="Z229">_xlfn.XLOOKUP(
  A229,
  Parcels!A:A,
Parcels!AL:AL)</f>
        <v/>
      </c>
      <c r="AA229" s="26">
        <f t="shared" si="18"/>
        <v>0</v>
      </c>
      <c r="AB229" s="15"/>
      <c r="AC229" s="15"/>
      <c r="AD229" s="15"/>
      <c r="AI229" s="6">
        <v>20.0</v>
      </c>
      <c r="AJ229" s="14">
        <f t="shared" si="46"/>
        <v>20000</v>
      </c>
      <c r="AK229" s="14">
        <f t="shared" si="47"/>
        <v>5000</v>
      </c>
      <c r="AL229" s="19" t="str">
        <f>if(AE229="YES",0,IF(AND(I229&gt;=DATE(2022,7,1),I229&lt;=DATE(2023,6,30)),3,IF(AND(I229&gt;=DATE(2023,7,1),I229&lt;=DATE(2024,6,30)),2,IF(AND(I229&gt;=DATE(2024,7,1),I229&lt;=DATE(2025,6,30)),1,IF(AND(I229&gt;=DATE(2025,7,1),I229&lt;=DATE(2026,6,30)),0,"0")))))</f>
        <v>0</v>
      </c>
      <c r="AN229" s="19" t="str">
        <f t="array" ref="AN229">_xlfn.xlookup(C229,'SCC Certificate Review'!C:C,'SCC Certificate Review'!F:F)</f>
        <v/>
      </c>
    </row>
    <row r="230">
      <c r="A230" s="6">
        <v>231.0</v>
      </c>
      <c r="B230" s="6" t="s">
        <v>2460</v>
      </c>
      <c r="C230" s="6" t="s">
        <v>1714</v>
      </c>
      <c r="D230" s="6" t="s">
        <v>114</v>
      </c>
      <c r="E230" s="6" t="s">
        <v>114</v>
      </c>
      <c r="F230" s="6" t="s">
        <v>2577</v>
      </c>
      <c r="I230" s="21">
        <v>46240.0</v>
      </c>
      <c r="K230" s="6" t="s">
        <v>3643</v>
      </c>
      <c r="M230" s="6" t="s">
        <v>3644</v>
      </c>
      <c r="N230" s="6" t="b">
        <v>0</v>
      </c>
      <c r="O230" s="6">
        <v>302.0</v>
      </c>
      <c r="P230" s="6">
        <v>302.0</v>
      </c>
      <c r="Q230" s="10"/>
      <c r="R230" s="6" t="s">
        <v>3647</v>
      </c>
      <c r="S230" s="14"/>
      <c r="V230" s="17">
        <f>SUMIF(Parcels!A:A,
       A230,
       Parcels!Z:Z)</f>
        <v>0</v>
      </c>
      <c r="W230" s="17">
        <f>SUMIF(Parcels!$A:$A,
       $A230,
       Parcels!AC:AC)</f>
        <v>0</v>
      </c>
      <c r="X230" s="26">
        <f t="shared" si="6"/>
        <v>0</v>
      </c>
      <c r="Y230" s="26">
        <f t="shared" si="7"/>
        <v>0</v>
      </c>
      <c r="Z230" s="15" t="str">
        <f t="array" ref="Z230">_xlfn.XLOOKUP(
  A230,
  Parcels!A:A,
Parcels!AL:AL)</f>
        <v/>
      </c>
      <c r="AA230" s="26">
        <f t="shared" si="18"/>
        <v>0</v>
      </c>
      <c r="AB230" s="15"/>
      <c r="AC230" s="15"/>
      <c r="AD230" s="15"/>
      <c r="AJ230" s="14">
        <f t="shared" si="46"/>
        <v>180600</v>
      </c>
      <c r="AK230" s="14">
        <f t="shared" si="47"/>
        <v>45150</v>
      </c>
      <c r="AL230" s="19" t="str">
        <f>if(AE230="YES",0,IF(AND(I230&gt;=DATE(2022,7,1),I230&lt;=DATE(2023,6,30)),3,IF(AND(I230&gt;=DATE(2023,7,1),I230&lt;=DATE(2024,6,30)),2,IF(AND(I230&gt;=DATE(2024,7,1),I230&lt;=DATE(2025,6,30)),1,IF(AND(I230&gt;=DATE(2025,7,1),I230&lt;=DATE(2026,6,30)),0,"-")))))</f>
        <v>-</v>
      </c>
      <c r="AM230" s="14"/>
      <c r="AN230" s="19" t="str">
        <f t="array" ref="AN230">_xlfn.xlookup(C230,'SCC Certificate Review'!C:C,'SCC Certificate Review'!F:F)</f>
        <v/>
      </c>
    </row>
    <row r="231">
      <c r="A231" s="6">
        <v>233.0</v>
      </c>
      <c r="B231" s="6" t="s">
        <v>2463</v>
      </c>
      <c r="C231" s="6" t="s">
        <v>2464</v>
      </c>
      <c r="D231" s="6" t="s">
        <v>114</v>
      </c>
      <c r="E231" s="6" t="s">
        <v>114</v>
      </c>
      <c r="F231" s="6" t="s">
        <v>2577</v>
      </c>
      <c r="I231" s="21">
        <v>46240.0</v>
      </c>
      <c r="K231" s="6" t="s">
        <v>3652</v>
      </c>
      <c r="M231" s="6" t="s">
        <v>560</v>
      </c>
      <c r="N231" s="6" t="b">
        <v>0</v>
      </c>
      <c r="O231" s="6">
        <v>136.0</v>
      </c>
      <c r="P231" s="6">
        <v>136.0</v>
      </c>
      <c r="Q231" s="10"/>
      <c r="R231" s="6" t="s">
        <v>3653</v>
      </c>
      <c r="S231" s="14"/>
      <c r="V231" s="17">
        <f>SUMIF(Parcels!A:A,
       A231,
       Parcels!Z:Z)</f>
        <v>0</v>
      </c>
      <c r="W231" s="17">
        <f>SUMIF(Parcels!$A:$A,
       $A231,
       Parcels!AC:AC)</f>
        <v>0</v>
      </c>
      <c r="X231" s="26">
        <f t="shared" si="6"/>
        <v>0</v>
      </c>
      <c r="Y231" s="26">
        <f t="shared" si="7"/>
        <v>0</v>
      </c>
      <c r="Z231" s="15" t="str">
        <f t="array" ref="Z231">_xlfn.XLOOKUP(
  A231,
  Parcels!A:A,
Parcels!AL:AL)</f>
        <v/>
      </c>
      <c r="AA231" s="26">
        <f t="shared" si="18"/>
        <v>0</v>
      </c>
      <c r="AB231" s="15"/>
      <c r="AC231" s="15"/>
      <c r="AD231" s="15"/>
      <c r="AI231" s="6">
        <v>10.0</v>
      </c>
      <c r="AJ231" s="14">
        <f t="shared" si="46"/>
        <v>20000</v>
      </c>
      <c r="AK231" s="14">
        <f t="shared" si="47"/>
        <v>5000</v>
      </c>
      <c r="AL231" s="19" t="str">
        <f>if(AE231="YES",0,IF(AND(I231&gt;=DATE(2022,7,1),I231&lt;=DATE(2023,6,30)),3,IF(AND(I231&gt;=DATE(2023,7,1),I231&lt;=DATE(2024,6,30)),2,IF(AND(I231&gt;=DATE(2024,7,1),I231&lt;=DATE(2025,6,30)),1,IF(AND(I231&gt;=DATE(2025,7,1),I231&lt;=DATE(2026,6,30)),0,"0")))))</f>
        <v>0</v>
      </c>
      <c r="AM231" s="19"/>
      <c r="AN231" s="19" t="str">
        <f t="array" ref="AN231">_xlfn.xlookup(C231,'SCC Certificate Review'!C:C,'SCC Certificate Review'!F:F)</f>
        <v/>
      </c>
    </row>
    <row r="232">
      <c r="A232" s="6">
        <v>234.0</v>
      </c>
      <c r="B232" s="6" t="s">
        <v>2467</v>
      </c>
      <c r="C232" s="6" t="s">
        <v>2468</v>
      </c>
      <c r="D232" s="6" t="s">
        <v>114</v>
      </c>
      <c r="E232" s="6" t="s">
        <v>114</v>
      </c>
      <c r="F232" s="6" t="s">
        <v>2577</v>
      </c>
      <c r="I232" s="21">
        <v>46240.0</v>
      </c>
      <c r="K232" s="6" t="s">
        <v>3652</v>
      </c>
      <c r="M232" s="6" t="s">
        <v>560</v>
      </c>
      <c r="N232" s="6" t="b">
        <v>0</v>
      </c>
      <c r="O232" s="6">
        <v>136.0</v>
      </c>
      <c r="P232" s="6">
        <v>136.0</v>
      </c>
      <c r="Q232" s="10"/>
      <c r="R232" s="6" t="s">
        <v>3657</v>
      </c>
      <c r="S232" s="14"/>
      <c r="V232" s="17">
        <f>SUMIF(Parcels!A:A,
       A232,
       Parcels!Z:Z)</f>
        <v>0</v>
      </c>
      <c r="W232" s="17">
        <f>SUMIF(Parcels!$A:$A,
       $A232,
       Parcels!AC:AC)</f>
        <v>0</v>
      </c>
      <c r="X232" s="26">
        <f t="shared" si="6"/>
        <v>0</v>
      </c>
      <c r="Y232" s="26">
        <f t="shared" si="7"/>
        <v>0</v>
      </c>
      <c r="Z232" s="15" t="str">
        <f t="array" ref="Z232">_xlfn.XLOOKUP(
  A232,
  Parcels!A:A,
Parcels!AL:AL)</f>
        <v/>
      </c>
      <c r="AA232" s="26">
        <f t="shared" si="18"/>
        <v>0</v>
      </c>
      <c r="AB232" s="15"/>
      <c r="AC232" s="15"/>
      <c r="AD232" s="15"/>
      <c r="AJ232" s="14">
        <f t="shared" si="46"/>
        <v>20000</v>
      </c>
      <c r="AK232" s="14">
        <f t="shared" si="47"/>
        <v>5000</v>
      </c>
      <c r="AL232" s="19" t="str">
        <f>if(AE232="YES",0,IF(AND(I232&gt;=DATE(2022,7,1),I232&lt;=DATE(2023,6,30)),3,IF(AND(I232&gt;=DATE(2023,7,1),I232&lt;=DATE(2024,6,30)),2,IF(AND(I232&gt;=DATE(2024,7,1),I232&lt;=DATE(2025,6,30)),1,IF(AND(I232&gt;=DATE(2025,7,1),I232&lt;=DATE(2026,6,30)),0,"-")))))</f>
        <v>-</v>
      </c>
      <c r="AM232" s="14"/>
      <c r="AN232" s="19" t="str">
        <f t="array" ref="AN232">_xlfn.xlookup(C232,'SCC Certificate Review'!C:C,'SCC Certificate Review'!F:F)</f>
        <v/>
      </c>
    </row>
    <row r="233">
      <c r="A233" s="6">
        <v>235.0</v>
      </c>
      <c r="B233" s="6" t="s">
        <v>2473</v>
      </c>
      <c r="C233" s="6" t="s">
        <v>2474</v>
      </c>
      <c r="D233" s="6" t="s">
        <v>114</v>
      </c>
      <c r="E233" s="6" t="s">
        <v>114</v>
      </c>
      <c r="F233" s="6" t="s">
        <v>2577</v>
      </c>
      <c r="I233" s="21">
        <v>46240.0</v>
      </c>
      <c r="K233" s="6" t="s">
        <v>3652</v>
      </c>
      <c r="M233" s="6" t="s">
        <v>560</v>
      </c>
      <c r="N233" s="6" t="b">
        <v>0</v>
      </c>
      <c r="O233" s="6">
        <v>59.0</v>
      </c>
      <c r="P233" s="6">
        <v>59.0</v>
      </c>
      <c r="Q233" s="10"/>
      <c r="R233" s="6" t="s">
        <v>3658</v>
      </c>
      <c r="S233" s="14"/>
      <c r="V233" s="17">
        <f>SUMIF(Parcels!A:A,
       A233,
       Parcels!Z:Z)</f>
        <v>0</v>
      </c>
      <c r="W233" s="17">
        <f>SUMIF(Parcels!$A:$A,
       $A233,
       Parcels!AC:AC)</f>
        <v>0</v>
      </c>
      <c r="X233" s="26">
        <f t="shared" si="6"/>
        <v>0</v>
      </c>
      <c r="Y233" s="26">
        <f t="shared" si="7"/>
        <v>0</v>
      </c>
      <c r="Z233" s="15" t="str">
        <f t="array" ref="Z233">_xlfn.XLOOKUP(
  A233,
  Parcels!A:A,
Parcels!AL:AL)</f>
        <v/>
      </c>
      <c r="AA233" s="26">
        <f t="shared" si="18"/>
        <v>0</v>
      </c>
      <c r="AB233" s="15"/>
      <c r="AC233" s="15"/>
      <c r="AD233" s="15"/>
      <c r="AI233" s="6">
        <v>55.0</v>
      </c>
      <c r="AJ233" s="14">
        <f t="shared" si="46"/>
        <v>20000</v>
      </c>
      <c r="AK233" s="14">
        <f t="shared" si="47"/>
        <v>5000</v>
      </c>
      <c r="AL233" s="19" t="str">
        <f t="shared" ref="AL233:AL237" si="56">if(AE233="YES",0,IF(AND(I233&gt;=DATE(2022,7,1),I233&lt;=DATE(2023,6,30)),3,IF(AND(I233&gt;=DATE(2023,7,1),I233&lt;=DATE(2024,6,30)),2,IF(AND(I233&gt;=DATE(2024,7,1),I233&lt;=DATE(2025,6,30)),1,IF(AND(I233&gt;=DATE(2025,7,1),I233&lt;=DATE(2026,6,30)),0,"0")))))</f>
        <v>0</v>
      </c>
      <c r="AM233" s="19"/>
      <c r="AN233" s="19" t="str">
        <f t="array" ref="AN233">_xlfn.xlookup(C233,'SCC Certificate Review'!C:C,'SCC Certificate Review'!F:F)</f>
        <v/>
      </c>
    </row>
    <row r="234">
      <c r="A234" s="6">
        <v>236.0</v>
      </c>
      <c r="B234" s="6" t="s">
        <v>2477</v>
      </c>
      <c r="C234" s="6" t="s">
        <v>2478</v>
      </c>
      <c r="D234" s="6" t="s">
        <v>114</v>
      </c>
      <c r="E234" s="6" t="s">
        <v>114</v>
      </c>
      <c r="F234" s="6" t="s">
        <v>2577</v>
      </c>
      <c r="I234" s="21">
        <v>46240.0</v>
      </c>
      <c r="K234" s="6" t="s">
        <v>3660</v>
      </c>
      <c r="M234" s="6" t="s">
        <v>560</v>
      </c>
      <c r="N234" s="6" t="b">
        <v>0</v>
      </c>
      <c r="O234" s="6">
        <v>108.0</v>
      </c>
      <c r="P234" s="6">
        <v>108.0</v>
      </c>
      <c r="Q234" s="10"/>
      <c r="R234" s="6" t="s">
        <v>3661</v>
      </c>
      <c r="S234" s="14"/>
      <c r="V234" s="17">
        <f>SUMIF(Parcels!A:A,
       A234,
       Parcels!Z:Z)</f>
        <v>0</v>
      </c>
      <c r="W234" s="17">
        <f>SUMIF(Parcels!$A:$A,
       $A234,
       Parcels!AC:AC)</f>
        <v>0</v>
      </c>
      <c r="X234" s="26">
        <f t="shared" si="6"/>
        <v>0</v>
      </c>
      <c r="Y234" s="26">
        <f t="shared" si="7"/>
        <v>0</v>
      </c>
      <c r="Z234" s="15" t="str">
        <f t="array" ref="Z234">_xlfn.XLOOKUP(
  A234,
  Parcels!A:A,
Parcels!AL:AL)</f>
        <v/>
      </c>
      <c r="AA234" s="26">
        <f t="shared" si="18"/>
        <v>0</v>
      </c>
      <c r="AB234" s="15"/>
      <c r="AC234" s="15"/>
      <c r="AD234" s="15"/>
      <c r="AE234" s="6" t="s">
        <v>474</v>
      </c>
      <c r="AI234" s="6">
        <v>55.0</v>
      </c>
      <c r="AJ234" s="14">
        <f t="shared" si="46"/>
        <v>20000</v>
      </c>
      <c r="AK234" s="14">
        <f t="shared" si="47"/>
        <v>5000</v>
      </c>
      <c r="AL234" s="19">
        <f t="shared" si="56"/>
        <v>0</v>
      </c>
      <c r="AM234" s="19"/>
      <c r="AN234" s="19" t="str">
        <f t="array" ref="AN234">_xlfn.xlookup(C234,'SCC Certificate Review'!C:C,'SCC Certificate Review'!F:F)</f>
        <v/>
      </c>
    </row>
    <row r="235">
      <c r="A235" s="6">
        <v>237.0</v>
      </c>
      <c r="B235" s="6" t="s">
        <v>2481</v>
      </c>
      <c r="C235" s="6" t="s">
        <v>2482</v>
      </c>
      <c r="D235" s="6" t="s">
        <v>114</v>
      </c>
      <c r="E235" s="6" t="s">
        <v>114</v>
      </c>
      <c r="F235" s="6" t="s">
        <v>2577</v>
      </c>
      <c r="I235" s="21">
        <v>46240.0</v>
      </c>
      <c r="K235" s="6" t="s">
        <v>3662</v>
      </c>
      <c r="M235" s="6" t="s">
        <v>90</v>
      </c>
      <c r="N235" s="6" t="b">
        <v>0</v>
      </c>
      <c r="O235" s="6">
        <v>34.0</v>
      </c>
      <c r="P235" s="6">
        <v>27.0</v>
      </c>
      <c r="Q235" s="10"/>
      <c r="R235" s="6" t="s">
        <v>3663</v>
      </c>
      <c r="S235" s="14"/>
      <c r="V235" s="17">
        <f>SUMIF(Parcels!A:A,
       A235,
       Parcels!Z:Z)</f>
        <v>0</v>
      </c>
      <c r="W235" s="17">
        <f>SUMIF(Parcels!$A:$A,
       $A235,
       Parcels!AC:AC)</f>
        <v>0</v>
      </c>
      <c r="X235" s="26">
        <f t="shared" si="6"/>
        <v>0</v>
      </c>
      <c r="Y235" s="26">
        <f t="shared" si="7"/>
        <v>0</v>
      </c>
      <c r="Z235" s="15" t="str">
        <f t="array" ref="Z235">_xlfn.XLOOKUP(
  A235,
  Parcels!A:A,
Parcels!AL:AL)</f>
        <v/>
      </c>
      <c r="AA235" s="26">
        <f t="shared" si="18"/>
        <v>0</v>
      </c>
      <c r="AB235" s="15"/>
      <c r="AC235" s="15"/>
      <c r="AD235" s="15"/>
      <c r="AI235" s="6">
        <v>55.0</v>
      </c>
      <c r="AJ235" s="14">
        <f t="shared" si="46"/>
        <v>20000</v>
      </c>
      <c r="AK235" s="14">
        <f t="shared" si="47"/>
        <v>5000</v>
      </c>
      <c r="AL235" s="19" t="str">
        <f t="shared" si="56"/>
        <v>0</v>
      </c>
      <c r="AM235" s="19"/>
      <c r="AN235" s="19" t="str">
        <f t="array" ref="AN235">_xlfn.xlookup(C235,'SCC Certificate Review'!C:C,'SCC Certificate Review'!F:F)</f>
        <v/>
      </c>
    </row>
    <row r="236">
      <c r="A236" s="6">
        <v>225.0</v>
      </c>
      <c r="B236" s="6" t="s">
        <v>2449</v>
      </c>
      <c r="C236" s="6" t="s">
        <v>2450</v>
      </c>
      <c r="D236" s="6" t="s">
        <v>147</v>
      </c>
      <c r="E236" s="6" t="s">
        <v>138</v>
      </c>
      <c r="F236" s="6" t="s">
        <v>87</v>
      </c>
      <c r="I236" s="13">
        <v>46241.0</v>
      </c>
      <c r="K236" s="6" t="s">
        <v>2111</v>
      </c>
      <c r="M236" s="6" t="s">
        <v>3516</v>
      </c>
      <c r="N236" s="6" t="b">
        <v>0</v>
      </c>
      <c r="O236" s="6">
        <v>132.0</v>
      </c>
      <c r="P236" s="6">
        <v>132.0</v>
      </c>
      <c r="Q236" s="10"/>
      <c r="R236" s="6" t="s">
        <v>3664</v>
      </c>
      <c r="S236" s="25">
        <v>19800.0</v>
      </c>
      <c r="V236" s="17">
        <f>SUMIF(Parcels!A:A,
       A236,
       Parcels!Z:Z)</f>
        <v>0</v>
      </c>
      <c r="W236" s="17">
        <f>SUMIF(Parcels!$A:$A,
       $A236,
       Parcels!AC:AC)</f>
        <v>0</v>
      </c>
      <c r="X236" s="26">
        <f t="shared" si="6"/>
        <v>0</v>
      </c>
      <c r="Y236" s="26">
        <f t="shared" si="7"/>
        <v>0</v>
      </c>
      <c r="Z236" s="15" t="str">
        <f t="array" ref="Z236">_xlfn.XLOOKUP(
  A236,
  Parcels!A:A,
Parcels!AL:AL)</f>
        <v/>
      </c>
      <c r="AA236" s="26">
        <f t="shared" si="18"/>
        <v>0</v>
      </c>
      <c r="AB236" s="15"/>
      <c r="AC236" s="15"/>
      <c r="AD236" s="15"/>
      <c r="AI236" s="6">
        <v>55.0</v>
      </c>
      <c r="AJ236" s="14">
        <f t="shared" si="46"/>
        <v>79200</v>
      </c>
      <c r="AK236" s="14">
        <f t="shared" si="47"/>
        <v>19800</v>
      </c>
      <c r="AL236" s="19" t="str">
        <f t="shared" si="56"/>
        <v>0</v>
      </c>
      <c r="AM236" s="19"/>
      <c r="AN236" s="19" t="str">
        <f t="array" ref="AN236">_xlfn.xlookup(C236,'SCC Certificate Review'!C:C,'SCC Certificate Review'!F:F)</f>
        <v/>
      </c>
    </row>
    <row r="237">
      <c r="A237" s="6">
        <v>227.0</v>
      </c>
      <c r="B237" s="6" t="s">
        <v>2452</v>
      </c>
      <c r="C237" s="6" t="s">
        <v>2453</v>
      </c>
      <c r="D237" s="6" t="s">
        <v>120</v>
      </c>
      <c r="E237" s="6" t="s">
        <v>120</v>
      </c>
      <c r="F237" s="6" t="s">
        <v>87</v>
      </c>
      <c r="I237" s="13">
        <v>46241.0</v>
      </c>
      <c r="K237" s="6" t="s">
        <v>682</v>
      </c>
      <c r="M237" s="6" t="s">
        <v>90</v>
      </c>
      <c r="N237" s="6" t="b">
        <v>0</v>
      </c>
      <c r="O237" s="6">
        <v>148.0</v>
      </c>
      <c r="P237" s="6">
        <v>148.0</v>
      </c>
      <c r="Q237" s="10"/>
      <c r="R237" s="6" t="s">
        <v>3665</v>
      </c>
      <c r="S237" s="25">
        <v>22200.0</v>
      </c>
      <c r="V237" s="17">
        <f>SUMIF(Parcels!A:A,
       A237,
       Parcels!Z:Z)</f>
        <v>41186542</v>
      </c>
      <c r="W237" s="17">
        <f>SUMIF(Parcels!$A:$A,
       $A237,
       Parcels!AC:AC)</f>
        <v>0</v>
      </c>
      <c r="X237" s="26">
        <f t="shared" si="6"/>
        <v>37067887.8</v>
      </c>
      <c r="Y237" s="26">
        <f t="shared" si="7"/>
        <v>37067887.8</v>
      </c>
      <c r="Z237" s="15" t="str">
        <f t="array" ref="Z237">_xlfn.XLOOKUP(
  A237,
  Parcels!A:A,
Parcels!AL:AL)</f>
        <v/>
      </c>
      <c r="AA237" s="26">
        <f t="shared" si="18"/>
        <v>0</v>
      </c>
      <c r="AB237" s="15"/>
      <c r="AC237" s="15"/>
      <c r="AD237" s="15"/>
      <c r="AI237" s="6">
        <v>55.0</v>
      </c>
      <c r="AJ237" s="14">
        <f t="shared" si="46"/>
        <v>88800</v>
      </c>
      <c r="AK237" s="14">
        <f t="shared" si="47"/>
        <v>22200</v>
      </c>
      <c r="AL237" s="19" t="str">
        <f t="shared" si="56"/>
        <v>0</v>
      </c>
      <c r="AM237" s="19"/>
      <c r="AN237" s="19" t="str">
        <f t="array" ref="AN237">_xlfn.xlookup(C237,'SCC Certificate Review'!C:C,'SCC Certificate Review'!F:F)</f>
        <v/>
      </c>
    </row>
    <row r="238">
      <c r="A238" s="6">
        <v>223.0</v>
      </c>
      <c r="B238" s="6" t="s">
        <v>3666</v>
      </c>
      <c r="D238" s="6" t="s">
        <v>210</v>
      </c>
      <c r="E238" s="6" t="s">
        <v>86</v>
      </c>
      <c r="F238" s="6" t="s">
        <v>87</v>
      </c>
      <c r="I238" s="121"/>
      <c r="N238" s="6" t="b">
        <v>0</v>
      </c>
      <c r="Q238" s="10"/>
      <c r="R238" s="6" t="s">
        <v>3667</v>
      </c>
      <c r="S238" s="14"/>
      <c r="U238" s="46"/>
      <c r="V238" s="17">
        <f>SUMIF(Parcels!A:A,
       A238,
       Parcels!Z:Z)</f>
        <v>0</v>
      </c>
      <c r="W238" s="17">
        <f>SUMIF(Parcels!$A:$A,
       $A238,
       Parcels!AC:AC)</f>
        <v>0</v>
      </c>
      <c r="X238" s="15" t="str">
        <f t="shared" si="6"/>
        <v>#DIV/0!</v>
      </c>
      <c r="Y238" s="255">
        <v>6.0681517E7</v>
      </c>
      <c r="Z238" s="15" t="str">
        <f t="array" ref="Z238">_xlfn.XLOOKUP(
  A238,
  Parcels!A:A,
Parcels!AL:AL)</f>
        <v/>
      </c>
      <c r="AA238" s="26">
        <f t="shared" si="18"/>
        <v>0</v>
      </c>
      <c r="AB238" s="15"/>
      <c r="AC238" s="15"/>
      <c r="AD238" s="15"/>
      <c r="AI238" s="6">
        <v>15.0</v>
      </c>
      <c r="AJ238" s="14"/>
      <c r="AK238" s="14"/>
      <c r="AL238" s="19"/>
      <c r="AM238" s="19"/>
      <c r="AN238" s="6" t="b">
        <v>1</v>
      </c>
    </row>
    <row r="239">
      <c r="I239" s="121"/>
      <c r="Q239" s="10"/>
      <c r="S239" s="14"/>
      <c r="X239" s="15"/>
      <c r="Y239" s="15"/>
      <c r="Z239" s="15"/>
      <c r="AA239" s="15"/>
      <c r="AB239" s="15"/>
      <c r="AC239" s="15"/>
      <c r="AD239" s="15"/>
      <c r="AJ239" s="14"/>
      <c r="AK239" s="14"/>
      <c r="AL239" s="19"/>
      <c r="AM239" s="19"/>
      <c r="AN239" s="19"/>
    </row>
    <row r="240">
      <c r="I240" s="121"/>
      <c r="Q240" s="10"/>
      <c r="S240" s="14"/>
      <c r="X240" s="15"/>
      <c r="Y240" s="15"/>
      <c r="Z240" s="15"/>
      <c r="AA240" s="15"/>
      <c r="AB240" s="15"/>
      <c r="AC240" s="15"/>
      <c r="AD240" s="15"/>
      <c r="AJ240" s="14"/>
      <c r="AK240" s="14"/>
      <c r="AL240" s="19"/>
      <c r="AM240" s="19"/>
      <c r="AN240" s="19"/>
    </row>
    <row r="241">
      <c r="I241" s="121"/>
      <c r="Q241" s="10"/>
      <c r="S241" s="14"/>
      <c r="X241" s="15"/>
      <c r="Y241" s="15"/>
      <c r="Z241" s="15"/>
      <c r="AA241" s="15"/>
      <c r="AB241" s="15"/>
      <c r="AC241" s="15"/>
      <c r="AD241" s="15"/>
      <c r="AJ241" s="14"/>
      <c r="AK241" s="14"/>
      <c r="AL241" s="19"/>
      <c r="AM241" s="19"/>
      <c r="AN241" s="19"/>
    </row>
    <row r="242">
      <c r="I242" s="121"/>
      <c r="Q242" s="10"/>
      <c r="S242" s="14"/>
      <c r="X242" s="15"/>
      <c r="Y242" s="15"/>
      <c r="Z242" s="15"/>
      <c r="AA242" s="15"/>
      <c r="AB242" s="15"/>
      <c r="AC242" s="15"/>
      <c r="AD242" s="15"/>
      <c r="AJ242" s="14"/>
      <c r="AK242" s="14"/>
      <c r="AL242" s="19"/>
      <c r="AM242" s="19"/>
      <c r="AN242" s="19"/>
    </row>
    <row r="243">
      <c r="I243" s="121"/>
      <c r="Q243" s="10"/>
      <c r="S243" s="14"/>
      <c r="X243" s="15"/>
      <c r="Y243" s="15"/>
      <c r="Z243" s="15"/>
      <c r="AA243" s="15"/>
      <c r="AB243" s="15"/>
      <c r="AC243" s="15"/>
      <c r="AD243" s="15"/>
      <c r="AJ243" s="14"/>
      <c r="AK243" s="14"/>
      <c r="AL243" s="19"/>
      <c r="AM243" s="19"/>
      <c r="AN243" s="19"/>
    </row>
    <row r="244">
      <c r="I244" s="121"/>
      <c r="Q244" s="10"/>
      <c r="S244" s="14"/>
      <c r="X244" s="15"/>
      <c r="Y244" s="15"/>
      <c r="Z244" s="15"/>
      <c r="AA244" s="15"/>
      <c r="AB244" s="15"/>
      <c r="AC244" s="15"/>
      <c r="AD244" s="15"/>
      <c r="AJ244" s="14"/>
      <c r="AK244" s="14"/>
      <c r="AL244" s="19"/>
      <c r="AM244" s="19"/>
      <c r="AN244" s="19"/>
    </row>
    <row r="245">
      <c r="I245" s="121"/>
      <c r="Q245" s="10"/>
      <c r="S245" s="14"/>
      <c r="X245" s="15"/>
      <c r="Y245" s="15"/>
      <c r="Z245" s="15"/>
      <c r="AA245" s="15"/>
      <c r="AB245" s="15"/>
      <c r="AC245" s="15"/>
      <c r="AD245" s="15"/>
      <c r="AJ245" s="14"/>
      <c r="AK245" s="14"/>
      <c r="AL245" s="19"/>
      <c r="AM245" s="19"/>
      <c r="AN245" s="19"/>
    </row>
    <row r="246">
      <c r="I246" s="121"/>
      <c r="Q246" s="10"/>
      <c r="S246" s="14"/>
      <c r="X246" s="15"/>
      <c r="Y246" s="15"/>
      <c r="Z246" s="15"/>
      <c r="AA246" s="15"/>
      <c r="AB246" s="15"/>
      <c r="AC246" s="15"/>
      <c r="AD246" s="15"/>
      <c r="AJ246" s="14"/>
      <c r="AK246" s="14"/>
      <c r="AL246" s="19"/>
      <c r="AM246" s="19"/>
      <c r="AN246" s="19"/>
    </row>
    <row r="247">
      <c r="I247" s="121"/>
      <c r="Q247" s="10"/>
      <c r="S247" s="14"/>
      <c r="X247" s="15"/>
      <c r="Y247" s="15"/>
      <c r="Z247" s="15"/>
      <c r="AA247" s="15"/>
      <c r="AB247" s="15"/>
      <c r="AC247" s="15"/>
      <c r="AD247" s="15"/>
      <c r="AJ247" s="14"/>
      <c r="AK247" s="14"/>
      <c r="AL247" s="19"/>
      <c r="AM247" s="19"/>
      <c r="AN247" s="19"/>
    </row>
    <row r="248">
      <c r="I248" s="121"/>
      <c r="Q248" s="10"/>
      <c r="S248" s="14"/>
      <c r="X248" s="15"/>
      <c r="Y248" s="15"/>
      <c r="Z248" s="15"/>
      <c r="AA248" s="15"/>
      <c r="AB248" s="15"/>
      <c r="AC248" s="15"/>
      <c r="AD248" s="15"/>
      <c r="AJ248" s="14"/>
      <c r="AK248" s="14"/>
      <c r="AL248" s="19"/>
      <c r="AM248" s="19"/>
      <c r="AN248" s="19"/>
    </row>
    <row r="249">
      <c r="I249" s="121"/>
      <c r="Q249" s="10"/>
      <c r="S249" s="14"/>
      <c r="X249" s="15"/>
      <c r="Y249" s="15"/>
      <c r="Z249" s="15"/>
      <c r="AA249" s="15"/>
      <c r="AB249" s="15"/>
      <c r="AC249" s="15"/>
      <c r="AD249" s="15"/>
      <c r="AJ249" s="14"/>
      <c r="AK249" s="14"/>
      <c r="AL249" s="19"/>
      <c r="AM249" s="19"/>
      <c r="AN249" s="19"/>
    </row>
    <row r="250">
      <c r="I250" s="121"/>
      <c r="Q250" s="10"/>
      <c r="S250" s="14"/>
      <c r="X250" s="15"/>
      <c r="Y250" s="15"/>
      <c r="Z250" s="15"/>
      <c r="AA250" s="15"/>
      <c r="AB250" s="15"/>
      <c r="AC250" s="15"/>
      <c r="AD250" s="15"/>
      <c r="AJ250" s="14"/>
      <c r="AK250" s="14"/>
      <c r="AL250" s="19"/>
      <c r="AM250" s="19"/>
      <c r="AN250" s="19"/>
    </row>
    <row r="251">
      <c r="I251" s="121"/>
      <c r="Q251" s="10"/>
      <c r="S251" s="14"/>
      <c r="X251" s="15"/>
      <c r="Y251" s="15"/>
      <c r="Z251" s="15"/>
      <c r="AA251" s="15"/>
      <c r="AB251" s="15"/>
      <c r="AC251" s="15"/>
      <c r="AD251" s="15"/>
      <c r="AJ251" s="14"/>
      <c r="AK251" s="14"/>
      <c r="AL251" s="19"/>
      <c r="AM251" s="19"/>
      <c r="AN251" s="19"/>
    </row>
    <row r="252">
      <c r="I252" s="121"/>
      <c r="Q252" s="10"/>
      <c r="S252" s="14"/>
      <c r="X252" s="15"/>
      <c r="Y252" s="15"/>
      <c r="Z252" s="15"/>
      <c r="AA252" s="15"/>
      <c r="AB252" s="15"/>
      <c r="AC252" s="15"/>
      <c r="AD252" s="15"/>
      <c r="AJ252" s="14"/>
      <c r="AK252" s="14"/>
      <c r="AL252" s="19"/>
      <c r="AM252" s="19"/>
      <c r="AN252" s="19"/>
    </row>
    <row r="253">
      <c r="I253" s="121"/>
      <c r="Q253" s="10"/>
      <c r="S253" s="14"/>
      <c r="X253" s="15"/>
      <c r="Y253" s="15"/>
      <c r="Z253" s="15"/>
      <c r="AA253" s="15"/>
      <c r="AB253" s="15"/>
      <c r="AC253" s="15"/>
      <c r="AD253" s="15"/>
      <c r="AJ253" s="14"/>
      <c r="AK253" s="14"/>
      <c r="AL253" s="19"/>
      <c r="AM253" s="19"/>
      <c r="AN253" s="19"/>
    </row>
    <row r="254">
      <c r="I254" s="121"/>
      <c r="Q254" s="10"/>
      <c r="S254" s="14"/>
      <c r="X254" s="15"/>
      <c r="Y254" s="15"/>
      <c r="Z254" s="15"/>
      <c r="AA254" s="15"/>
      <c r="AB254" s="15"/>
      <c r="AC254" s="15"/>
      <c r="AD254" s="15"/>
      <c r="AJ254" s="14"/>
      <c r="AK254" s="14"/>
      <c r="AL254" s="19"/>
      <c r="AM254" s="19"/>
      <c r="AN254" s="19"/>
    </row>
    <row r="255">
      <c r="I255" s="121"/>
      <c r="Q255" s="10"/>
      <c r="S255" s="14"/>
      <c r="X255" s="15"/>
      <c r="Y255" s="15"/>
      <c r="Z255" s="15"/>
      <c r="AA255" s="15"/>
      <c r="AB255" s="15"/>
      <c r="AC255" s="15"/>
      <c r="AD255" s="15"/>
      <c r="AJ255" s="14"/>
      <c r="AK255" s="14"/>
      <c r="AL255" s="19"/>
      <c r="AM255" s="19"/>
      <c r="AN255" s="19"/>
    </row>
    <row r="256">
      <c r="I256" s="121"/>
      <c r="Q256" s="10"/>
      <c r="S256" s="14"/>
      <c r="X256" s="15"/>
      <c r="Y256" s="15"/>
      <c r="Z256" s="15"/>
      <c r="AA256" s="15"/>
      <c r="AB256" s="15"/>
      <c r="AC256" s="15"/>
      <c r="AD256" s="15"/>
      <c r="AJ256" s="14"/>
      <c r="AK256" s="14"/>
      <c r="AL256" s="19"/>
      <c r="AM256" s="19"/>
      <c r="AN256" s="19"/>
    </row>
    <row r="257">
      <c r="I257" s="121"/>
      <c r="Q257" s="10"/>
      <c r="S257" s="14"/>
      <c r="X257" s="15"/>
      <c r="Y257" s="15"/>
      <c r="Z257" s="15"/>
      <c r="AA257" s="15"/>
      <c r="AB257" s="15"/>
      <c r="AC257" s="15"/>
      <c r="AD257" s="15"/>
      <c r="AJ257" s="14"/>
      <c r="AK257" s="14"/>
      <c r="AL257" s="19"/>
      <c r="AM257" s="19"/>
      <c r="AN257" s="19"/>
    </row>
    <row r="258">
      <c r="I258" s="121"/>
      <c r="Q258" s="10"/>
      <c r="S258" s="14"/>
      <c r="X258" s="15"/>
      <c r="Y258" s="15"/>
      <c r="Z258" s="15"/>
      <c r="AA258" s="15"/>
      <c r="AB258" s="15"/>
      <c r="AC258" s="15"/>
      <c r="AD258" s="15"/>
      <c r="AJ258" s="14"/>
      <c r="AK258" s="14"/>
      <c r="AL258" s="19"/>
      <c r="AM258" s="19"/>
      <c r="AN258" s="19"/>
    </row>
    <row r="259">
      <c r="I259" s="121"/>
      <c r="Q259" s="10"/>
      <c r="S259" s="14"/>
      <c r="X259" s="15"/>
      <c r="Y259" s="15"/>
      <c r="Z259" s="15"/>
      <c r="AA259" s="15"/>
      <c r="AB259" s="15"/>
      <c r="AC259" s="15"/>
      <c r="AD259" s="15"/>
      <c r="AJ259" s="14"/>
      <c r="AK259" s="14"/>
      <c r="AL259" s="19"/>
      <c r="AM259" s="19"/>
      <c r="AN259" s="19"/>
    </row>
    <row r="260">
      <c r="I260" s="121"/>
      <c r="Q260" s="10"/>
      <c r="S260" s="14"/>
      <c r="X260" s="15"/>
      <c r="Y260" s="15"/>
      <c r="Z260" s="15"/>
      <c r="AA260" s="15"/>
      <c r="AB260" s="15"/>
      <c r="AC260" s="15"/>
      <c r="AD260" s="15"/>
      <c r="AJ260" s="14"/>
      <c r="AK260" s="14"/>
      <c r="AL260" s="19"/>
      <c r="AM260" s="19"/>
      <c r="AN260" s="19"/>
    </row>
    <row r="261">
      <c r="I261" s="121"/>
      <c r="Q261" s="10"/>
      <c r="S261" s="14"/>
      <c r="X261" s="15"/>
      <c r="Y261" s="15"/>
      <c r="Z261" s="15"/>
      <c r="AA261" s="15"/>
      <c r="AB261" s="15"/>
      <c r="AC261" s="15"/>
      <c r="AD261" s="15"/>
      <c r="AJ261" s="14"/>
      <c r="AK261" s="14"/>
      <c r="AL261" s="19"/>
      <c r="AM261" s="19"/>
      <c r="AN261" s="19"/>
    </row>
    <row r="262">
      <c r="I262" s="121"/>
      <c r="Q262" s="10"/>
      <c r="S262" s="14"/>
      <c r="X262" s="15"/>
      <c r="Y262" s="15"/>
      <c r="Z262" s="15"/>
      <c r="AA262" s="15"/>
      <c r="AB262" s="15"/>
      <c r="AC262" s="15"/>
      <c r="AD262" s="15"/>
      <c r="AJ262" s="14"/>
      <c r="AK262" s="14"/>
      <c r="AL262" s="19"/>
      <c r="AM262" s="19"/>
      <c r="AN262" s="19"/>
    </row>
    <row r="263">
      <c r="I263" s="121"/>
      <c r="Q263" s="10"/>
      <c r="S263" s="14"/>
      <c r="X263" s="15"/>
      <c r="Y263" s="15"/>
      <c r="Z263" s="15"/>
      <c r="AA263" s="15"/>
      <c r="AB263" s="15"/>
      <c r="AC263" s="15"/>
      <c r="AD263" s="15"/>
      <c r="AJ263" s="14"/>
      <c r="AK263" s="14"/>
      <c r="AL263" s="19"/>
      <c r="AM263" s="19"/>
      <c r="AN263" s="19"/>
    </row>
    <row r="264">
      <c r="I264" s="121"/>
      <c r="Q264" s="10"/>
      <c r="S264" s="14"/>
      <c r="X264" s="15"/>
      <c r="Y264" s="15"/>
      <c r="Z264" s="15"/>
      <c r="AA264" s="15"/>
      <c r="AB264" s="15"/>
      <c r="AC264" s="15"/>
      <c r="AD264" s="15"/>
      <c r="AJ264" s="14"/>
      <c r="AK264" s="14"/>
      <c r="AL264" s="19"/>
      <c r="AM264" s="19"/>
      <c r="AN264" s="19"/>
    </row>
    <row r="265">
      <c r="I265" s="121"/>
      <c r="Q265" s="10"/>
      <c r="S265" s="14"/>
      <c r="X265" s="15"/>
      <c r="Y265" s="15"/>
      <c r="Z265" s="15"/>
      <c r="AA265" s="15"/>
      <c r="AB265" s="15"/>
      <c r="AC265" s="15"/>
      <c r="AD265" s="15"/>
      <c r="AJ265" s="14"/>
      <c r="AK265" s="14"/>
      <c r="AL265" s="19"/>
      <c r="AM265" s="19"/>
      <c r="AN265" s="19"/>
    </row>
    <row r="266">
      <c r="I266" s="121"/>
      <c r="Q266" s="10"/>
      <c r="S266" s="14"/>
      <c r="X266" s="15"/>
      <c r="Y266" s="15"/>
      <c r="Z266" s="15"/>
      <c r="AA266" s="15"/>
      <c r="AB266" s="15"/>
      <c r="AC266" s="15"/>
      <c r="AD266" s="15"/>
      <c r="AJ266" s="14"/>
      <c r="AK266" s="14"/>
      <c r="AL266" s="19"/>
      <c r="AM266" s="19"/>
      <c r="AN266" s="19"/>
    </row>
    <row r="267">
      <c r="I267" s="121"/>
      <c r="Q267" s="10"/>
      <c r="S267" s="14"/>
      <c r="X267" s="15"/>
      <c r="Y267" s="15"/>
      <c r="Z267" s="15"/>
      <c r="AA267" s="15"/>
      <c r="AB267" s="15"/>
      <c r="AC267" s="15"/>
      <c r="AD267" s="15"/>
      <c r="AJ267" s="14"/>
      <c r="AK267" s="14"/>
      <c r="AL267" s="19"/>
      <c r="AM267" s="19"/>
      <c r="AN267" s="19"/>
    </row>
    <row r="268">
      <c r="I268" s="121"/>
      <c r="Q268" s="10"/>
      <c r="S268" s="14"/>
      <c r="X268" s="15"/>
      <c r="Y268" s="15"/>
      <c r="Z268" s="15"/>
      <c r="AA268" s="15"/>
      <c r="AB268" s="15"/>
      <c r="AC268" s="15"/>
      <c r="AD268" s="15"/>
      <c r="AJ268" s="14"/>
      <c r="AK268" s="14"/>
      <c r="AL268" s="19"/>
      <c r="AM268" s="19"/>
      <c r="AN268" s="19"/>
    </row>
    <row r="269">
      <c r="I269" s="121"/>
      <c r="Q269" s="10"/>
      <c r="S269" s="14"/>
      <c r="X269" s="15"/>
      <c r="Y269" s="15"/>
      <c r="Z269" s="15"/>
      <c r="AA269" s="15"/>
      <c r="AB269" s="15"/>
      <c r="AC269" s="15"/>
      <c r="AD269" s="15"/>
      <c r="AJ269" s="14"/>
      <c r="AK269" s="14"/>
      <c r="AL269" s="19"/>
      <c r="AM269" s="19"/>
      <c r="AN269" s="19"/>
    </row>
    <row r="270">
      <c r="I270" s="121"/>
      <c r="Q270" s="10"/>
      <c r="S270" s="14"/>
      <c r="X270" s="15"/>
      <c r="Y270" s="15"/>
      <c r="Z270" s="15"/>
      <c r="AA270" s="15"/>
      <c r="AB270" s="15"/>
      <c r="AC270" s="15"/>
      <c r="AD270" s="15"/>
      <c r="AJ270" s="14"/>
      <c r="AK270" s="14"/>
      <c r="AL270" s="19"/>
      <c r="AM270" s="19"/>
      <c r="AN270" s="19"/>
    </row>
    <row r="271">
      <c r="I271" s="121"/>
      <c r="Q271" s="10"/>
      <c r="S271" s="14"/>
      <c r="X271" s="15"/>
      <c r="Y271" s="15"/>
      <c r="Z271" s="15"/>
      <c r="AA271" s="15"/>
      <c r="AB271" s="15"/>
      <c r="AC271" s="15"/>
      <c r="AD271" s="15"/>
      <c r="AJ271" s="14"/>
      <c r="AK271" s="14"/>
      <c r="AL271" s="19"/>
      <c r="AM271" s="19"/>
      <c r="AN271" s="19"/>
    </row>
    <row r="272">
      <c r="I272" s="121"/>
      <c r="Q272" s="10"/>
      <c r="S272" s="14"/>
      <c r="X272" s="15"/>
      <c r="Y272" s="15"/>
      <c r="Z272" s="15"/>
      <c r="AA272" s="15"/>
      <c r="AB272" s="15"/>
      <c r="AC272" s="15"/>
      <c r="AD272" s="15"/>
      <c r="AJ272" s="14"/>
      <c r="AK272" s="14"/>
      <c r="AL272" s="19"/>
      <c r="AM272" s="19"/>
      <c r="AN272" s="19"/>
    </row>
    <row r="273">
      <c r="I273" s="121"/>
      <c r="Q273" s="10"/>
      <c r="S273" s="14"/>
      <c r="X273" s="15"/>
      <c r="Y273" s="15"/>
      <c r="Z273" s="15"/>
      <c r="AA273" s="15"/>
      <c r="AB273" s="15"/>
      <c r="AC273" s="15"/>
      <c r="AD273" s="15"/>
      <c r="AJ273" s="14"/>
      <c r="AK273" s="14"/>
      <c r="AL273" s="19"/>
      <c r="AM273" s="19"/>
      <c r="AN273" s="19"/>
    </row>
    <row r="274">
      <c r="I274" s="121"/>
      <c r="Q274" s="10"/>
      <c r="S274" s="14"/>
      <c r="X274" s="15"/>
      <c r="Y274" s="15"/>
      <c r="Z274" s="15"/>
      <c r="AA274" s="15"/>
      <c r="AB274" s="15"/>
      <c r="AC274" s="15"/>
      <c r="AD274" s="15"/>
      <c r="AJ274" s="14"/>
      <c r="AK274" s="14"/>
      <c r="AL274" s="19"/>
      <c r="AM274" s="19"/>
      <c r="AN274" s="19"/>
    </row>
    <row r="275">
      <c r="I275" s="121"/>
      <c r="Q275" s="10"/>
      <c r="S275" s="14"/>
      <c r="X275" s="15"/>
      <c r="Y275" s="15"/>
      <c r="Z275" s="15"/>
      <c r="AA275" s="15"/>
      <c r="AB275" s="15"/>
      <c r="AC275" s="15"/>
      <c r="AD275" s="15"/>
      <c r="AJ275" s="14"/>
      <c r="AK275" s="14"/>
      <c r="AL275" s="19"/>
      <c r="AM275" s="19"/>
      <c r="AN275" s="19"/>
    </row>
    <row r="276">
      <c r="I276" s="121"/>
      <c r="Q276" s="10"/>
      <c r="S276" s="14"/>
      <c r="X276" s="15"/>
      <c r="Y276" s="15"/>
      <c r="Z276" s="15"/>
      <c r="AA276" s="15"/>
      <c r="AB276" s="15"/>
      <c r="AC276" s="15"/>
      <c r="AD276" s="15"/>
      <c r="AJ276" s="14"/>
      <c r="AK276" s="14"/>
      <c r="AL276" s="19"/>
      <c r="AM276" s="19"/>
      <c r="AN276" s="19"/>
    </row>
    <row r="277">
      <c r="I277" s="121"/>
      <c r="Q277" s="10"/>
      <c r="S277" s="14"/>
      <c r="X277" s="15"/>
      <c r="Y277" s="15"/>
      <c r="Z277" s="15"/>
      <c r="AA277" s="15"/>
      <c r="AB277" s="15"/>
      <c r="AC277" s="15"/>
      <c r="AD277" s="15"/>
      <c r="AJ277" s="14"/>
      <c r="AK277" s="14"/>
      <c r="AL277" s="19"/>
      <c r="AM277" s="19"/>
      <c r="AN277" s="19"/>
    </row>
    <row r="278">
      <c r="I278" s="121"/>
      <c r="Q278" s="10"/>
      <c r="S278" s="14"/>
      <c r="X278" s="15"/>
      <c r="Y278" s="15"/>
      <c r="Z278" s="15"/>
      <c r="AA278" s="15"/>
      <c r="AB278" s="15"/>
      <c r="AC278" s="15"/>
      <c r="AD278" s="15"/>
      <c r="AJ278" s="14"/>
      <c r="AK278" s="14"/>
      <c r="AL278" s="19"/>
      <c r="AM278" s="19"/>
      <c r="AN278" s="19"/>
    </row>
    <row r="279">
      <c r="I279" s="121"/>
      <c r="Q279" s="10"/>
      <c r="S279" s="14"/>
      <c r="X279" s="15"/>
      <c r="Y279" s="15"/>
      <c r="Z279" s="15"/>
      <c r="AA279" s="15"/>
      <c r="AB279" s="15"/>
      <c r="AC279" s="15"/>
      <c r="AD279" s="15"/>
      <c r="AJ279" s="14"/>
      <c r="AK279" s="14"/>
      <c r="AL279" s="19"/>
      <c r="AM279" s="19"/>
      <c r="AN279" s="19"/>
    </row>
    <row r="280">
      <c r="I280" s="121"/>
      <c r="Q280" s="10"/>
      <c r="S280" s="14"/>
      <c r="X280" s="15"/>
      <c r="Y280" s="15"/>
      <c r="Z280" s="15"/>
      <c r="AA280" s="15"/>
      <c r="AB280" s="15"/>
      <c r="AC280" s="15"/>
      <c r="AD280" s="15"/>
      <c r="AJ280" s="14"/>
      <c r="AK280" s="14"/>
      <c r="AL280" s="19"/>
      <c r="AM280" s="19"/>
      <c r="AN280" s="19"/>
    </row>
    <row r="281">
      <c r="I281" s="121"/>
      <c r="Q281" s="10"/>
      <c r="S281" s="14"/>
      <c r="X281" s="15"/>
      <c r="Y281" s="15"/>
      <c r="Z281" s="15"/>
      <c r="AA281" s="15"/>
      <c r="AB281" s="15"/>
      <c r="AC281" s="15"/>
      <c r="AD281" s="15"/>
      <c r="AJ281" s="14"/>
      <c r="AK281" s="14"/>
      <c r="AL281" s="19"/>
      <c r="AM281" s="19"/>
      <c r="AN281" s="19"/>
    </row>
    <row r="282">
      <c r="I282" s="121"/>
      <c r="Q282" s="10"/>
      <c r="S282" s="14"/>
      <c r="X282" s="15"/>
      <c r="Y282" s="15"/>
      <c r="Z282" s="15"/>
      <c r="AA282" s="15"/>
      <c r="AB282" s="15"/>
      <c r="AC282" s="15"/>
      <c r="AD282" s="15"/>
      <c r="AJ282" s="14"/>
      <c r="AK282" s="14"/>
      <c r="AL282" s="19"/>
      <c r="AM282" s="19"/>
      <c r="AN282" s="19"/>
    </row>
    <row r="283">
      <c r="I283" s="121"/>
      <c r="Q283" s="10"/>
      <c r="S283" s="14"/>
      <c r="X283" s="15"/>
      <c r="Y283" s="15"/>
      <c r="Z283" s="15"/>
      <c r="AA283" s="15"/>
      <c r="AB283" s="15"/>
      <c r="AC283" s="15"/>
      <c r="AD283" s="15"/>
      <c r="AJ283" s="14"/>
      <c r="AK283" s="14"/>
      <c r="AL283" s="19"/>
      <c r="AM283" s="19"/>
      <c r="AN283" s="19"/>
    </row>
    <row r="284">
      <c r="I284" s="121"/>
      <c r="Q284" s="10"/>
      <c r="S284" s="14"/>
      <c r="X284" s="15"/>
      <c r="Y284" s="15"/>
      <c r="Z284" s="15"/>
      <c r="AA284" s="15"/>
      <c r="AB284" s="15"/>
      <c r="AC284" s="15"/>
      <c r="AD284" s="15"/>
      <c r="AJ284" s="14"/>
      <c r="AK284" s="14"/>
      <c r="AL284" s="19"/>
      <c r="AM284" s="19"/>
      <c r="AN284" s="19"/>
    </row>
    <row r="285">
      <c r="I285" s="121"/>
      <c r="Q285" s="10"/>
      <c r="S285" s="14"/>
      <c r="X285" s="15"/>
      <c r="Y285" s="15"/>
      <c r="Z285" s="15"/>
      <c r="AA285" s="15"/>
      <c r="AB285" s="15"/>
      <c r="AC285" s="15"/>
      <c r="AD285" s="15"/>
      <c r="AJ285" s="14"/>
      <c r="AK285" s="14"/>
      <c r="AL285" s="19"/>
      <c r="AM285" s="19"/>
      <c r="AN285" s="19"/>
    </row>
    <row r="286">
      <c r="I286" s="121"/>
      <c r="Q286" s="10"/>
      <c r="S286" s="14"/>
      <c r="X286" s="15"/>
      <c r="Y286" s="15"/>
      <c r="Z286" s="15"/>
      <c r="AA286" s="15"/>
      <c r="AB286" s="15"/>
      <c r="AC286" s="15"/>
      <c r="AD286" s="15"/>
      <c r="AJ286" s="14"/>
      <c r="AK286" s="14"/>
      <c r="AL286" s="19"/>
      <c r="AM286" s="19"/>
      <c r="AN286" s="19"/>
    </row>
    <row r="287">
      <c r="I287" s="121"/>
      <c r="Q287" s="10"/>
      <c r="S287" s="14"/>
      <c r="X287" s="15"/>
      <c r="Y287" s="15"/>
      <c r="Z287" s="15"/>
      <c r="AA287" s="15"/>
      <c r="AB287" s="15"/>
      <c r="AC287" s="15"/>
      <c r="AD287" s="15"/>
      <c r="AJ287" s="14"/>
      <c r="AK287" s="14"/>
      <c r="AL287" s="19"/>
      <c r="AM287" s="19"/>
      <c r="AN287" s="19"/>
    </row>
    <row r="288">
      <c r="I288" s="121"/>
      <c r="Q288" s="10"/>
      <c r="S288" s="14"/>
      <c r="X288" s="15"/>
      <c r="Y288" s="15"/>
      <c r="Z288" s="15"/>
      <c r="AA288" s="15"/>
      <c r="AB288" s="15"/>
      <c r="AC288" s="15"/>
      <c r="AD288" s="15"/>
      <c r="AJ288" s="14"/>
      <c r="AK288" s="14"/>
      <c r="AL288" s="19"/>
      <c r="AM288" s="19"/>
      <c r="AN288" s="19"/>
    </row>
    <row r="289">
      <c r="I289" s="121"/>
      <c r="Q289" s="10"/>
      <c r="S289" s="14"/>
      <c r="X289" s="15"/>
      <c r="Y289" s="15"/>
      <c r="Z289" s="15"/>
      <c r="AA289" s="15"/>
      <c r="AB289" s="15"/>
      <c r="AC289" s="15"/>
      <c r="AD289" s="15"/>
      <c r="AJ289" s="14"/>
      <c r="AK289" s="14"/>
      <c r="AL289" s="19"/>
      <c r="AM289" s="19"/>
      <c r="AN289" s="19"/>
    </row>
    <row r="290">
      <c r="I290" s="121"/>
      <c r="Q290" s="10"/>
      <c r="S290" s="14"/>
      <c r="X290" s="15"/>
      <c r="Y290" s="15"/>
      <c r="Z290" s="15"/>
      <c r="AA290" s="15"/>
      <c r="AB290" s="15"/>
      <c r="AC290" s="15"/>
      <c r="AD290" s="15"/>
      <c r="AJ290" s="14"/>
      <c r="AK290" s="14"/>
      <c r="AL290" s="19"/>
      <c r="AM290" s="19"/>
      <c r="AN290" s="19"/>
    </row>
    <row r="291">
      <c r="I291" s="121"/>
      <c r="Q291" s="10"/>
      <c r="S291" s="14"/>
      <c r="X291" s="15"/>
      <c r="Y291" s="15"/>
      <c r="Z291" s="15"/>
      <c r="AA291" s="15"/>
      <c r="AB291" s="15"/>
      <c r="AC291" s="15"/>
      <c r="AD291" s="15"/>
      <c r="AJ291" s="14"/>
      <c r="AK291" s="14"/>
      <c r="AL291" s="19"/>
      <c r="AM291" s="19"/>
      <c r="AN291" s="19"/>
    </row>
    <row r="292">
      <c r="I292" s="121"/>
      <c r="Q292" s="10"/>
      <c r="S292" s="14"/>
      <c r="X292" s="15"/>
      <c r="Y292" s="15"/>
      <c r="Z292" s="15"/>
      <c r="AA292" s="15"/>
      <c r="AB292" s="15"/>
      <c r="AC292" s="15"/>
      <c r="AD292" s="15"/>
      <c r="AJ292" s="14"/>
      <c r="AK292" s="14"/>
      <c r="AL292" s="19"/>
      <c r="AM292" s="19"/>
      <c r="AN292" s="19"/>
    </row>
    <row r="293">
      <c r="I293" s="121"/>
      <c r="Q293" s="10"/>
      <c r="S293" s="14"/>
      <c r="X293" s="15"/>
      <c r="Y293" s="15"/>
      <c r="Z293" s="15"/>
      <c r="AA293" s="15"/>
      <c r="AB293" s="15"/>
      <c r="AC293" s="15"/>
      <c r="AD293" s="15"/>
      <c r="AJ293" s="14"/>
      <c r="AK293" s="14"/>
      <c r="AL293" s="19"/>
      <c r="AM293" s="19"/>
      <c r="AN293" s="19"/>
    </row>
    <row r="294">
      <c r="I294" s="121"/>
      <c r="Q294" s="10"/>
      <c r="S294" s="14"/>
      <c r="X294" s="15"/>
      <c r="Y294" s="15"/>
      <c r="Z294" s="15"/>
      <c r="AA294" s="15"/>
      <c r="AB294" s="15"/>
      <c r="AC294" s="15"/>
      <c r="AD294" s="15"/>
      <c r="AJ294" s="14"/>
      <c r="AK294" s="14"/>
      <c r="AL294" s="19"/>
      <c r="AM294" s="19"/>
      <c r="AN294" s="19"/>
    </row>
    <row r="295">
      <c r="I295" s="121"/>
      <c r="Q295" s="10"/>
      <c r="S295" s="14"/>
      <c r="X295" s="15"/>
      <c r="Y295" s="15"/>
      <c r="Z295" s="15"/>
      <c r="AA295" s="15"/>
      <c r="AB295" s="15"/>
      <c r="AC295" s="15"/>
      <c r="AD295" s="15"/>
      <c r="AJ295" s="14"/>
      <c r="AK295" s="14"/>
      <c r="AL295" s="19"/>
      <c r="AM295" s="19"/>
      <c r="AN295" s="19"/>
    </row>
    <row r="296">
      <c r="I296" s="121"/>
      <c r="Q296" s="10"/>
      <c r="S296" s="14"/>
      <c r="X296" s="15"/>
      <c r="Y296" s="15"/>
      <c r="Z296" s="15"/>
      <c r="AA296" s="15"/>
      <c r="AB296" s="15"/>
      <c r="AC296" s="15"/>
      <c r="AD296" s="15"/>
      <c r="AJ296" s="14"/>
      <c r="AK296" s="14"/>
      <c r="AL296" s="19"/>
      <c r="AM296" s="19"/>
      <c r="AN296" s="19"/>
    </row>
    <row r="297">
      <c r="I297" s="121"/>
      <c r="Q297" s="10"/>
      <c r="S297" s="14"/>
      <c r="X297" s="15"/>
      <c r="Y297" s="15"/>
      <c r="Z297" s="15"/>
      <c r="AA297" s="15"/>
      <c r="AB297" s="15"/>
      <c r="AC297" s="15"/>
      <c r="AD297" s="15"/>
      <c r="AJ297" s="14"/>
      <c r="AK297" s="14"/>
      <c r="AL297" s="19"/>
      <c r="AM297" s="19"/>
      <c r="AN297" s="19"/>
    </row>
    <row r="298">
      <c r="I298" s="121"/>
      <c r="Q298" s="10"/>
      <c r="S298" s="14"/>
      <c r="X298" s="15"/>
      <c r="Y298" s="15"/>
      <c r="Z298" s="15"/>
      <c r="AA298" s="15"/>
      <c r="AB298" s="15"/>
      <c r="AC298" s="15"/>
      <c r="AD298" s="15"/>
      <c r="AJ298" s="14"/>
      <c r="AK298" s="14"/>
      <c r="AL298" s="19"/>
      <c r="AM298" s="19"/>
      <c r="AN298" s="19"/>
    </row>
    <row r="299">
      <c r="I299" s="121"/>
      <c r="Q299" s="10"/>
      <c r="S299" s="14"/>
      <c r="X299" s="15"/>
      <c r="Y299" s="15"/>
      <c r="Z299" s="15"/>
      <c r="AA299" s="15"/>
      <c r="AB299" s="15"/>
      <c r="AC299" s="15"/>
      <c r="AD299" s="15"/>
      <c r="AJ299" s="14"/>
      <c r="AK299" s="14"/>
      <c r="AL299" s="19"/>
      <c r="AM299" s="19"/>
      <c r="AN299" s="19"/>
    </row>
    <row r="300">
      <c r="I300" s="121"/>
      <c r="Q300" s="10"/>
      <c r="S300" s="14"/>
      <c r="X300" s="15"/>
      <c r="Y300" s="15"/>
      <c r="Z300" s="15"/>
      <c r="AA300" s="15"/>
      <c r="AB300" s="15"/>
      <c r="AC300" s="15"/>
      <c r="AD300" s="15"/>
      <c r="AJ300" s="14"/>
      <c r="AK300" s="14"/>
      <c r="AL300" s="19"/>
      <c r="AM300" s="19"/>
      <c r="AN300" s="19"/>
    </row>
    <row r="301">
      <c r="I301" s="121"/>
      <c r="Q301" s="10"/>
      <c r="S301" s="14"/>
      <c r="X301" s="15"/>
      <c r="Y301" s="15"/>
      <c r="Z301" s="15"/>
      <c r="AA301" s="15"/>
      <c r="AB301" s="15"/>
      <c r="AC301" s="15"/>
      <c r="AD301" s="15"/>
      <c r="AJ301" s="14"/>
      <c r="AK301" s="14"/>
      <c r="AL301" s="19"/>
      <c r="AM301" s="19"/>
      <c r="AN301" s="19"/>
    </row>
    <row r="302">
      <c r="I302" s="121"/>
      <c r="Q302" s="10"/>
      <c r="S302" s="14"/>
      <c r="X302" s="15"/>
      <c r="Y302" s="15"/>
      <c r="Z302" s="15"/>
      <c r="AA302" s="15"/>
      <c r="AB302" s="15"/>
      <c r="AC302" s="15"/>
      <c r="AD302" s="15"/>
      <c r="AJ302" s="14"/>
      <c r="AK302" s="14"/>
      <c r="AL302" s="19"/>
      <c r="AM302" s="19"/>
      <c r="AN302" s="19"/>
    </row>
    <row r="303">
      <c r="I303" s="121"/>
      <c r="Q303" s="10"/>
      <c r="S303" s="14"/>
      <c r="X303" s="15"/>
      <c r="Y303" s="15"/>
      <c r="Z303" s="15"/>
      <c r="AA303" s="15"/>
      <c r="AB303" s="15"/>
      <c r="AC303" s="15"/>
      <c r="AD303" s="15"/>
      <c r="AJ303" s="14"/>
      <c r="AK303" s="14"/>
      <c r="AL303" s="19"/>
      <c r="AM303" s="19"/>
      <c r="AN303" s="19"/>
    </row>
    <row r="304">
      <c r="I304" s="121"/>
      <c r="Q304" s="10"/>
      <c r="S304" s="14"/>
      <c r="X304" s="15"/>
      <c r="Y304" s="15"/>
      <c r="Z304" s="15"/>
      <c r="AA304" s="15"/>
      <c r="AB304" s="15"/>
      <c r="AC304" s="15"/>
      <c r="AD304" s="15"/>
      <c r="AJ304" s="14"/>
      <c r="AK304" s="14"/>
      <c r="AL304" s="19"/>
      <c r="AM304" s="19"/>
      <c r="AN304" s="19"/>
    </row>
    <row r="305">
      <c r="I305" s="121"/>
      <c r="Q305" s="10"/>
      <c r="S305" s="14"/>
      <c r="X305" s="15"/>
      <c r="Y305" s="15"/>
      <c r="Z305" s="15"/>
      <c r="AA305" s="15"/>
      <c r="AB305" s="15"/>
      <c r="AC305" s="15"/>
      <c r="AD305" s="15"/>
      <c r="AJ305" s="14"/>
      <c r="AK305" s="14"/>
      <c r="AL305" s="19"/>
      <c r="AM305" s="19"/>
      <c r="AN305" s="19"/>
    </row>
    <row r="306">
      <c r="I306" s="121"/>
      <c r="Q306" s="10"/>
      <c r="S306" s="14"/>
      <c r="X306" s="15"/>
      <c r="Y306" s="15"/>
      <c r="Z306" s="15"/>
      <c r="AA306" s="15"/>
      <c r="AB306" s="15"/>
      <c r="AC306" s="15"/>
      <c r="AD306" s="15"/>
      <c r="AJ306" s="14"/>
      <c r="AK306" s="14"/>
      <c r="AL306" s="19"/>
      <c r="AM306" s="19"/>
      <c r="AN306" s="19"/>
    </row>
    <row r="307">
      <c r="I307" s="121"/>
      <c r="Q307" s="10"/>
      <c r="S307" s="14"/>
      <c r="X307" s="15"/>
      <c r="Y307" s="15"/>
      <c r="Z307" s="15"/>
      <c r="AA307" s="15"/>
      <c r="AB307" s="15"/>
      <c r="AC307" s="15"/>
      <c r="AD307" s="15"/>
      <c r="AJ307" s="14"/>
      <c r="AK307" s="14"/>
      <c r="AL307" s="19"/>
      <c r="AM307" s="19"/>
      <c r="AN307" s="19"/>
    </row>
    <row r="308">
      <c r="I308" s="121"/>
      <c r="Q308" s="10"/>
      <c r="S308" s="14"/>
      <c r="X308" s="15"/>
      <c r="Y308" s="15"/>
      <c r="Z308" s="15"/>
      <c r="AA308" s="15"/>
      <c r="AB308" s="15"/>
      <c r="AC308" s="15"/>
      <c r="AD308" s="15"/>
      <c r="AJ308" s="14"/>
      <c r="AK308" s="14"/>
      <c r="AL308" s="19"/>
      <c r="AM308" s="19"/>
      <c r="AN308" s="19"/>
    </row>
    <row r="309">
      <c r="I309" s="121"/>
      <c r="Q309" s="10"/>
      <c r="S309" s="14"/>
      <c r="X309" s="15"/>
      <c r="Y309" s="15"/>
      <c r="Z309" s="15"/>
      <c r="AA309" s="15"/>
      <c r="AB309" s="15"/>
      <c r="AC309" s="15"/>
      <c r="AD309" s="15"/>
      <c r="AJ309" s="14"/>
      <c r="AK309" s="14"/>
      <c r="AL309" s="19"/>
      <c r="AM309" s="19"/>
      <c r="AN309" s="19"/>
    </row>
    <row r="310">
      <c r="I310" s="121"/>
      <c r="Q310" s="10"/>
      <c r="S310" s="14"/>
      <c r="X310" s="15"/>
      <c r="Y310" s="15"/>
      <c r="Z310" s="15"/>
      <c r="AA310" s="15"/>
      <c r="AB310" s="15"/>
      <c r="AC310" s="15"/>
      <c r="AD310" s="15"/>
      <c r="AJ310" s="14"/>
      <c r="AK310" s="14"/>
      <c r="AL310" s="19"/>
      <c r="AM310" s="19"/>
      <c r="AN310" s="19"/>
    </row>
    <row r="311">
      <c r="I311" s="121"/>
      <c r="Q311" s="10"/>
      <c r="S311" s="14"/>
      <c r="X311" s="15"/>
      <c r="Y311" s="15"/>
      <c r="Z311" s="15"/>
      <c r="AA311" s="15"/>
      <c r="AB311" s="15"/>
      <c r="AC311" s="15"/>
      <c r="AD311" s="15"/>
      <c r="AJ311" s="14"/>
      <c r="AK311" s="14"/>
      <c r="AL311" s="19"/>
      <c r="AM311" s="19"/>
      <c r="AN311" s="19"/>
    </row>
    <row r="312">
      <c r="I312" s="121"/>
      <c r="Q312" s="10"/>
      <c r="S312" s="14"/>
      <c r="X312" s="15"/>
      <c r="Y312" s="15"/>
      <c r="Z312" s="15"/>
      <c r="AA312" s="15"/>
      <c r="AB312" s="15"/>
      <c r="AC312" s="15"/>
      <c r="AD312" s="15"/>
      <c r="AJ312" s="14"/>
      <c r="AK312" s="14"/>
      <c r="AL312" s="19"/>
      <c r="AM312" s="19"/>
      <c r="AN312" s="19"/>
    </row>
    <row r="313">
      <c r="I313" s="121"/>
      <c r="Q313" s="10"/>
      <c r="S313" s="14"/>
      <c r="X313" s="15"/>
      <c r="Y313" s="15"/>
      <c r="Z313" s="15"/>
      <c r="AA313" s="15"/>
      <c r="AB313" s="15"/>
      <c r="AC313" s="15"/>
      <c r="AD313" s="15"/>
      <c r="AJ313" s="14"/>
      <c r="AK313" s="14"/>
      <c r="AL313" s="19"/>
      <c r="AM313" s="19"/>
      <c r="AN313" s="19"/>
    </row>
    <row r="314">
      <c r="I314" s="121"/>
      <c r="Q314" s="10"/>
      <c r="S314" s="14"/>
      <c r="X314" s="15"/>
      <c r="Y314" s="15"/>
      <c r="Z314" s="15"/>
      <c r="AA314" s="15"/>
      <c r="AB314" s="15"/>
      <c r="AC314" s="15"/>
      <c r="AD314" s="15"/>
      <c r="AJ314" s="14"/>
      <c r="AK314" s="14"/>
      <c r="AL314" s="19"/>
      <c r="AM314" s="19"/>
      <c r="AN314" s="19"/>
    </row>
    <row r="315">
      <c r="I315" s="121"/>
      <c r="Q315" s="10"/>
      <c r="S315" s="14"/>
      <c r="X315" s="15"/>
      <c r="Y315" s="15"/>
      <c r="Z315" s="15"/>
      <c r="AA315" s="15"/>
      <c r="AB315" s="15"/>
      <c r="AC315" s="15"/>
      <c r="AD315" s="15"/>
      <c r="AJ315" s="14"/>
      <c r="AK315" s="14"/>
      <c r="AL315" s="19"/>
      <c r="AM315" s="19"/>
      <c r="AN315" s="19"/>
    </row>
    <row r="316">
      <c r="I316" s="121"/>
      <c r="Q316" s="10"/>
      <c r="S316" s="14"/>
      <c r="X316" s="15"/>
      <c r="Y316" s="15"/>
      <c r="Z316" s="15"/>
      <c r="AA316" s="15"/>
      <c r="AB316" s="15"/>
      <c r="AC316" s="15"/>
      <c r="AD316" s="15"/>
      <c r="AJ316" s="14"/>
      <c r="AK316" s="14"/>
      <c r="AL316" s="19"/>
      <c r="AM316" s="19"/>
      <c r="AN316" s="19"/>
    </row>
    <row r="317">
      <c r="I317" s="121"/>
      <c r="Q317" s="10"/>
      <c r="S317" s="14"/>
      <c r="X317" s="15"/>
      <c r="Y317" s="15"/>
      <c r="Z317" s="15"/>
      <c r="AA317" s="15"/>
      <c r="AB317" s="15"/>
      <c r="AC317" s="15"/>
      <c r="AD317" s="15"/>
      <c r="AJ317" s="14"/>
      <c r="AK317" s="14"/>
      <c r="AL317" s="19"/>
      <c r="AM317" s="19"/>
      <c r="AN317" s="19"/>
    </row>
    <row r="318">
      <c r="I318" s="121"/>
      <c r="Q318" s="10"/>
      <c r="S318" s="14"/>
      <c r="X318" s="15"/>
      <c r="Y318" s="15"/>
      <c r="Z318" s="15"/>
      <c r="AA318" s="15"/>
      <c r="AB318" s="15"/>
      <c r="AC318" s="15"/>
      <c r="AD318" s="15"/>
      <c r="AJ318" s="14"/>
      <c r="AK318" s="14"/>
      <c r="AL318" s="19"/>
      <c r="AM318" s="19"/>
      <c r="AN318" s="19"/>
    </row>
    <row r="319">
      <c r="I319" s="121"/>
      <c r="Q319" s="10"/>
      <c r="S319" s="14"/>
      <c r="X319" s="15"/>
      <c r="Y319" s="15"/>
      <c r="Z319" s="15"/>
      <c r="AA319" s="15"/>
      <c r="AB319" s="15"/>
      <c r="AC319" s="15"/>
      <c r="AD319" s="15"/>
      <c r="AJ319" s="14"/>
      <c r="AK319" s="14"/>
      <c r="AL319" s="19"/>
      <c r="AM319" s="19"/>
      <c r="AN319" s="19"/>
    </row>
    <row r="320">
      <c r="I320" s="121"/>
      <c r="Q320" s="10"/>
      <c r="S320" s="14"/>
      <c r="X320" s="15"/>
      <c r="Y320" s="15"/>
      <c r="Z320" s="15"/>
      <c r="AA320" s="15"/>
      <c r="AB320" s="15"/>
      <c r="AC320" s="15"/>
      <c r="AD320" s="15"/>
      <c r="AJ320" s="14"/>
      <c r="AK320" s="14"/>
      <c r="AL320" s="19"/>
      <c r="AM320" s="19"/>
      <c r="AN320" s="19"/>
    </row>
    <row r="321">
      <c r="I321" s="121"/>
      <c r="Q321" s="10"/>
      <c r="S321" s="14"/>
      <c r="X321" s="15"/>
      <c r="Y321" s="15"/>
      <c r="Z321" s="15"/>
      <c r="AA321" s="15"/>
      <c r="AB321" s="15"/>
      <c r="AC321" s="15"/>
      <c r="AD321" s="15"/>
      <c r="AJ321" s="14"/>
      <c r="AK321" s="14"/>
      <c r="AL321" s="19"/>
      <c r="AM321" s="19"/>
      <c r="AN321" s="19"/>
    </row>
    <row r="322">
      <c r="I322" s="121"/>
      <c r="Q322" s="10"/>
      <c r="S322" s="14"/>
      <c r="X322" s="15"/>
      <c r="Y322" s="15"/>
      <c r="Z322" s="15"/>
      <c r="AA322" s="15"/>
      <c r="AB322" s="15"/>
      <c r="AC322" s="15"/>
      <c r="AD322" s="15"/>
      <c r="AJ322" s="14"/>
      <c r="AK322" s="14"/>
      <c r="AL322" s="19"/>
      <c r="AM322" s="19"/>
      <c r="AN322" s="19"/>
    </row>
    <row r="323">
      <c r="I323" s="121"/>
      <c r="Q323" s="10"/>
      <c r="S323" s="14"/>
      <c r="X323" s="15"/>
      <c r="Y323" s="15"/>
      <c r="Z323" s="15"/>
      <c r="AA323" s="15"/>
      <c r="AB323" s="15"/>
      <c r="AC323" s="15"/>
      <c r="AD323" s="15"/>
      <c r="AJ323" s="14"/>
      <c r="AK323" s="14"/>
      <c r="AL323" s="19"/>
      <c r="AM323" s="19"/>
      <c r="AN323" s="19"/>
    </row>
    <row r="324">
      <c r="I324" s="121"/>
      <c r="Q324" s="10"/>
      <c r="S324" s="14"/>
      <c r="X324" s="15"/>
      <c r="Y324" s="15"/>
      <c r="Z324" s="15"/>
      <c r="AA324" s="15"/>
      <c r="AB324" s="15"/>
      <c r="AC324" s="15"/>
      <c r="AD324" s="15"/>
      <c r="AJ324" s="14"/>
      <c r="AK324" s="14"/>
      <c r="AL324" s="19"/>
      <c r="AM324" s="19"/>
      <c r="AN324" s="19"/>
    </row>
    <row r="325">
      <c r="I325" s="121"/>
      <c r="Q325" s="10"/>
      <c r="S325" s="14"/>
      <c r="X325" s="15"/>
      <c r="Y325" s="15"/>
      <c r="Z325" s="15"/>
      <c r="AA325" s="15"/>
      <c r="AB325" s="15"/>
      <c r="AC325" s="15"/>
      <c r="AD325" s="15"/>
      <c r="AJ325" s="14"/>
      <c r="AK325" s="14"/>
      <c r="AL325" s="19"/>
      <c r="AM325" s="19"/>
      <c r="AN325" s="19"/>
    </row>
    <row r="326">
      <c r="I326" s="121"/>
      <c r="Q326" s="10"/>
      <c r="S326" s="14"/>
      <c r="X326" s="15"/>
      <c r="Y326" s="15"/>
      <c r="Z326" s="15"/>
      <c r="AA326" s="15"/>
      <c r="AB326" s="15"/>
      <c r="AC326" s="15"/>
      <c r="AD326" s="15"/>
      <c r="AJ326" s="14"/>
      <c r="AK326" s="14"/>
      <c r="AL326" s="19"/>
      <c r="AM326" s="19"/>
      <c r="AN326" s="19"/>
    </row>
    <row r="327">
      <c r="I327" s="121"/>
      <c r="Q327" s="10"/>
      <c r="S327" s="14"/>
      <c r="X327" s="15"/>
      <c r="Y327" s="15"/>
      <c r="Z327" s="15"/>
      <c r="AA327" s="15"/>
      <c r="AB327" s="15"/>
      <c r="AC327" s="15"/>
      <c r="AD327" s="15"/>
      <c r="AJ327" s="14"/>
      <c r="AK327" s="14"/>
      <c r="AL327" s="19"/>
      <c r="AM327" s="19"/>
      <c r="AN327" s="19"/>
    </row>
    <row r="328">
      <c r="I328" s="121"/>
      <c r="Q328" s="10"/>
      <c r="S328" s="14"/>
      <c r="X328" s="15"/>
      <c r="Y328" s="15"/>
      <c r="Z328" s="15"/>
      <c r="AA328" s="15"/>
      <c r="AB328" s="15"/>
      <c r="AC328" s="15"/>
      <c r="AD328" s="15"/>
      <c r="AJ328" s="14"/>
      <c r="AK328" s="14"/>
      <c r="AL328" s="19"/>
      <c r="AM328" s="19"/>
      <c r="AN328" s="19"/>
    </row>
    <row r="329">
      <c r="I329" s="121"/>
      <c r="Q329" s="10"/>
      <c r="S329" s="14"/>
      <c r="X329" s="15"/>
      <c r="Y329" s="15"/>
      <c r="Z329" s="15"/>
      <c r="AA329" s="15"/>
      <c r="AB329" s="15"/>
      <c r="AC329" s="15"/>
      <c r="AD329" s="15"/>
      <c r="AJ329" s="14"/>
      <c r="AK329" s="14"/>
      <c r="AL329" s="19"/>
      <c r="AM329" s="19"/>
      <c r="AN329" s="19"/>
    </row>
    <row r="330">
      <c r="I330" s="121"/>
      <c r="Q330" s="10"/>
      <c r="S330" s="14"/>
      <c r="X330" s="15"/>
      <c r="Y330" s="15"/>
      <c r="Z330" s="15"/>
      <c r="AA330" s="15"/>
      <c r="AB330" s="15"/>
      <c r="AC330" s="15"/>
      <c r="AD330" s="15"/>
      <c r="AJ330" s="14"/>
      <c r="AK330" s="14"/>
      <c r="AL330" s="19"/>
      <c r="AM330" s="19"/>
      <c r="AN330" s="19"/>
    </row>
    <row r="331">
      <c r="I331" s="121"/>
      <c r="Q331" s="10"/>
      <c r="S331" s="14"/>
      <c r="X331" s="15"/>
      <c r="Y331" s="15"/>
      <c r="Z331" s="15"/>
      <c r="AA331" s="15"/>
      <c r="AB331" s="15"/>
      <c r="AC331" s="15"/>
      <c r="AD331" s="15"/>
      <c r="AJ331" s="14"/>
      <c r="AK331" s="14"/>
      <c r="AL331" s="19"/>
      <c r="AM331" s="19"/>
      <c r="AN331" s="19"/>
    </row>
    <row r="332">
      <c r="I332" s="121"/>
      <c r="Q332" s="10"/>
      <c r="S332" s="14"/>
      <c r="X332" s="15"/>
      <c r="Y332" s="15"/>
      <c r="Z332" s="15"/>
      <c r="AA332" s="15"/>
      <c r="AB332" s="15"/>
      <c r="AC332" s="15"/>
      <c r="AD332" s="15"/>
      <c r="AJ332" s="14"/>
      <c r="AK332" s="14"/>
      <c r="AL332" s="19"/>
      <c r="AM332" s="19"/>
      <c r="AN332" s="19"/>
    </row>
    <row r="333">
      <c r="I333" s="121"/>
      <c r="Q333" s="10"/>
      <c r="S333" s="14"/>
      <c r="X333" s="15"/>
      <c r="Y333" s="15"/>
      <c r="Z333" s="15"/>
      <c r="AA333" s="15"/>
      <c r="AB333" s="15"/>
      <c r="AC333" s="15"/>
      <c r="AD333" s="15"/>
      <c r="AJ333" s="14"/>
      <c r="AK333" s="14"/>
      <c r="AL333" s="19"/>
      <c r="AM333" s="19"/>
      <c r="AN333" s="19"/>
    </row>
    <row r="334">
      <c r="I334" s="121"/>
      <c r="Q334" s="10"/>
      <c r="S334" s="14"/>
      <c r="X334" s="15"/>
      <c r="Y334" s="15"/>
      <c r="Z334" s="15"/>
      <c r="AA334" s="15"/>
      <c r="AB334" s="15"/>
      <c r="AC334" s="15"/>
      <c r="AD334" s="15"/>
      <c r="AJ334" s="14"/>
      <c r="AK334" s="14"/>
      <c r="AL334" s="19"/>
      <c r="AM334" s="19"/>
      <c r="AN334" s="19"/>
    </row>
    <row r="335">
      <c r="I335" s="121"/>
      <c r="Q335" s="10"/>
      <c r="S335" s="14"/>
      <c r="X335" s="15"/>
      <c r="Y335" s="15"/>
      <c r="Z335" s="15"/>
      <c r="AA335" s="15"/>
      <c r="AB335" s="15"/>
      <c r="AC335" s="15"/>
      <c r="AD335" s="15"/>
      <c r="AJ335" s="14"/>
      <c r="AK335" s="14"/>
      <c r="AL335" s="19"/>
      <c r="AM335" s="19"/>
      <c r="AN335" s="19"/>
    </row>
    <row r="336">
      <c r="I336" s="121"/>
      <c r="Q336" s="10"/>
      <c r="S336" s="14"/>
      <c r="X336" s="15"/>
      <c r="Y336" s="15"/>
      <c r="Z336" s="15"/>
      <c r="AA336" s="15"/>
      <c r="AB336" s="15"/>
      <c r="AC336" s="15"/>
      <c r="AD336" s="15"/>
      <c r="AJ336" s="14"/>
      <c r="AK336" s="14"/>
      <c r="AL336" s="19"/>
      <c r="AM336" s="19"/>
      <c r="AN336" s="19"/>
    </row>
    <row r="337">
      <c r="I337" s="121"/>
      <c r="Q337" s="10"/>
      <c r="S337" s="14"/>
      <c r="X337" s="15"/>
      <c r="Y337" s="15"/>
      <c r="Z337" s="15"/>
      <c r="AA337" s="15"/>
      <c r="AB337" s="15"/>
      <c r="AC337" s="15"/>
      <c r="AD337" s="15"/>
      <c r="AJ337" s="14"/>
      <c r="AK337" s="14"/>
      <c r="AL337" s="19"/>
      <c r="AM337" s="19"/>
      <c r="AN337" s="19"/>
    </row>
    <row r="338">
      <c r="I338" s="121"/>
      <c r="Q338" s="10"/>
      <c r="S338" s="14"/>
      <c r="X338" s="15"/>
      <c r="Y338" s="15"/>
      <c r="Z338" s="15"/>
      <c r="AA338" s="15"/>
      <c r="AB338" s="15"/>
      <c r="AC338" s="15"/>
      <c r="AD338" s="15"/>
      <c r="AJ338" s="14"/>
      <c r="AK338" s="14"/>
      <c r="AL338" s="19"/>
      <c r="AM338" s="19"/>
      <c r="AN338" s="19"/>
    </row>
    <row r="339">
      <c r="I339" s="121"/>
      <c r="Q339" s="10"/>
      <c r="S339" s="14"/>
      <c r="X339" s="15"/>
      <c r="Y339" s="15"/>
      <c r="Z339" s="15"/>
      <c r="AA339" s="15"/>
      <c r="AB339" s="15"/>
      <c r="AC339" s="15"/>
      <c r="AD339" s="15"/>
      <c r="AJ339" s="14"/>
      <c r="AK339" s="14"/>
      <c r="AL339" s="19"/>
      <c r="AM339" s="19"/>
      <c r="AN339" s="19"/>
    </row>
    <row r="340">
      <c r="I340" s="121"/>
      <c r="Q340" s="10"/>
      <c r="S340" s="14"/>
      <c r="X340" s="15"/>
      <c r="Y340" s="15"/>
      <c r="Z340" s="15"/>
      <c r="AA340" s="15"/>
      <c r="AB340" s="15"/>
      <c r="AC340" s="15"/>
      <c r="AD340" s="15"/>
      <c r="AJ340" s="14"/>
      <c r="AK340" s="14"/>
      <c r="AL340" s="19"/>
      <c r="AM340" s="19"/>
      <c r="AN340" s="19"/>
    </row>
    <row r="341">
      <c r="I341" s="121"/>
      <c r="Q341" s="10"/>
      <c r="S341" s="14"/>
      <c r="X341" s="15"/>
      <c r="Y341" s="15"/>
      <c r="Z341" s="15"/>
      <c r="AA341" s="15"/>
      <c r="AB341" s="15"/>
      <c r="AC341" s="15"/>
      <c r="AD341" s="15"/>
      <c r="AJ341" s="14"/>
      <c r="AK341" s="14"/>
      <c r="AL341" s="19"/>
      <c r="AM341" s="19"/>
      <c r="AN341" s="19"/>
    </row>
    <row r="342">
      <c r="I342" s="121"/>
      <c r="Q342" s="10"/>
      <c r="S342" s="14"/>
      <c r="X342" s="15"/>
      <c r="Y342" s="15"/>
      <c r="Z342" s="15"/>
      <c r="AA342" s="15"/>
      <c r="AB342" s="15"/>
      <c r="AC342" s="15"/>
      <c r="AD342" s="15"/>
      <c r="AJ342" s="14"/>
      <c r="AK342" s="14"/>
      <c r="AL342" s="19"/>
      <c r="AM342" s="19"/>
      <c r="AN342" s="19"/>
    </row>
    <row r="343">
      <c r="I343" s="121"/>
      <c r="Q343" s="10"/>
      <c r="S343" s="14"/>
      <c r="X343" s="15"/>
      <c r="Y343" s="15"/>
      <c r="Z343" s="15"/>
      <c r="AA343" s="15"/>
      <c r="AB343" s="15"/>
      <c r="AC343" s="15"/>
      <c r="AD343" s="15"/>
      <c r="AJ343" s="14"/>
      <c r="AK343" s="14"/>
      <c r="AL343" s="19"/>
      <c r="AM343" s="19"/>
      <c r="AN343" s="19"/>
    </row>
    <row r="344">
      <c r="I344" s="121"/>
      <c r="Q344" s="10"/>
      <c r="S344" s="14"/>
      <c r="X344" s="15"/>
      <c r="Y344" s="15"/>
      <c r="Z344" s="15"/>
      <c r="AA344" s="15"/>
      <c r="AB344" s="15"/>
      <c r="AC344" s="15"/>
      <c r="AD344" s="15"/>
      <c r="AJ344" s="14"/>
      <c r="AK344" s="14"/>
      <c r="AL344" s="19"/>
      <c r="AM344" s="19"/>
      <c r="AN344" s="19"/>
    </row>
    <row r="345">
      <c r="I345" s="121"/>
      <c r="Q345" s="10"/>
      <c r="S345" s="14"/>
      <c r="X345" s="15"/>
      <c r="Y345" s="15"/>
      <c r="Z345" s="15"/>
      <c r="AA345" s="15"/>
      <c r="AB345" s="15"/>
      <c r="AC345" s="15"/>
      <c r="AD345" s="15"/>
      <c r="AJ345" s="14"/>
      <c r="AK345" s="14"/>
      <c r="AL345" s="19"/>
      <c r="AM345" s="19"/>
      <c r="AN345" s="19"/>
    </row>
    <row r="346">
      <c r="I346" s="121"/>
      <c r="Q346" s="10"/>
      <c r="S346" s="14"/>
      <c r="X346" s="15"/>
      <c r="Y346" s="15"/>
      <c r="Z346" s="15"/>
      <c r="AA346" s="15"/>
      <c r="AB346" s="15"/>
      <c r="AC346" s="15"/>
      <c r="AD346" s="15"/>
      <c r="AJ346" s="14"/>
      <c r="AK346" s="14"/>
      <c r="AL346" s="19"/>
      <c r="AM346" s="19"/>
      <c r="AN346" s="19"/>
    </row>
    <row r="347">
      <c r="I347" s="121"/>
      <c r="Q347" s="10"/>
      <c r="S347" s="14"/>
      <c r="X347" s="15"/>
      <c r="Y347" s="15"/>
      <c r="Z347" s="15"/>
      <c r="AA347" s="15"/>
      <c r="AB347" s="15"/>
      <c r="AC347" s="15"/>
      <c r="AD347" s="15"/>
      <c r="AJ347" s="14"/>
      <c r="AK347" s="14"/>
      <c r="AL347" s="19"/>
      <c r="AM347" s="19"/>
      <c r="AN347" s="19"/>
    </row>
    <row r="348">
      <c r="I348" s="121"/>
      <c r="Q348" s="10"/>
      <c r="S348" s="14"/>
      <c r="X348" s="15"/>
      <c r="Y348" s="15"/>
      <c r="Z348" s="15"/>
      <c r="AA348" s="15"/>
      <c r="AB348" s="15"/>
      <c r="AC348" s="15"/>
      <c r="AD348" s="15"/>
      <c r="AJ348" s="14"/>
      <c r="AK348" s="14"/>
      <c r="AL348" s="19"/>
      <c r="AM348" s="19"/>
      <c r="AN348" s="19"/>
    </row>
    <row r="349">
      <c r="I349" s="121"/>
      <c r="Q349" s="10"/>
      <c r="S349" s="14"/>
      <c r="X349" s="15"/>
      <c r="Y349" s="15"/>
      <c r="Z349" s="15"/>
      <c r="AA349" s="15"/>
      <c r="AB349" s="15"/>
      <c r="AC349" s="15"/>
      <c r="AD349" s="15"/>
      <c r="AJ349" s="14"/>
      <c r="AK349" s="14"/>
      <c r="AL349" s="19"/>
      <c r="AM349" s="19"/>
      <c r="AN349" s="19"/>
    </row>
    <row r="350">
      <c r="I350" s="121"/>
      <c r="Q350" s="10"/>
      <c r="S350" s="14"/>
      <c r="X350" s="15"/>
      <c r="Y350" s="15"/>
      <c r="Z350" s="15"/>
      <c r="AA350" s="15"/>
      <c r="AB350" s="15"/>
      <c r="AC350" s="15"/>
      <c r="AD350" s="15"/>
      <c r="AJ350" s="14"/>
      <c r="AK350" s="14"/>
      <c r="AL350" s="19"/>
      <c r="AM350" s="19"/>
      <c r="AN350" s="19"/>
    </row>
    <row r="351">
      <c r="I351" s="121"/>
      <c r="Q351" s="10"/>
      <c r="S351" s="14"/>
      <c r="X351" s="15"/>
      <c r="Y351" s="15"/>
      <c r="Z351" s="15"/>
      <c r="AA351" s="15"/>
      <c r="AB351" s="15"/>
      <c r="AC351" s="15"/>
      <c r="AD351" s="15"/>
      <c r="AJ351" s="14"/>
      <c r="AK351" s="14"/>
      <c r="AL351" s="19"/>
      <c r="AM351" s="19"/>
      <c r="AN351" s="19"/>
    </row>
    <row r="352">
      <c r="I352" s="121"/>
      <c r="Q352" s="10"/>
      <c r="S352" s="14"/>
      <c r="X352" s="15"/>
      <c r="Y352" s="15"/>
      <c r="Z352" s="15"/>
      <c r="AA352" s="15"/>
      <c r="AB352" s="15"/>
      <c r="AC352" s="15"/>
      <c r="AD352" s="15"/>
      <c r="AJ352" s="14"/>
      <c r="AK352" s="14"/>
      <c r="AL352" s="19"/>
      <c r="AM352" s="19"/>
      <c r="AN352" s="19"/>
    </row>
    <row r="353">
      <c r="I353" s="121"/>
      <c r="Q353" s="10"/>
      <c r="S353" s="14"/>
      <c r="X353" s="15"/>
      <c r="Y353" s="15"/>
      <c r="Z353" s="15"/>
      <c r="AA353" s="15"/>
      <c r="AB353" s="15"/>
      <c r="AC353" s="15"/>
      <c r="AD353" s="15"/>
      <c r="AJ353" s="14"/>
      <c r="AK353" s="14"/>
      <c r="AL353" s="19"/>
      <c r="AM353" s="19"/>
      <c r="AN353" s="19"/>
    </row>
    <row r="354">
      <c r="I354" s="121"/>
      <c r="Q354" s="10"/>
      <c r="S354" s="14"/>
      <c r="X354" s="15"/>
      <c r="Y354" s="15"/>
      <c r="Z354" s="15"/>
      <c r="AA354" s="15"/>
      <c r="AB354" s="15"/>
      <c r="AC354" s="15"/>
      <c r="AD354" s="15"/>
      <c r="AJ354" s="14"/>
      <c r="AK354" s="14"/>
      <c r="AL354" s="19"/>
      <c r="AM354" s="19"/>
      <c r="AN354" s="19"/>
    </row>
    <row r="355">
      <c r="I355" s="121"/>
      <c r="Q355" s="10"/>
      <c r="S355" s="14"/>
      <c r="X355" s="15"/>
      <c r="Y355" s="15"/>
      <c r="Z355" s="15"/>
      <c r="AA355" s="15"/>
      <c r="AB355" s="15"/>
      <c r="AC355" s="15"/>
      <c r="AD355" s="15"/>
      <c r="AJ355" s="14"/>
      <c r="AK355" s="14"/>
      <c r="AL355" s="19"/>
      <c r="AM355" s="19"/>
      <c r="AN355" s="19"/>
    </row>
    <row r="356">
      <c r="I356" s="121"/>
      <c r="Q356" s="10"/>
      <c r="S356" s="14"/>
      <c r="X356" s="15"/>
      <c r="Y356" s="15"/>
      <c r="Z356" s="15"/>
      <c r="AA356" s="15"/>
      <c r="AB356" s="15"/>
      <c r="AC356" s="15"/>
      <c r="AD356" s="15"/>
      <c r="AJ356" s="14"/>
      <c r="AK356" s="14"/>
      <c r="AL356" s="19"/>
      <c r="AM356" s="19"/>
      <c r="AN356" s="19"/>
    </row>
    <row r="357">
      <c r="I357" s="121"/>
      <c r="Q357" s="10"/>
      <c r="S357" s="14"/>
      <c r="X357" s="15"/>
      <c r="Y357" s="15"/>
      <c r="Z357" s="15"/>
      <c r="AA357" s="15"/>
      <c r="AB357" s="15"/>
      <c r="AC357" s="15"/>
      <c r="AD357" s="15"/>
      <c r="AJ357" s="14"/>
      <c r="AK357" s="14"/>
      <c r="AL357" s="19"/>
      <c r="AM357" s="19"/>
      <c r="AN357" s="19"/>
    </row>
    <row r="358">
      <c r="I358" s="121"/>
      <c r="Q358" s="10"/>
      <c r="S358" s="14"/>
      <c r="X358" s="15"/>
      <c r="Y358" s="15"/>
      <c r="Z358" s="15"/>
      <c r="AA358" s="15"/>
      <c r="AB358" s="15"/>
      <c r="AC358" s="15"/>
      <c r="AD358" s="15"/>
      <c r="AJ358" s="14"/>
      <c r="AK358" s="14"/>
      <c r="AL358" s="19"/>
      <c r="AM358" s="19"/>
      <c r="AN358" s="19"/>
    </row>
    <row r="359">
      <c r="I359" s="121"/>
      <c r="Q359" s="10"/>
      <c r="S359" s="14"/>
      <c r="X359" s="15"/>
      <c r="Y359" s="15"/>
      <c r="Z359" s="15"/>
      <c r="AA359" s="15"/>
      <c r="AB359" s="15"/>
      <c r="AC359" s="15"/>
      <c r="AD359" s="15"/>
      <c r="AJ359" s="14"/>
      <c r="AK359" s="14"/>
      <c r="AL359" s="19"/>
      <c r="AM359" s="19"/>
      <c r="AN359" s="19"/>
    </row>
    <row r="360">
      <c r="I360" s="121"/>
      <c r="Q360" s="10"/>
      <c r="S360" s="14"/>
      <c r="X360" s="15"/>
      <c r="Y360" s="15"/>
      <c r="Z360" s="15"/>
      <c r="AA360" s="15"/>
      <c r="AB360" s="15"/>
      <c r="AC360" s="15"/>
      <c r="AD360" s="15"/>
      <c r="AJ360" s="14"/>
      <c r="AK360" s="14"/>
      <c r="AL360" s="19"/>
      <c r="AM360" s="19"/>
      <c r="AN360" s="19"/>
    </row>
    <row r="361">
      <c r="I361" s="121"/>
      <c r="Q361" s="10"/>
      <c r="S361" s="14"/>
      <c r="X361" s="15"/>
      <c r="Y361" s="15"/>
      <c r="Z361" s="15"/>
      <c r="AA361" s="15"/>
      <c r="AB361" s="15"/>
      <c r="AC361" s="15"/>
      <c r="AD361" s="15"/>
      <c r="AJ361" s="14"/>
      <c r="AK361" s="14"/>
      <c r="AL361" s="19"/>
      <c r="AM361" s="19"/>
      <c r="AN361" s="19"/>
    </row>
    <row r="362">
      <c r="I362" s="121"/>
      <c r="Q362" s="10"/>
      <c r="S362" s="14"/>
      <c r="X362" s="15"/>
      <c r="Y362" s="15"/>
      <c r="Z362" s="15"/>
      <c r="AA362" s="15"/>
      <c r="AB362" s="15"/>
      <c r="AC362" s="15"/>
      <c r="AD362" s="15"/>
      <c r="AJ362" s="14"/>
      <c r="AK362" s="14"/>
      <c r="AL362" s="19"/>
      <c r="AM362" s="19"/>
      <c r="AN362" s="19"/>
    </row>
    <row r="363">
      <c r="I363" s="121"/>
      <c r="Q363" s="10"/>
      <c r="S363" s="14"/>
      <c r="X363" s="15"/>
      <c r="Y363" s="15"/>
      <c r="Z363" s="15"/>
      <c r="AA363" s="15"/>
      <c r="AB363" s="15"/>
      <c r="AC363" s="15"/>
      <c r="AD363" s="15"/>
      <c r="AJ363" s="14"/>
      <c r="AK363" s="14"/>
      <c r="AL363" s="19"/>
      <c r="AM363" s="19"/>
      <c r="AN363" s="19"/>
    </row>
    <row r="364">
      <c r="I364" s="121"/>
      <c r="Q364" s="10"/>
      <c r="S364" s="14"/>
      <c r="X364" s="15"/>
      <c r="Y364" s="15"/>
      <c r="Z364" s="15"/>
      <c r="AA364" s="15"/>
      <c r="AB364" s="15"/>
      <c r="AC364" s="15"/>
      <c r="AD364" s="15"/>
      <c r="AJ364" s="14"/>
      <c r="AK364" s="14"/>
      <c r="AL364" s="19"/>
      <c r="AM364" s="19"/>
      <c r="AN364" s="19"/>
    </row>
    <row r="365">
      <c r="I365" s="121"/>
      <c r="Q365" s="10"/>
      <c r="S365" s="14"/>
      <c r="X365" s="15"/>
      <c r="Y365" s="15"/>
      <c r="Z365" s="15"/>
      <c r="AA365" s="15"/>
      <c r="AB365" s="15"/>
      <c r="AC365" s="15"/>
      <c r="AD365" s="15"/>
      <c r="AJ365" s="14"/>
      <c r="AK365" s="14"/>
      <c r="AL365" s="19"/>
      <c r="AM365" s="19"/>
      <c r="AN365" s="19"/>
    </row>
    <row r="366">
      <c r="I366" s="121"/>
      <c r="Q366" s="10"/>
      <c r="S366" s="14"/>
      <c r="X366" s="15"/>
      <c r="Y366" s="15"/>
      <c r="Z366" s="15"/>
      <c r="AA366" s="15"/>
      <c r="AB366" s="15"/>
      <c r="AC366" s="15"/>
      <c r="AD366" s="15"/>
      <c r="AJ366" s="14"/>
      <c r="AK366" s="14"/>
      <c r="AL366" s="19"/>
      <c r="AM366" s="19"/>
      <c r="AN366" s="19"/>
    </row>
    <row r="367">
      <c r="I367" s="121"/>
      <c r="Q367" s="10"/>
      <c r="S367" s="14"/>
      <c r="X367" s="15"/>
      <c r="Y367" s="15"/>
      <c r="Z367" s="15"/>
      <c r="AA367" s="15"/>
      <c r="AB367" s="15"/>
      <c r="AC367" s="15"/>
      <c r="AD367" s="15"/>
      <c r="AJ367" s="14"/>
      <c r="AK367" s="14"/>
      <c r="AL367" s="19"/>
      <c r="AM367" s="19"/>
      <c r="AN367" s="19"/>
    </row>
    <row r="368">
      <c r="I368" s="121"/>
      <c r="Q368" s="10"/>
      <c r="S368" s="14"/>
      <c r="X368" s="15"/>
      <c r="Y368" s="15"/>
      <c r="Z368" s="15"/>
      <c r="AA368" s="15"/>
      <c r="AB368" s="15"/>
      <c r="AC368" s="15"/>
      <c r="AD368" s="15"/>
      <c r="AJ368" s="14"/>
      <c r="AK368" s="14"/>
      <c r="AL368" s="19"/>
      <c r="AM368" s="19"/>
      <c r="AN368" s="19"/>
    </row>
    <row r="369">
      <c r="I369" s="121"/>
      <c r="Q369" s="10"/>
      <c r="S369" s="14"/>
      <c r="X369" s="15"/>
      <c r="Y369" s="15"/>
      <c r="Z369" s="15"/>
      <c r="AA369" s="15"/>
      <c r="AB369" s="15"/>
      <c r="AC369" s="15"/>
      <c r="AD369" s="15"/>
      <c r="AJ369" s="14"/>
      <c r="AK369" s="14"/>
      <c r="AL369" s="19"/>
      <c r="AM369" s="19"/>
      <c r="AN369" s="19"/>
    </row>
    <row r="370">
      <c r="I370" s="121"/>
      <c r="Q370" s="10"/>
      <c r="S370" s="14"/>
      <c r="X370" s="15"/>
      <c r="Y370" s="15"/>
      <c r="Z370" s="15"/>
      <c r="AA370" s="15"/>
      <c r="AB370" s="15"/>
      <c r="AC370" s="15"/>
      <c r="AD370" s="15"/>
      <c r="AJ370" s="14"/>
      <c r="AK370" s="14"/>
      <c r="AL370" s="19"/>
      <c r="AM370" s="19"/>
      <c r="AN370" s="19"/>
    </row>
    <row r="371">
      <c r="I371" s="121"/>
      <c r="Q371" s="10"/>
      <c r="S371" s="14"/>
      <c r="X371" s="15"/>
      <c r="Y371" s="15"/>
      <c r="Z371" s="15"/>
      <c r="AA371" s="15"/>
      <c r="AB371" s="15"/>
      <c r="AC371" s="15"/>
      <c r="AD371" s="15"/>
      <c r="AJ371" s="14"/>
      <c r="AK371" s="14"/>
      <c r="AL371" s="19"/>
      <c r="AM371" s="19"/>
      <c r="AN371" s="19"/>
    </row>
    <row r="372">
      <c r="I372" s="121"/>
      <c r="Q372" s="10"/>
      <c r="S372" s="14"/>
      <c r="X372" s="15"/>
      <c r="Y372" s="15"/>
      <c r="Z372" s="15"/>
      <c r="AA372" s="15"/>
      <c r="AB372" s="15"/>
      <c r="AC372" s="15"/>
      <c r="AD372" s="15"/>
      <c r="AJ372" s="14"/>
      <c r="AK372" s="14"/>
      <c r="AL372" s="19"/>
      <c r="AM372" s="19"/>
      <c r="AN372" s="19"/>
    </row>
    <row r="373">
      <c r="I373" s="121"/>
      <c r="Q373" s="10"/>
      <c r="S373" s="14"/>
      <c r="X373" s="15"/>
      <c r="Y373" s="15"/>
      <c r="Z373" s="15"/>
      <c r="AA373" s="15"/>
      <c r="AB373" s="15"/>
      <c r="AC373" s="15"/>
      <c r="AD373" s="15"/>
      <c r="AJ373" s="14"/>
      <c r="AK373" s="14"/>
      <c r="AL373" s="19"/>
      <c r="AM373" s="19"/>
      <c r="AN373" s="19"/>
    </row>
    <row r="374">
      <c r="I374" s="121"/>
      <c r="Q374" s="10"/>
      <c r="S374" s="14"/>
      <c r="X374" s="15"/>
      <c r="Y374" s="15"/>
      <c r="Z374" s="15"/>
      <c r="AA374" s="15"/>
      <c r="AB374" s="15"/>
      <c r="AC374" s="15"/>
      <c r="AD374" s="15"/>
      <c r="AJ374" s="14"/>
      <c r="AK374" s="14"/>
      <c r="AL374" s="19"/>
      <c r="AM374" s="19"/>
      <c r="AN374" s="19"/>
    </row>
    <row r="375">
      <c r="I375" s="121"/>
      <c r="Q375" s="10"/>
      <c r="S375" s="14"/>
      <c r="X375" s="15"/>
      <c r="Y375" s="15"/>
      <c r="Z375" s="15"/>
      <c r="AA375" s="15"/>
      <c r="AB375" s="15"/>
      <c r="AC375" s="15"/>
      <c r="AD375" s="15"/>
      <c r="AJ375" s="14"/>
      <c r="AK375" s="14"/>
      <c r="AL375" s="19"/>
      <c r="AM375" s="19"/>
      <c r="AN375" s="19"/>
    </row>
    <row r="376">
      <c r="I376" s="121"/>
      <c r="Q376" s="10"/>
      <c r="S376" s="14"/>
      <c r="X376" s="15"/>
      <c r="Y376" s="15"/>
      <c r="Z376" s="15"/>
      <c r="AA376" s="15"/>
      <c r="AB376" s="15"/>
      <c r="AC376" s="15"/>
      <c r="AD376" s="15"/>
      <c r="AJ376" s="14"/>
      <c r="AK376" s="14"/>
      <c r="AL376" s="19"/>
      <c r="AM376" s="19"/>
      <c r="AN376" s="19"/>
    </row>
    <row r="377">
      <c r="I377" s="121"/>
      <c r="Q377" s="10"/>
      <c r="S377" s="14"/>
      <c r="X377" s="15"/>
      <c r="Y377" s="15"/>
      <c r="Z377" s="15"/>
      <c r="AA377" s="15"/>
      <c r="AB377" s="15"/>
      <c r="AC377" s="15"/>
      <c r="AD377" s="15"/>
      <c r="AJ377" s="14"/>
      <c r="AK377" s="14"/>
      <c r="AL377" s="19"/>
      <c r="AM377" s="19"/>
      <c r="AN377" s="19"/>
    </row>
    <row r="378">
      <c r="I378" s="121"/>
      <c r="Q378" s="10"/>
      <c r="S378" s="14"/>
      <c r="X378" s="15"/>
      <c r="Y378" s="15"/>
      <c r="Z378" s="15"/>
      <c r="AA378" s="15"/>
      <c r="AB378" s="15"/>
      <c r="AC378" s="15"/>
      <c r="AD378" s="15"/>
      <c r="AJ378" s="14"/>
      <c r="AK378" s="14"/>
      <c r="AL378" s="19"/>
      <c r="AM378" s="19"/>
      <c r="AN378" s="19"/>
    </row>
    <row r="379">
      <c r="I379" s="121"/>
      <c r="Q379" s="10"/>
      <c r="S379" s="14"/>
      <c r="X379" s="15"/>
      <c r="Y379" s="15"/>
      <c r="Z379" s="15"/>
      <c r="AA379" s="15"/>
      <c r="AB379" s="15"/>
      <c r="AC379" s="15"/>
      <c r="AD379" s="15"/>
      <c r="AJ379" s="14"/>
      <c r="AK379" s="14"/>
      <c r="AL379" s="19"/>
      <c r="AM379" s="19"/>
      <c r="AN379" s="19"/>
    </row>
    <row r="380">
      <c r="I380" s="121"/>
      <c r="Q380" s="10"/>
      <c r="S380" s="14"/>
      <c r="X380" s="15"/>
      <c r="Y380" s="15"/>
      <c r="Z380" s="15"/>
      <c r="AA380" s="15"/>
      <c r="AB380" s="15"/>
      <c r="AC380" s="15"/>
      <c r="AD380" s="15"/>
      <c r="AJ380" s="14"/>
      <c r="AK380" s="14"/>
      <c r="AL380" s="19"/>
      <c r="AM380" s="19"/>
      <c r="AN380" s="19"/>
    </row>
    <row r="381">
      <c r="I381" s="121"/>
      <c r="Q381" s="10"/>
      <c r="S381" s="14"/>
      <c r="X381" s="15"/>
      <c r="Y381" s="15"/>
      <c r="Z381" s="15"/>
      <c r="AA381" s="15"/>
      <c r="AB381" s="15"/>
      <c r="AC381" s="15"/>
      <c r="AD381" s="15"/>
      <c r="AJ381" s="14"/>
      <c r="AK381" s="14"/>
      <c r="AL381" s="19"/>
      <c r="AM381" s="19"/>
      <c r="AN381" s="19"/>
    </row>
    <row r="382">
      <c r="I382" s="121"/>
      <c r="Q382" s="10"/>
      <c r="S382" s="14"/>
      <c r="X382" s="15"/>
      <c r="Y382" s="15"/>
      <c r="Z382" s="15"/>
      <c r="AA382" s="15"/>
      <c r="AB382" s="15"/>
      <c r="AC382" s="15"/>
      <c r="AD382" s="15"/>
      <c r="AJ382" s="14"/>
      <c r="AK382" s="14"/>
      <c r="AL382" s="19"/>
      <c r="AM382" s="19"/>
      <c r="AN382" s="19"/>
    </row>
    <row r="383">
      <c r="I383" s="121"/>
      <c r="Q383" s="10"/>
      <c r="S383" s="14"/>
      <c r="X383" s="15"/>
      <c r="Y383" s="15"/>
      <c r="Z383" s="15"/>
      <c r="AA383" s="15"/>
      <c r="AB383" s="15"/>
      <c r="AC383" s="15"/>
      <c r="AD383" s="15"/>
      <c r="AJ383" s="14"/>
      <c r="AK383" s="14"/>
      <c r="AL383" s="19"/>
      <c r="AM383" s="19"/>
      <c r="AN383" s="19"/>
    </row>
    <row r="384">
      <c r="I384" s="121"/>
      <c r="Q384" s="10"/>
      <c r="S384" s="14"/>
      <c r="X384" s="15"/>
      <c r="Y384" s="15"/>
      <c r="Z384" s="15"/>
      <c r="AA384" s="15"/>
      <c r="AB384" s="15"/>
      <c r="AC384" s="15"/>
      <c r="AD384" s="15"/>
      <c r="AJ384" s="14"/>
      <c r="AK384" s="14"/>
      <c r="AL384" s="19"/>
      <c r="AM384" s="19"/>
      <c r="AN384" s="19"/>
    </row>
    <row r="385">
      <c r="I385" s="121"/>
      <c r="Q385" s="10"/>
      <c r="S385" s="14"/>
      <c r="X385" s="15"/>
      <c r="Y385" s="15"/>
      <c r="Z385" s="15"/>
      <c r="AA385" s="15"/>
      <c r="AB385" s="15"/>
      <c r="AC385" s="15"/>
      <c r="AD385" s="15"/>
      <c r="AJ385" s="14"/>
      <c r="AK385" s="14"/>
      <c r="AL385" s="19"/>
      <c r="AM385" s="19"/>
      <c r="AN385" s="19"/>
    </row>
    <row r="386">
      <c r="I386" s="121"/>
      <c r="Q386" s="10"/>
      <c r="S386" s="14"/>
      <c r="X386" s="15"/>
      <c r="Y386" s="15"/>
      <c r="Z386" s="15"/>
      <c r="AA386" s="15"/>
      <c r="AB386" s="15"/>
      <c r="AC386" s="15"/>
      <c r="AD386" s="15"/>
      <c r="AJ386" s="14"/>
      <c r="AK386" s="14"/>
      <c r="AL386" s="19"/>
      <c r="AM386" s="19"/>
      <c r="AN386" s="19"/>
    </row>
    <row r="387">
      <c r="I387" s="121"/>
      <c r="Q387" s="10"/>
      <c r="S387" s="14"/>
      <c r="X387" s="15"/>
      <c r="Y387" s="15"/>
      <c r="Z387" s="15"/>
      <c r="AA387" s="15"/>
      <c r="AB387" s="15"/>
      <c r="AC387" s="15"/>
      <c r="AD387" s="15"/>
      <c r="AJ387" s="14"/>
      <c r="AK387" s="14"/>
      <c r="AL387" s="19"/>
      <c r="AM387" s="19"/>
      <c r="AN387" s="19"/>
    </row>
    <row r="388">
      <c r="I388" s="121"/>
      <c r="Q388" s="10"/>
      <c r="S388" s="14"/>
      <c r="X388" s="15"/>
      <c r="Y388" s="15"/>
      <c r="Z388" s="15"/>
      <c r="AA388" s="15"/>
      <c r="AB388" s="15"/>
      <c r="AC388" s="15"/>
      <c r="AD388" s="15"/>
      <c r="AJ388" s="14"/>
      <c r="AK388" s="14"/>
      <c r="AL388" s="19"/>
      <c r="AM388" s="19"/>
      <c r="AN388" s="19"/>
    </row>
    <row r="389">
      <c r="I389" s="121"/>
      <c r="Q389" s="10"/>
      <c r="S389" s="14"/>
      <c r="X389" s="15"/>
      <c r="Y389" s="15"/>
      <c r="Z389" s="15"/>
      <c r="AA389" s="15"/>
      <c r="AB389" s="15"/>
      <c r="AC389" s="15"/>
      <c r="AD389" s="15"/>
      <c r="AJ389" s="14"/>
      <c r="AK389" s="14"/>
      <c r="AL389" s="19"/>
      <c r="AM389" s="19"/>
      <c r="AN389" s="19"/>
    </row>
    <row r="390">
      <c r="I390" s="121"/>
      <c r="Q390" s="10"/>
      <c r="S390" s="14"/>
      <c r="X390" s="15"/>
      <c r="Y390" s="15"/>
      <c r="Z390" s="15"/>
      <c r="AA390" s="15"/>
      <c r="AB390" s="15"/>
      <c r="AC390" s="15"/>
      <c r="AD390" s="15"/>
      <c r="AJ390" s="14"/>
      <c r="AK390" s="14"/>
      <c r="AL390" s="19"/>
      <c r="AM390" s="19"/>
      <c r="AN390" s="19"/>
    </row>
    <row r="391">
      <c r="I391" s="121"/>
      <c r="Q391" s="10"/>
      <c r="S391" s="14"/>
      <c r="X391" s="15"/>
      <c r="Y391" s="15"/>
      <c r="Z391" s="15"/>
      <c r="AA391" s="15"/>
      <c r="AB391" s="15"/>
      <c r="AC391" s="15"/>
      <c r="AD391" s="15"/>
      <c r="AJ391" s="14"/>
      <c r="AK391" s="14"/>
      <c r="AL391" s="19"/>
      <c r="AM391" s="19"/>
      <c r="AN391" s="19"/>
    </row>
    <row r="392">
      <c r="I392" s="121"/>
      <c r="Q392" s="10"/>
      <c r="S392" s="14"/>
      <c r="X392" s="15"/>
      <c r="Y392" s="15"/>
      <c r="Z392" s="15"/>
      <c r="AA392" s="15"/>
      <c r="AB392" s="15"/>
      <c r="AC392" s="15"/>
      <c r="AD392" s="15"/>
      <c r="AJ392" s="14"/>
      <c r="AK392" s="14"/>
      <c r="AL392" s="19"/>
      <c r="AM392" s="19"/>
      <c r="AN392" s="19"/>
    </row>
    <row r="393">
      <c r="I393" s="121"/>
      <c r="Q393" s="10"/>
      <c r="S393" s="14"/>
      <c r="X393" s="15"/>
      <c r="Y393" s="15"/>
      <c r="Z393" s="15"/>
      <c r="AA393" s="15"/>
      <c r="AB393" s="15"/>
      <c r="AC393" s="15"/>
      <c r="AD393" s="15"/>
      <c r="AJ393" s="14"/>
      <c r="AK393" s="14"/>
      <c r="AL393" s="19"/>
      <c r="AM393" s="19"/>
      <c r="AN393" s="19"/>
    </row>
    <row r="394">
      <c r="I394" s="121"/>
      <c r="Q394" s="10"/>
      <c r="S394" s="14"/>
      <c r="X394" s="15"/>
      <c r="Y394" s="15"/>
      <c r="Z394" s="15"/>
      <c r="AA394" s="15"/>
      <c r="AB394" s="15"/>
      <c r="AC394" s="15"/>
      <c r="AD394" s="15"/>
      <c r="AJ394" s="14"/>
      <c r="AK394" s="14"/>
      <c r="AL394" s="19"/>
      <c r="AM394" s="19"/>
      <c r="AN394" s="19"/>
    </row>
    <row r="395">
      <c r="I395" s="121"/>
      <c r="Q395" s="10"/>
      <c r="S395" s="14"/>
      <c r="X395" s="15"/>
      <c r="Y395" s="15"/>
      <c r="Z395" s="15"/>
      <c r="AA395" s="15"/>
      <c r="AB395" s="15"/>
      <c r="AC395" s="15"/>
      <c r="AD395" s="15"/>
      <c r="AJ395" s="14"/>
      <c r="AK395" s="14"/>
      <c r="AL395" s="19"/>
      <c r="AM395" s="19"/>
      <c r="AN395" s="19"/>
    </row>
    <row r="396">
      <c r="I396" s="121"/>
      <c r="Q396" s="10"/>
      <c r="S396" s="14"/>
      <c r="X396" s="15"/>
      <c r="Y396" s="15"/>
      <c r="Z396" s="15"/>
      <c r="AA396" s="15"/>
      <c r="AB396" s="15"/>
      <c r="AC396" s="15"/>
      <c r="AD396" s="15"/>
      <c r="AJ396" s="14"/>
      <c r="AK396" s="14"/>
      <c r="AL396" s="19"/>
      <c r="AM396" s="19"/>
      <c r="AN396" s="19"/>
    </row>
    <row r="397">
      <c r="I397" s="121"/>
      <c r="Q397" s="10"/>
      <c r="S397" s="14"/>
      <c r="X397" s="15"/>
      <c r="Y397" s="15"/>
      <c r="Z397" s="15"/>
      <c r="AA397" s="15"/>
      <c r="AB397" s="15"/>
      <c r="AC397" s="15"/>
      <c r="AD397" s="15"/>
      <c r="AJ397" s="14"/>
      <c r="AK397" s="14"/>
      <c r="AL397" s="19"/>
      <c r="AM397" s="19"/>
      <c r="AN397" s="19"/>
    </row>
    <row r="398">
      <c r="I398" s="121"/>
      <c r="Q398" s="10"/>
      <c r="S398" s="14"/>
      <c r="X398" s="15"/>
      <c r="Y398" s="15"/>
      <c r="Z398" s="15"/>
      <c r="AA398" s="15"/>
      <c r="AB398" s="15"/>
      <c r="AC398" s="15"/>
      <c r="AD398" s="15"/>
      <c r="AJ398" s="14"/>
      <c r="AK398" s="14"/>
      <c r="AL398" s="19"/>
      <c r="AM398" s="19"/>
      <c r="AN398" s="19"/>
    </row>
    <row r="399">
      <c r="I399" s="121"/>
      <c r="Q399" s="10"/>
      <c r="S399" s="14"/>
      <c r="X399" s="15"/>
      <c r="Y399" s="15"/>
      <c r="Z399" s="15"/>
      <c r="AA399" s="15"/>
      <c r="AB399" s="15"/>
      <c r="AC399" s="15"/>
      <c r="AD399" s="15"/>
      <c r="AJ399" s="14"/>
      <c r="AK399" s="14"/>
      <c r="AL399" s="19"/>
      <c r="AM399" s="19"/>
      <c r="AN399" s="19"/>
    </row>
    <row r="400">
      <c r="I400" s="121"/>
      <c r="Q400" s="10"/>
      <c r="S400" s="14"/>
      <c r="X400" s="15"/>
      <c r="Y400" s="15"/>
      <c r="Z400" s="15"/>
      <c r="AA400" s="15"/>
      <c r="AB400" s="15"/>
      <c r="AC400" s="15"/>
      <c r="AD400" s="15"/>
      <c r="AJ400" s="14"/>
      <c r="AK400" s="14"/>
      <c r="AL400" s="19"/>
      <c r="AM400" s="19"/>
      <c r="AN400" s="19"/>
    </row>
    <row r="401">
      <c r="I401" s="121"/>
      <c r="Q401" s="10"/>
      <c r="S401" s="14"/>
      <c r="X401" s="15"/>
      <c r="Y401" s="15"/>
      <c r="Z401" s="15"/>
      <c r="AA401" s="15"/>
      <c r="AB401" s="15"/>
      <c r="AC401" s="15"/>
      <c r="AD401" s="15"/>
      <c r="AJ401" s="14"/>
      <c r="AK401" s="14"/>
      <c r="AL401" s="19"/>
      <c r="AM401" s="19"/>
      <c r="AN401" s="19"/>
    </row>
    <row r="402">
      <c r="I402" s="121"/>
      <c r="Q402" s="10"/>
      <c r="S402" s="14"/>
      <c r="X402" s="15"/>
      <c r="Y402" s="15"/>
      <c r="Z402" s="15"/>
      <c r="AA402" s="15"/>
      <c r="AB402" s="15"/>
      <c r="AC402" s="15"/>
      <c r="AD402" s="15"/>
      <c r="AJ402" s="14"/>
      <c r="AK402" s="14"/>
      <c r="AL402" s="19"/>
      <c r="AM402" s="19"/>
      <c r="AN402" s="19"/>
    </row>
    <row r="403">
      <c r="I403" s="121"/>
      <c r="Q403" s="10"/>
      <c r="S403" s="14"/>
      <c r="X403" s="15"/>
      <c r="Y403" s="15"/>
      <c r="Z403" s="15"/>
      <c r="AA403" s="15"/>
      <c r="AB403" s="15"/>
      <c r="AC403" s="15"/>
      <c r="AD403" s="15"/>
      <c r="AJ403" s="14"/>
      <c r="AK403" s="14"/>
      <c r="AL403" s="19"/>
      <c r="AM403" s="19"/>
      <c r="AN403" s="19"/>
    </row>
    <row r="404">
      <c r="I404" s="121"/>
      <c r="Q404" s="10"/>
      <c r="S404" s="14"/>
      <c r="X404" s="15"/>
      <c r="Y404" s="15"/>
      <c r="Z404" s="15"/>
      <c r="AA404" s="15"/>
      <c r="AB404" s="15"/>
      <c r="AC404" s="15"/>
      <c r="AD404" s="15"/>
      <c r="AJ404" s="14"/>
      <c r="AK404" s="14"/>
      <c r="AL404" s="19"/>
      <c r="AM404" s="19"/>
      <c r="AN404" s="19"/>
    </row>
    <row r="405">
      <c r="I405" s="121"/>
      <c r="Q405" s="10"/>
      <c r="S405" s="14"/>
      <c r="X405" s="15"/>
      <c r="Y405" s="15"/>
      <c r="Z405" s="15"/>
      <c r="AA405" s="15"/>
      <c r="AB405" s="15"/>
      <c r="AC405" s="15"/>
      <c r="AD405" s="15"/>
      <c r="AJ405" s="14"/>
      <c r="AK405" s="14"/>
      <c r="AL405" s="19"/>
      <c r="AM405" s="19"/>
      <c r="AN405" s="19"/>
    </row>
    <row r="406">
      <c r="I406" s="121"/>
      <c r="Q406" s="10"/>
      <c r="S406" s="14"/>
      <c r="X406" s="15"/>
      <c r="Y406" s="15"/>
      <c r="Z406" s="15"/>
      <c r="AA406" s="15"/>
      <c r="AB406" s="15"/>
      <c r="AC406" s="15"/>
      <c r="AD406" s="15"/>
      <c r="AJ406" s="14"/>
      <c r="AK406" s="14"/>
      <c r="AL406" s="19"/>
      <c r="AM406" s="19"/>
      <c r="AN406" s="19"/>
    </row>
    <row r="407">
      <c r="I407" s="121"/>
      <c r="Q407" s="10"/>
      <c r="S407" s="14"/>
      <c r="X407" s="15"/>
      <c r="Y407" s="15"/>
      <c r="Z407" s="15"/>
      <c r="AA407" s="15"/>
      <c r="AB407" s="15"/>
      <c r="AC407" s="15"/>
      <c r="AD407" s="15"/>
      <c r="AJ407" s="14"/>
      <c r="AK407" s="14"/>
      <c r="AL407" s="19"/>
      <c r="AM407" s="19"/>
      <c r="AN407" s="19"/>
    </row>
    <row r="408">
      <c r="I408" s="121"/>
      <c r="Q408" s="10"/>
      <c r="S408" s="14"/>
      <c r="X408" s="15"/>
      <c r="Y408" s="15"/>
      <c r="Z408" s="15"/>
      <c r="AA408" s="15"/>
      <c r="AB408" s="15"/>
      <c r="AC408" s="15"/>
      <c r="AD408" s="15"/>
      <c r="AJ408" s="14"/>
      <c r="AK408" s="14"/>
      <c r="AL408" s="19"/>
      <c r="AM408" s="19"/>
      <c r="AN408" s="19"/>
    </row>
    <row r="409">
      <c r="I409" s="121"/>
      <c r="Q409" s="10"/>
      <c r="S409" s="14"/>
      <c r="X409" s="15"/>
      <c r="Y409" s="15"/>
      <c r="Z409" s="15"/>
      <c r="AA409" s="15"/>
      <c r="AB409" s="15"/>
      <c r="AC409" s="15"/>
      <c r="AD409" s="15"/>
      <c r="AJ409" s="14"/>
      <c r="AK409" s="14"/>
      <c r="AL409" s="19"/>
      <c r="AM409" s="19"/>
      <c r="AN409" s="19"/>
    </row>
    <row r="410">
      <c r="I410" s="121"/>
      <c r="Q410" s="10"/>
      <c r="S410" s="14"/>
      <c r="X410" s="15"/>
      <c r="Y410" s="15"/>
      <c r="Z410" s="15"/>
      <c r="AA410" s="15"/>
      <c r="AB410" s="15"/>
      <c r="AC410" s="15"/>
      <c r="AD410" s="15"/>
      <c r="AJ410" s="14"/>
      <c r="AK410" s="14"/>
      <c r="AL410" s="19"/>
      <c r="AM410" s="19"/>
      <c r="AN410" s="19"/>
    </row>
    <row r="411">
      <c r="I411" s="121"/>
      <c r="Q411" s="10"/>
      <c r="S411" s="14"/>
      <c r="X411" s="15"/>
      <c r="Y411" s="15"/>
      <c r="Z411" s="15"/>
      <c r="AA411" s="15"/>
      <c r="AB411" s="15"/>
      <c r="AC411" s="15"/>
      <c r="AD411" s="15"/>
      <c r="AJ411" s="14"/>
      <c r="AK411" s="14"/>
      <c r="AL411" s="19"/>
      <c r="AM411" s="19"/>
      <c r="AN411" s="19"/>
    </row>
    <row r="412">
      <c r="I412" s="121"/>
      <c r="Q412" s="10"/>
      <c r="S412" s="14"/>
      <c r="X412" s="15"/>
      <c r="Y412" s="15"/>
      <c r="Z412" s="15"/>
      <c r="AA412" s="15"/>
      <c r="AB412" s="15"/>
      <c r="AC412" s="15"/>
      <c r="AD412" s="15"/>
      <c r="AJ412" s="14"/>
      <c r="AK412" s="14"/>
      <c r="AL412" s="19"/>
      <c r="AM412" s="19"/>
      <c r="AN412" s="19"/>
    </row>
    <row r="413">
      <c r="I413" s="121"/>
      <c r="Q413" s="10"/>
      <c r="S413" s="14"/>
      <c r="X413" s="15"/>
      <c r="Y413" s="15"/>
      <c r="Z413" s="15"/>
      <c r="AA413" s="15"/>
      <c r="AB413" s="15"/>
      <c r="AC413" s="15"/>
      <c r="AD413" s="15"/>
      <c r="AJ413" s="14"/>
      <c r="AK413" s="14"/>
      <c r="AL413" s="19"/>
      <c r="AM413" s="19"/>
      <c r="AN413" s="19"/>
    </row>
    <row r="414">
      <c r="I414" s="121"/>
      <c r="Q414" s="10"/>
      <c r="S414" s="14"/>
      <c r="X414" s="15"/>
      <c r="Y414" s="15"/>
      <c r="Z414" s="15"/>
      <c r="AA414" s="15"/>
      <c r="AB414" s="15"/>
      <c r="AC414" s="15"/>
      <c r="AD414" s="15"/>
      <c r="AJ414" s="14"/>
      <c r="AK414" s="14"/>
      <c r="AL414" s="19"/>
      <c r="AM414" s="19"/>
      <c r="AN414" s="19"/>
    </row>
    <row r="415">
      <c r="I415" s="121"/>
      <c r="Q415" s="10"/>
      <c r="S415" s="14"/>
      <c r="X415" s="15"/>
      <c r="Y415" s="15"/>
      <c r="Z415" s="15"/>
      <c r="AA415" s="15"/>
      <c r="AB415" s="15"/>
      <c r="AC415" s="15"/>
      <c r="AD415" s="15"/>
      <c r="AJ415" s="14"/>
      <c r="AK415" s="14"/>
      <c r="AL415" s="19"/>
      <c r="AM415" s="19"/>
      <c r="AN415" s="19"/>
    </row>
    <row r="416">
      <c r="I416" s="121"/>
      <c r="Q416" s="10"/>
      <c r="S416" s="14"/>
      <c r="X416" s="15"/>
      <c r="Y416" s="15"/>
      <c r="Z416" s="15"/>
      <c r="AA416" s="15"/>
      <c r="AB416" s="15"/>
      <c r="AC416" s="15"/>
      <c r="AD416" s="15"/>
      <c r="AJ416" s="14"/>
      <c r="AK416" s="14"/>
      <c r="AL416" s="19"/>
      <c r="AM416" s="19"/>
      <c r="AN416" s="19"/>
    </row>
    <row r="417">
      <c r="I417" s="121"/>
      <c r="Q417" s="10"/>
      <c r="S417" s="14"/>
      <c r="X417" s="15"/>
      <c r="Y417" s="15"/>
      <c r="Z417" s="15"/>
      <c r="AA417" s="15"/>
      <c r="AB417" s="15"/>
      <c r="AC417" s="15"/>
      <c r="AD417" s="15"/>
      <c r="AJ417" s="14"/>
      <c r="AK417" s="14"/>
      <c r="AL417" s="19"/>
      <c r="AM417" s="19"/>
      <c r="AN417" s="19"/>
    </row>
    <row r="418">
      <c r="I418" s="121"/>
      <c r="Q418" s="10"/>
      <c r="S418" s="14"/>
      <c r="X418" s="15"/>
      <c r="Y418" s="15"/>
      <c r="Z418" s="15"/>
      <c r="AA418" s="15"/>
      <c r="AB418" s="15"/>
      <c r="AC418" s="15"/>
      <c r="AD418" s="15"/>
      <c r="AJ418" s="14"/>
      <c r="AK418" s="14"/>
      <c r="AL418" s="19"/>
      <c r="AM418" s="19"/>
      <c r="AN418" s="19"/>
    </row>
    <row r="419">
      <c r="I419" s="121"/>
      <c r="Q419" s="10"/>
      <c r="S419" s="14"/>
      <c r="X419" s="15"/>
      <c r="Y419" s="15"/>
      <c r="Z419" s="15"/>
      <c r="AA419" s="15"/>
      <c r="AB419" s="15"/>
      <c r="AC419" s="15"/>
      <c r="AD419" s="15"/>
      <c r="AJ419" s="14"/>
      <c r="AK419" s="14"/>
      <c r="AL419" s="19"/>
      <c r="AM419" s="19"/>
      <c r="AN419" s="19"/>
    </row>
    <row r="420">
      <c r="I420" s="121"/>
      <c r="Q420" s="10"/>
      <c r="S420" s="14"/>
      <c r="X420" s="15"/>
      <c r="Y420" s="15"/>
      <c r="Z420" s="15"/>
      <c r="AA420" s="15"/>
      <c r="AB420" s="15"/>
      <c r="AC420" s="15"/>
      <c r="AD420" s="15"/>
      <c r="AJ420" s="14"/>
      <c r="AK420" s="14"/>
      <c r="AL420" s="19"/>
      <c r="AM420" s="19"/>
      <c r="AN420" s="19"/>
    </row>
    <row r="421">
      <c r="I421" s="121"/>
      <c r="Q421" s="10"/>
      <c r="S421" s="14"/>
      <c r="X421" s="15"/>
      <c r="Y421" s="15"/>
      <c r="Z421" s="15"/>
      <c r="AA421" s="15"/>
      <c r="AB421" s="15"/>
      <c r="AC421" s="15"/>
      <c r="AD421" s="15"/>
      <c r="AJ421" s="14"/>
      <c r="AK421" s="14"/>
      <c r="AL421" s="19"/>
      <c r="AM421" s="19"/>
      <c r="AN421" s="19"/>
    </row>
    <row r="422">
      <c r="I422" s="121"/>
      <c r="Q422" s="10"/>
      <c r="S422" s="14"/>
      <c r="X422" s="15"/>
      <c r="Y422" s="15"/>
      <c r="Z422" s="15"/>
      <c r="AA422" s="15"/>
      <c r="AB422" s="15"/>
      <c r="AC422" s="15"/>
      <c r="AD422" s="15"/>
      <c r="AJ422" s="14"/>
      <c r="AK422" s="14"/>
      <c r="AL422" s="19"/>
      <c r="AM422" s="19"/>
      <c r="AN422" s="19"/>
    </row>
    <row r="423">
      <c r="I423" s="121"/>
      <c r="Q423" s="10"/>
      <c r="S423" s="14"/>
      <c r="X423" s="15"/>
      <c r="Y423" s="15"/>
      <c r="Z423" s="15"/>
      <c r="AA423" s="15"/>
      <c r="AB423" s="15"/>
      <c r="AC423" s="15"/>
      <c r="AD423" s="15"/>
      <c r="AJ423" s="14"/>
      <c r="AK423" s="14"/>
      <c r="AL423" s="19"/>
      <c r="AM423" s="19"/>
      <c r="AN423" s="19"/>
    </row>
    <row r="424">
      <c r="I424" s="121"/>
      <c r="Q424" s="10"/>
      <c r="S424" s="14"/>
      <c r="X424" s="15"/>
      <c r="Y424" s="15"/>
      <c r="Z424" s="15"/>
      <c r="AA424" s="15"/>
      <c r="AB424" s="15"/>
      <c r="AC424" s="15"/>
      <c r="AD424" s="15"/>
      <c r="AJ424" s="14"/>
      <c r="AK424" s="14"/>
      <c r="AL424" s="19"/>
      <c r="AM424" s="19"/>
      <c r="AN424" s="19"/>
    </row>
    <row r="425">
      <c r="I425" s="121"/>
      <c r="Q425" s="10"/>
      <c r="S425" s="14"/>
      <c r="X425" s="15"/>
      <c r="Y425" s="15"/>
      <c r="Z425" s="15"/>
      <c r="AA425" s="15"/>
      <c r="AB425" s="15"/>
      <c r="AC425" s="15"/>
      <c r="AD425" s="15"/>
      <c r="AJ425" s="14"/>
      <c r="AK425" s="14"/>
      <c r="AL425" s="19"/>
      <c r="AM425" s="19"/>
      <c r="AN425" s="19"/>
    </row>
    <row r="426">
      <c r="I426" s="121"/>
      <c r="Q426" s="10"/>
      <c r="S426" s="14"/>
      <c r="X426" s="15"/>
      <c r="Y426" s="15"/>
      <c r="Z426" s="15"/>
      <c r="AA426" s="15"/>
      <c r="AB426" s="15"/>
      <c r="AC426" s="15"/>
      <c r="AD426" s="15"/>
      <c r="AJ426" s="14"/>
      <c r="AK426" s="14"/>
      <c r="AL426" s="19"/>
      <c r="AM426" s="19"/>
      <c r="AN426" s="19"/>
    </row>
    <row r="427">
      <c r="I427" s="121"/>
      <c r="Q427" s="10"/>
      <c r="S427" s="14"/>
      <c r="X427" s="15"/>
      <c r="Y427" s="15"/>
      <c r="Z427" s="15"/>
      <c r="AA427" s="15"/>
      <c r="AB427" s="15"/>
      <c r="AC427" s="15"/>
      <c r="AD427" s="15"/>
      <c r="AJ427" s="14"/>
      <c r="AK427" s="14"/>
      <c r="AL427" s="19"/>
      <c r="AM427" s="19"/>
      <c r="AN427" s="19"/>
    </row>
    <row r="428">
      <c r="I428" s="121"/>
      <c r="Q428" s="10"/>
      <c r="S428" s="14"/>
      <c r="X428" s="15"/>
      <c r="Y428" s="15"/>
      <c r="Z428" s="15"/>
      <c r="AA428" s="15"/>
      <c r="AB428" s="15"/>
      <c r="AC428" s="15"/>
      <c r="AD428" s="15"/>
      <c r="AJ428" s="14"/>
      <c r="AK428" s="14"/>
      <c r="AL428" s="19"/>
      <c r="AM428" s="19"/>
      <c r="AN428" s="19"/>
    </row>
    <row r="429">
      <c r="I429" s="121"/>
      <c r="Q429" s="10"/>
      <c r="S429" s="14"/>
      <c r="X429" s="15"/>
      <c r="Y429" s="15"/>
      <c r="Z429" s="15"/>
      <c r="AA429" s="15"/>
      <c r="AB429" s="15"/>
      <c r="AC429" s="15"/>
      <c r="AD429" s="15"/>
      <c r="AJ429" s="14"/>
      <c r="AK429" s="14"/>
      <c r="AL429" s="19"/>
      <c r="AM429" s="19"/>
      <c r="AN429" s="19"/>
    </row>
    <row r="430">
      <c r="I430" s="121"/>
      <c r="Q430" s="10"/>
      <c r="S430" s="14"/>
      <c r="X430" s="15"/>
      <c r="Y430" s="15"/>
      <c r="Z430" s="15"/>
      <c r="AA430" s="15"/>
      <c r="AB430" s="15"/>
      <c r="AC430" s="15"/>
      <c r="AD430" s="15"/>
      <c r="AJ430" s="14"/>
      <c r="AK430" s="14"/>
      <c r="AL430" s="19"/>
      <c r="AM430" s="19"/>
      <c r="AN430" s="19"/>
    </row>
    <row r="431">
      <c r="I431" s="121"/>
      <c r="Q431" s="10"/>
      <c r="S431" s="14"/>
      <c r="X431" s="15"/>
      <c r="Y431" s="15"/>
      <c r="Z431" s="15"/>
      <c r="AA431" s="15"/>
      <c r="AB431" s="15"/>
      <c r="AC431" s="15"/>
      <c r="AD431" s="15"/>
      <c r="AJ431" s="14"/>
      <c r="AK431" s="14"/>
      <c r="AL431" s="19"/>
      <c r="AM431" s="19"/>
      <c r="AN431" s="19"/>
    </row>
    <row r="432">
      <c r="I432" s="121"/>
      <c r="Q432" s="10"/>
      <c r="S432" s="14"/>
      <c r="X432" s="15"/>
      <c r="Y432" s="15"/>
      <c r="Z432" s="15"/>
      <c r="AA432" s="15"/>
      <c r="AB432" s="15"/>
      <c r="AC432" s="15"/>
      <c r="AD432" s="15"/>
      <c r="AJ432" s="14"/>
      <c r="AK432" s="14"/>
      <c r="AL432" s="19"/>
      <c r="AM432" s="19"/>
      <c r="AN432" s="19"/>
    </row>
    <row r="433">
      <c r="I433" s="121"/>
      <c r="Q433" s="10"/>
      <c r="S433" s="14"/>
      <c r="X433" s="15"/>
      <c r="Y433" s="15"/>
      <c r="Z433" s="15"/>
      <c r="AA433" s="15"/>
      <c r="AB433" s="15"/>
      <c r="AC433" s="15"/>
      <c r="AD433" s="15"/>
      <c r="AJ433" s="14"/>
      <c r="AK433" s="14"/>
      <c r="AL433" s="19"/>
      <c r="AM433" s="19"/>
      <c r="AN433" s="19"/>
    </row>
    <row r="434">
      <c r="I434" s="121"/>
      <c r="Q434" s="10"/>
      <c r="S434" s="14"/>
      <c r="X434" s="15"/>
      <c r="Y434" s="15"/>
      <c r="Z434" s="15"/>
      <c r="AA434" s="15"/>
      <c r="AB434" s="15"/>
      <c r="AC434" s="15"/>
      <c r="AD434" s="15"/>
      <c r="AJ434" s="14"/>
      <c r="AK434" s="14"/>
      <c r="AL434" s="19"/>
      <c r="AM434" s="19"/>
      <c r="AN434" s="19"/>
    </row>
    <row r="435">
      <c r="I435" s="121"/>
      <c r="Q435" s="10"/>
      <c r="S435" s="14"/>
      <c r="X435" s="15"/>
      <c r="Y435" s="15"/>
      <c r="Z435" s="15"/>
      <c r="AA435" s="15"/>
      <c r="AB435" s="15"/>
      <c r="AC435" s="15"/>
      <c r="AD435" s="15"/>
      <c r="AJ435" s="14"/>
      <c r="AK435" s="14"/>
      <c r="AL435" s="19"/>
      <c r="AM435" s="19"/>
      <c r="AN435" s="19"/>
    </row>
    <row r="436">
      <c r="I436" s="121"/>
      <c r="Q436" s="10"/>
      <c r="S436" s="14"/>
      <c r="X436" s="15"/>
      <c r="Y436" s="15"/>
      <c r="Z436" s="15"/>
      <c r="AA436" s="15"/>
      <c r="AB436" s="15"/>
      <c r="AC436" s="15"/>
      <c r="AD436" s="15"/>
      <c r="AJ436" s="14"/>
      <c r="AK436" s="14"/>
      <c r="AL436" s="19"/>
      <c r="AM436" s="19"/>
      <c r="AN436" s="19"/>
    </row>
    <row r="437">
      <c r="I437" s="121"/>
      <c r="Q437" s="10"/>
      <c r="S437" s="14"/>
      <c r="X437" s="15"/>
      <c r="Y437" s="15"/>
      <c r="Z437" s="15"/>
      <c r="AA437" s="15"/>
      <c r="AB437" s="15"/>
      <c r="AC437" s="15"/>
      <c r="AD437" s="15"/>
      <c r="AJ437" s="14"/>
      <c r="AK437" s="14"/>
      <c r="AL437" s="19"/>
      <c r="AM437" s="19"/>
      <c r="AN437" s="19"/>
    </row>
    <row r="438">
      <c r="I438" s="121"/>
      <c r="Q438" s="10"/>
      <c r="S438" s="14"/>
      <c r="X438" s="15"/>
      <c r="Y438" s="15"/>
      <c r="Z438" s="15"/>
      <c r="AA438" s="15"/>
      <c r="AB438" s="15"/>
      <c r="AC438" s="15"/>
      <c r="AD438" s="15"/>
      <c r="AJ438" s="14"/>
      <c r="AK438" s="14"/>
      <c r="AL438" s="19"/>
      <c r="AM438" s="19"/>
      <c r="AN438" s="19"/>
    </row>
    <row r="439">
      <c r="I439" s="121"/>
      <c r="Q439" s="10"/>
      <c r="S439" s="14"/>
      <c r="X439" s="15"/>
      <c r="Y439" s="15"/>
      <c r="Z439" s="15"/>
      <c r="AA439" s="15"/>
      <c r="AB439" s="15"/>
      <c r="AC439" s="15"/>
      <c r="AD439" s="15"/>
      <c r="AJ439" s="14"/>
      <c r="AK439" s="14"/>
      <c r="AL439" s="19"/>
      <c r="AM439" s="19"/>
      <c r="AN439" s="19"/>
    </row>
    <row r="440">
      <c r="I440" s="121"/>
      <c r="Q440" s="10"/>
      <c r="S440" s="14"/>
      <c r="X440" s="15"/>
      <c r="Y440" s="15"/>
      <c r="Z440" s="15"/>
      <c r="AA440" s="15"/>
      <c r="AB440" s="15"/>
      <c r="AC440" s="15"/>
      <c r="AD440" s="15"/>
      <c r="AJ440" s="14"/>
      <c r="AK440" s="14"/>
      <c r="AL440" s="19"/>
      <c r="AM440" s="19"/>
      <c r="AN440" s="19"/>
    </row>
    <row r="441">
      <c r="I441" s="121"/>
      <c r="Q441" s="10"/>
      <c r="S441" s="14"/>
      <c r="X441" s="15"/>
      <c r="Y441" s="15"/>
      <c r="Z441" s="15"/>
      <c r="AA441" s="15"/>
      <c r="AB441" s="15"/>
      <c r="AC441" s="15"/>
      <c r="AD441" s="15"/>
      <c r="AJ441" s="14"/>
      <c r="AK441" s="14"/>
      <c r="AL441" s="19"/>
      <c r="AM441" s="19"/>
      <c r="AN441" s="19"/>
    </row>
    <row r="442">
      <c r="I442" s="121"/>
      <c r="Q442" s="10"/>
      <c r="S442" s="14"/>
      <c r="X442" s="15"/>
      <c r="Y442" s="15"/>
      <c r="Z442" s="15"/>
      <c r="AA442" s="15"/>
      <c r="AB442" s="15"/>
      <c r="AC442" s="15"/>
      <c r="AD442" s="15"/>
      <c r="AJ442" s="14"/>
      <c r="AK442" s="14"/>
      <c r="AL442" s="19"/>
      <c r="AM442" s="19"/>
      <c r="AN442" s="19"/>
    </row>
    <row r="443">
      <c r="I443" s="121"/>
      <c r="Q443" s="10"/>
      <c r="S443" s="14"/>
      <c r="X443" s="15"/>
      <c r="Y443" s="15"/>
      <c r="Z443" s="15"/>
      <c r="AA443" s="15"/>
      <c r="AB443" s="15"/>
      <c r="AC443" s="15"/>
      <c r="AD443" s="15"/>
      <c r="AJ443" s="14"/>
      <c r="AK443" s="14"/>
      <c r="AL443" s="19"/>
      <c r="AM443" s="19"/>
      <c r="AN443" s="19"/>
    </row>
    <row r="444">
      <c r="I444" s="121"/>
      <c r="Q444" s="10"/>
      <c r="S444" s="14"/>
      <c r="X444" s="15"/>
      <c r="Y444" s="15"/>
      <c r="Z444" s="15"/>
      <c r="AA444" s="15"/>
      <c r="AB444" s="15"/>
      <c r="AC444" s="15"/>
      <c r="AD444" s="15"/>
      <c r="AJ444" s="14"/>
      <c r="AK444" s="14"/>
      <c r="AL444" s="19"/>
      <c r="AM444" s="19"/>
      <c r="AN444" s="19"/>
    </row>
    <row r="445">
      <c r="I445" s="121"/>
      <c r="Q445" s="10"/>
      <c r="S445" s="14"/>
      <c r="X445" s="15"/>
      <c r="Y445" s="15"/>
      <c r="Z445" s="15"/>
      <c r="AA445" s="15"/>
      <c r="AB445" s="15"/>
      <c r="AC445" s="15"/>
      <c r="AD445" s="15"/>
      <c r="AJ445" s="14"/>
      <c r="AK445" s="14"/>
      <c r="AL445" s="19"/>
      <c r="AM445" s="19"/>
      <c r="AN445" s="19"/>
    </row>
    <row r="446">
      <c r="I446" s="121"/>
      <c r="Q446" s="10"/>
      <c r="S446" s="14"/>
      <c r="X446" s="15"/>
      <c r="Y446" s="15"/>
      <c r="Z446" s="15"/>
      <c r="AA446" s="15"/>
      <c r="AB446" s="15"/>
      <c r="AC446" s="15"/>
      <c r="AD446" s="15"/>
      <c r="AJ446" s="14"/>
      <c r="AK446" s="14"/>
      <c r="AL446" s="19"/>
      <c r="AM446" s="19"/>
      <c r="AN446" s="19"/>
    </row>
    <row r="447">
      <c r="I447" s="121"/>
      <c r="Q447" s="10"/>
      <c r="S447" s="14"/>
      <c r="X447" s="15"/>
      <c r="Y447" s="15"/>
      <c r="Z447" s="15"/>
      <c r="AA447" s="15"/>
      <c r="AB447" s="15"/>
      <c r="AC447" s="15"/>
      <c r="AD447" s="15"/>
      <c r="AJ447" s="14"/>
      <c r="AK447" s="14"/>
      <c r="AL447" s="19"/>
      <c r="AM447" s="19"/>
      <c r="AN447" s="19"/>
    </row>
    <row r="448">
      <c r="I448" s="121"/>
      <c r="Q448" s="10"/>
      <c r="S448" s="14"/>
      <c r="X448" s="15"/>
      <c r="Y448" s="15"/>
      <c r="Z448" s="15"/>
      <c r="AA448" s="15"/>
      <c r="AB448" s="15"/>
      <c r="AC448" s="15"/>
      <c r="AD448" s="15"/>
      <c r="AJ448" s="14"/>
      <c r="AK448" s="14"/>
      <c r="AL448" s="19"/>
      <c r="AM448" s="19"/>
      <c r="AN448" s="19"/>
    </row>
    <row r="449">
      <c r="I449" s="121"/>
      <c r="Q449" s="10"/>
      <c r="S449" s="14"/>
      <c r="X449" s="15"/>
      <c r="Y449" s="15"/>
      <c r="Z449" s="15"/>
      <c r="AA449" s="15"/>
      <c r="AB449" s="15"/>
      <c r="AC449" s="15"/>
      <c r="AD449" s="15"/>
      <c r="AJ449" s="14"/>
      <c r="AK449" s="14"/>
      <c r="AL449" s="19"/>
      <c r="AM449" s="19"/>
      <c r="AN449" s="19"/>
    </row>
    <row r="450">
      <c r="I450" s="121"/>
      <c r="Q450" s="10"/>
      <c r="S450" s="14"/>
      <c r="X450" s="15"/>
      <c r="Y450" s="15"/>
      <c r="Z450" s="15"/>
      <c r="AA450" s="15"/>
      <c r="AB450" s="15"/>
      <c r="AC450" s="15"/>
      <c r="AD450" s="15"/>
      <c r="AJ450" s="14"/>
      <c r="AK450" s="14"/>
      <c r="AL450" s="19"/>
      <c r="AM450" s="19"/>
      <c r="AN450" s="19"/>
    </row>
    <row r="451">
      <c r="I451" s="121"/>
      <c r="Q451" s="10"/>
      <c r="S451" s="14"/>
      <c r="X451" s="15"/>
      <c r="Y451" s="15"/>
      <c r="Z451" s="15"/>
      <c r="AA451" s="15"/>
      <c r="AB451" s="15"/>
      <c r="AC451" s="15"/>
      <c r="AD451" s="15"/>
      <c r="AJ451" s="14"/>
      <c r="AK451" s="14"/>
      <c r="AL451" s="19"/>
      <c r="AM451" s="19"/>
      <c r="AN451" s="19"/>
    </row>
    <row r="452">
      <c r="I452" s="121"/>
      <c r="Q452" s="10"/>
      <c r="S452" s="14"/>
      <c r="X452" s="15"/>
      <c r="Y452" s="15"/>
      <c r="Z452" s="15"/>
      <c r="AA452" s="15"/>
      <c r="AB452" s="15"/>
      <c r="AC452" s="15"/>
      <c r="AD452" s="15"/>
      <c r="AJ452" s="14"/>
      <c r="AK452" s="14"/>
      <c r="AL452" s="19"/>
      <c r="AM452" s="19"/>
      <c r="AN452" s="19"/>
    </row>
    <row r="453">
      <c r="I453" s="121"/>
      <c r="Q453" s="10"/>
      <c r="S453" s="14"/>
      <c r="X453" s="15"/>
      <c r="Y453" s="15"/>
      <c r="Z453" s="15"/>
      <c r="AA453" s="15"/>
      <c r="AB453" s="15"/>
      <c r="AC453" s="15"/>
      <c r="AD453" s="15"/>
      <c r="AJ453" s="14"/>
      <c r="AK453" s="14"/>
      <c r="AL453" s="19"/>
      <c r="AM453" s="19"/>
      <c r="AN453" s="19"/>
    </row>
    <row r="454">
      <c r="I454" s="121"/>
      <c r="Q454" s="10"/>
      <c r="S454" s="14"/>
      <c r="X454" s="15"/>
      <c r="Y454" s="15"/>
      <c r="Z454" s="15"/>
      <c r="AA454" s="15"/>
      <c r="AB454" s="15"/>
      <c r="AC454" s="15"/>
      <c r="AD454" s="15"/>
      <c r="AJ454" s="14"/>
      <c r="AK454" s="14"/>
      <c r="AL454" s="19"/>
      <c r="AM454" s="19"/>
      <c r="AN454" s="19"/>
    </row>
    <row r="455">
      <c r="I455" s="121"/>
      <c r="Q455" s="10"/>
      <c r="S455" s="14"/>
      <c r="X455" s="15"/>
      <c r="Y455" s="15"/>
      <c r="Z455" s="15"/>
      <c r="AA455" s="15"/>
      <c r="AB455" s="15"/>
      <c r="AC455" s="15"/>
      <c r="AD455" s="15"/>
      <c r="AJ455" s="14"/>
      <c r="AK455" s="14"/>
      <c r="AL455" s="19"/>
      <c r="AM455" s="19"/>
      <c r="AN455" s="19"/>
    </row>
    <row r="456">
      <c r="I456" s="121"/>
      <c r="Q456" s="10"/>
      <c r="S456" s="14"/>
      <c r="X456" s="15"/>
      <c r="Y456" s="15"/>
      <c r="Z456" s="15"/>
      <c r="AA456" s="15"/>
      <c r="AB456" s="15"/>
      <c r="AC456" s="15"/>
      <c r="AD456" s="15"/>
      <c r="AJ456" s="14"/>
      <c r="AK456" s="14"/>
      <c r="AL456" s="19"/>
      <c r="AM456" s="19"/>
      <c r="AN456" s="19"/>
    </row>
    <row r="457">
      <c r="I457" s="121"/>
      <c r="Q457" s="10"/>
      <c r="S457" s="14"/>
      <c r="X457" s="15"/>
      <c r="Y457" s="15"/>
      <c r="Z457" s="15"/>
      <c r="AA457" s="15"/>
      <c r="AB457" s="15"/>
      <c r="AC457" s="15"/>
      <c r="AD457" s="15"/>
      <c r="AJ457" s="14"/>
      <c r="AK457" s="14"/>
      <c r="AL457" s="19"/>
      <c r="AM457" s="19"/>
      <c r="AN457" s="19"/>
    </row>
    <row r="458">
      <c r="I458" s="121"/>
      <c r="Q458" s="10"/>
      <c r="S458" s="14"/>
      <c r="X458" s="15"/>
      <c r="Y458" s="15"/>
      <c r="Z458" s="15"/>
      <c r="AA458" s="15"/>
      <c r="AB458" s="15"/>
      <c r="AC458" s="15"/>
      <c r="AD458" s="15"/>
      <c r="AJ458" s="14"/>
      <c r="AK458" s="14"/>
      <c r="AL458" s="19"/>
      <c r="AM458" s="19"/>
      <c r="AN458" s="19"/>
    </row>
    <row r="459">
      <c r="I459" s="121"/>
      <c r="Q459" s="10"/>
      <c r="S459" s="14"/>
      <c r="X459" s="15"/>
      <c r="Y459" s="15"/>
      <c r="Z459" s="15"/>
      <c r="AA459" s="15"/>
      <c r="AB459" s="15"/>
      <c r="AC459" s="15"/>
      <c r="AD459" s="15"/>
      <c r="AJ459" s="14"/>
      <c r="AK459" s="14"/>
      <c r="AL459" s="19"/>
      <c r="AM459" s="19"/>
      <c r="AN459" s="19"/>
    </row>
    <row r="460">
      <c r="I460" s="121"/>
      <c r="Q460" s="10"/>
      <c r="S460" s="14"/>
      <c r="X460" s="15"/>
      <c r="Y460" s="15"/>
      <c r="Z460" s="15"/>
      <c r="AA460" s="15"/>
      <c r="AB460" s="15"/>
      <c r="AC460" s="15"/>
      <c r="AD460" s="15"/>
      <c r="AJ460" s="14"/>
      <c r="AK460" s="14"/>
      <c r="AL460" s="19"/>
      <c r="AM460" s="19"/>
      <c r="AN460" s="19"/>
    </row>
    <row r="461">
      <c r="I461" s="121"/>
      <c r="Q461" s="10"/>
      <c r="S461" s="14"/>
      <c r="X461" s="15"/>
      <c r="Y461" s="15"/>
      <c r="Z461" s="15"/>
      <c r="AA461" s="15"/>
      <c r="AB461" s="15"/>
      <c r="AC461" s="15"/>
      <c r="AD461" s="15"/>
      <c r="AJ461" s="14"/>
      <c r="AK461" s="14"/>
      <c r="AL461" s="19"/>
      <c r="AM461" s="19"/>
      <c r="AN461" s="19"/>
    </row>
    <row r="462">
      <c r="I462" s="121"/>
      <c r="Q462" s="10"/>
      <c r="S462" s="14"/>
      <c r="X462" s="15"/>
      <c r="Y462" s="15"/>
      <c r="Z462" s="15"/>
      <c r="AA462" s="15"/>
      <c r="AB462" s="15"/>
      <c r="AC462" s="15"/>
      <c r="AD462" s="15"/>
      <c r="AJ462" s="14"/>
      <c r="AK462" s="14"/>
      <c r="AL462" s="19"/>
      <c r="AM462" s="19"/>
      <c r="AN462" s="19"/>
    </row>
    <row r="463">
      <c r="I463" s="121"/>
      <c r="Q463" s="10"/>
      <c r="S463" s="14"/>
      <c r="X463" s="15"/>
      <c r="Y463" s="15"/>
      <c r="Z463" s="15"/>
      <c r="AA463" s="15"/>
      <c r="AB463" s="15"/>
      <c r="AC463" s="15"/>
      <c r="AD463" s="15"/>
      <c r="AJ463" s="14"/>
      <c r="AK463" s="14"/>
      <c r="AL463" s="19"/>
      <c r="AM463" s="19"/>
      <c r="AN463" s="19"/>
    </row>
    <row r="464">
      <c r="I464" s="121"/>
      <c r="Q464" s="10"/>
      <c r="S464" s="14"/>
      <c r="X464" s="15"/>
      <c r="Y464" s="15"/>
      <c r="Z464" s="15"/>
      <c r="AA464" s="15"/>
      <c r="AB464" s="15"/>
      <c r="AC464" s="15"/>
      <c r="AD464" s="15"/>
      <c r="AJ464" s="14"/>
      <c r="AK464" s="14"/>
      <c r="AL464" s="19"/>
      <c r="AM464" s="19"/>
      <c r="AN464" s="19"/>
    </row>
    <row r="465">
      <c r="I465" s="121"/>
      <c r="Q465" s="10"/>
      <c r="S465" s="14"/>
      <c r="X465" s="15"/>
      <c r="Y465" s="15"/>
      <c r="Z465" s="15"/>
      <c r="AA465" s="15"/>
      <c r="AB465" s="15"/>
      <c r="AC465" s="15"/>
      <c r="AD465" s="15"/>
      <c r="AJ465" s="14"/>
      <c r="AK465" s="14"/>
      <c r="AL465" s="19"/>
      <c r="AM465" s="19"/>
      <c r="AN465" s="19"/>
    </row>
    <row r="466">
      <c r="I466" s="121"/>
      <c r="Q466" s="10"/>
      <c r="S466" s="14"/>
      <c r="X466" s="15"/>
      <c r="Y466" s="15"/>
      <c r="Z466" s="15"/>
      <c r="AA466" s="15"/>
      <c r="AB466" s="15"/>
      <c r="AC466" s="15"/>
      <c r="AD466" s="15"/>
      <c r="AJ466" s="14"/>
      <c r="AK466" s="14"/>
      <c r="AL466" s="19"/>
      <c r="AM466" s="19"/>
      <c r="AN466" s="19"/>
    </row>
    <row r="467">
      <c r="I467" s="121"/>
      <c r="Q467" s="10"/>
      <c r="S467" s="14"/>
      <c r="X467" s="15"/>
      <c r="Y467" s="15"/>
      <c r="Z467" s="15"/>
      <c r="AA467" s="15"/>
      <c r="AB467" s="15"/>
      <c r="AC467" s="15"/>
      <c r="AD467" s="15"/>
      <c r="AJ467" s="14"/>
      <c r="AK467" s="14"/>
      <c r="AL467" s="19"/>
      <c r="AM467" s="19"/>
      <c r="AN467" s="19"/>
    </row>
    <row r="468">
      <c r="I468" s="121"/>
      <c r="Q468" s="10"/>
      <c r="S468" s="14"/>
      <c r="X468" s="15"/>
      <c r="Y468" s="15"/>
      <c r="Z468" s="15"/>
      <c r="AA468" s="15"/>
      <c r="AB468" s="15"/>
      <c r="AC468" s="15"/>
      <c r="AD468" s="15"/>
      <c r="AJ468" s="14"/>
      <c r="AK468" s="14"/>
      <c r="AL468" s="19"/>
      <c r="AM468" s="19"/>
      <c r="AN468" s="19"/>
    </row>
    <row r="469">
      <c r="I469" s="121"/>
      <c r="Q469" s="10"/>
      <c r="S469" s="14"/>
      <c r="X469" s="15"/>
      <c r="Y469" s="15"/>
      <c r="Z469" s="15"/>
      <c r="AA469" s="15"/>
      <c r="AB469" s="15"/>
      <c r="AC469" s="15"/>
      <c r="AD469" s="15"/>
      <c r="AJ469" s="14"/>
      <c r="AK469" s="14"/>
      <c r="AL469" s="19"/>
      <c r="AM469" s="19"/>
      <c r="AN469" s="19"/>
    </row>
    <row r="470">
      <c r="I470" s="121"/>
      <c r="Q470" s="10"/>
      <c r="S470" s="14"/>
      <c r="X470" s="15"/>
      <c r="Y470" s="15"/>
      <c r="Z470" s="15"/>
      <c r="AA470" s="15"/>
      <c r="AB470" s="15"/>
      <c r="AC470" s="15"/>
      <c r="AD470" s="15"/>
      <c r="AJ470" s="14"/>
      <c r="AK470" s="14"/>
      <c r="AL470" s="19"/>
      <c r="AM470" s="19"/>
      <c r="AN470" s="19"/>
    </row>
    <row r="471">
      <c r="I471" s="121"/>
      <c r="Q471" s="10"/>
      <c r="S471" s="14"/>
      <c r="X471" s="15"/>
      <c r="Y471" s="15"/>
      <c r="Z471" s="15"/>
      <c r="AA471" s="15"/>
      <c r="AB471" s="15"/>
      <c r="AC471" s="15"/>
      <c r="AD471" s="15"/>
      <c r="AJ471" s="14"/>
      <c r="AK471" s="14"/>
      <c r="AL471" s="19"/>
      <c r="AM471" s="19"/>
      <c r="AN471" s="19"/>
    </row>
    <row r="472">
      <c r="I472" s="121"/>
      <c r="Q472" s="10"/>
      <c r="S472" s="14"/>
      <c r="X472" s="15"/>
      <c r="Y472" s="15"/>
      <c r="Z472" s="15"/>
      <c r="AA472" s="15"/>
      <c r="AB472" s="15"/>
      <c r="AC472" s="15"/>
      <c r="AD472" s="15"/>
      <c r="AJ472" s="14"/>
      <c r="AK472" s="14"/>
      <c r="AL472" s="19"/>
      <c r="AM472" s="19"/>
      <c r="AN472" s="19"/>
    </row>
    <row r="473">
      <c r="I473" s="121"/>
      <c r="Q473" s="10"/>
      <c r="S473" s="14"/>
      <c r="X473" s="15"/>
      <c r="Y473" s="15"/>
      <c r="Z473" s="15"/>
      <c r="AA473" s="15"/>
      <c r="AB473" s="15"/>
      <c r="AC473" s="15"/>
      <c r="AD473" s="15"/>
      <c r="AJ473" s="14"/>
      <c r="AK473" s="14"/>
      <c r="AL473" s="19"/>
      <c r="AM473" s="19"/>
      <c r="AN473" s="19"/>
    </row>
    <row r="474">
      <c r="I474" s="121"/>
      <c r="Q474" s="10"/>
      <c r="S474" s="14"/>
      <c r="X474" s="15"/>
      <c r="Y474" s="15"/>
      <c r="Z474" s="15"/>
      <c r="AA474" s="15"/>
      <c r="AB474" s="15"/>
      <c r="AC474" s="15"/>
      <c r="AD474" s="15"/>
      <c r="AJ474" s="14"/>
      <c r="AK474" s="14"/>
      <c r="AL474" s="19"/>
      <c r="AM474" s="19"/>
      <c r="AN474" s="19"/>
    </row>
    <row r="475">
      <c r="I475" s="121"/>
      <c r="Q475" s="10"/>
      <c r="S475" s="14"/>
      <c r="X475" s="15"/>
      <c r="Y475" s="15"/>
      <c r="Z475" s="15"/>
      <c r="AA475" s="15"/>
      <c r="AB475" s="15"/>
      <c r="AC475" s="15"/>
      <c r="AD475" s="15"/>
      <c r="AJ475" s="14"/>
      <c r="AK475" s="14"/>
      <c r="AL475" s="19"/>
      <c r="AM475" s="19"/>
      <c r="AN475" s="19"/>
    </row>
    <row r="476">
      <c r="I476" s="121"/>
      <c r="Q476" s="10"/>
      <c r="S476" s="14"/>
      <c r="X476" s="15"/>
      <c r="Y476" s="15"/>
      <c r="Z476" s="15"/>
      <c r="AA476" s="15"/>
      <c r="AB476" s="15"/>
      <c r="AC476" s="15"/>
      <c r="AD476" s="15"/>
      <c r="AJ476" s="14"/>
      <c r="AK476" s="14"/>
      <c r="AL476" s="19"/>
      <c r="AM476" s="19"/>
      <c r="AN476" s="19"/>
    </row>
    <row r="477">
      <c r="I477" s="121"/>
      <c r="Q477" s="10"/>
      <c r="S477" s="14"/>
      <c r="X477" s="15"/>
      <c r="Y477" s="15"/>
      <c r="Z477" s="15"/>
      <c r="AA477" s="15"/>
      <c r="AB477" s="15"/>
      <c r="AC477" s="15"/>
      <c r="AD477" s="15"/>
      <c r="AJ477" s="14"/>
      <c r="AK477" s="14"/>
      <c r="AL477" s="19"/>
      <c r="AM477" s="19"/>
      <c r="AN477" s="19"/>
    </row>
    <row r="478">
      <c r="I478" s="121"/>
      <c r="Q478" s="10"/>
      <c r="S478" s="14"/>
      <c r="X478" s="15"/>
      <c r="Y478" s="15"/>
      <c r="Z478" s="15"/>
      <c r="AA478" s="15"/>
      <c r="AB478" s="15"/>
      <c r="AC478" s="15"/>
      <c r="AD478" s="15"/>
      <c r="AJ478" s="14"/>
      <c r="AK478" s="14"/>
      <c r="AL478" s="19"/>
      <c r="AM478" s="19"/>
      <c r="AN478" s="19"/>
    </row>
    <row r="479">
      <c r="I479" s="121"/>
      <c r="Q479" s="10"/>
      <c r="S479" s="14"/>
      <c r="X479" s="15"/>
      <c r="Y479" s="15"/>
      <c r="Z479" s="15"/>
      <c r="AA479" s="15"/>
      <c r="AB479" s="15"/>
      <c r="AC479" s="15"/>
      <c r="AD479" s="15"/>
      <c r="AJ479" s="14"/>
      <c r="AK479" s="14"/>
      <c r="AL479" s="19"/>
      <c r="AM479" s="19"/>
      <c r="AN479" s="19"/>
    </row>
    <row r="480">
      <c r="I480" s="121"/>
      <c r="Q480" s="10"/>
      <c r="S480" s="14"/>
      <c r="X480" s="15"/>
      <c r="Y480" s="15"/>
      <c r="Z480" s="15"/>
      <c r="AA480" s="15"/>
      <c r="AB480" s="15"/>
      <c r="AC480" s="15"/>
      <c r="AD480" s="15"/>
      <c r="AJ480" s="14"/>
      <c r="AK480" s="14"/>
      <c r="AL480" s="19"/>
      <c r="AM480" s="19"/>
      <c r="AN480" s="19"/>
    </row>
    <row r="481">
      <c r="I481" s="121"/>
      <c r="Q481" s="10"/>
      <c r="S481" s="14"/>
      <c r="X481" s="15"/>
      <c r="Y481" s="15"/>
      <c r="Z481" s="15"/>
      <c r="AA481" s="15"/>
      <c r="AB481" s="15"/>
      <c r="AC481" s="15"/>
      <c r="AD481" s="15"/>
      <c r="AJ481" s="14"/>
      <c r="AK481" s="14"/>
      <c r="AL481" s="19"/>
      <c r="AM481" s="19"/>
      <c r="AN481" s="19"/>
    </row>
    <row r="482">
      <c r="I482" s="121"/>
      <c r="Q482" s="10"/>
      <c r="S482" s="14"/>
      <c r="X482" s="15"/>
      <c r="Y482" s="15"/>
      <c r="Z482" s="15"/>
      <c r="AA482" s="15"/>
      <c r="AB482" s="15"/>
      <c r="AC482" s="15"/>
      <c r="AD482" s="15"/>
      <c r="AJ482" s="14"/>
      <c r="AK482" s="14"/>
      <c r="AL482" s="19"/>
      <c r="AM482" s="19"/>
      <c r="AN482" s="19"/>
    </row>
    <row r="483">
      <c r="I483" s="121"/>
      <c r="Q483" s="10"/>
      <c r="S483" s="14"/>
      <c r="X483" s="15"/>
      <c r="Y483" s="15"/>
      <c r="Z483" s="15"/>
      <c r="AA483" s="15"/>
      <c r="AB483" s="15"/>
      <c r="AC483" s="15"/>
      <c r="AD483" s="15"/>
      <c r="AJ483" s="14"/>
      <c r="AK483" s="14"/>
      <c r="AL483" s="19"/>
      <c r="AM483" s="19"/>
      <c r="AN483" s="19"/>
    </row>
    <row r="484">
      <c r="I484" s="121"/>
      <c r="Q484" s="10"/>
      <c r="S484" s="14"/>
      <c r="X484" s="15"/>
      <c r="Y484" s="15"/>
      <c r="Z484" s="15"/>
      <c r="AA484" s="15"/>
      <c r="AB484" s="15"/>
      <c r="AC484" s="15"/>
      <c r="AD484" s="15"/>
      <c r="AJ484" s="14"/>
      <c r="AK484" s="14"/>
      <c r="AL484" s="19"/>
      <c r="AM484" s="19"/>
      <c r="AN484" s="19"/>
    </row>
    <row r="485">
      <c r="I485" s="121"/>
      <c r="Q485" s="10"/>
      <c r="S485" s="14"/>
      <c r="X485" s="15"/>
      <c r="Y485" s="15"/>
      <c r="Z485" s="15"/>
      <c r="AA485" s="15"/>
      <c r="AB485" s="15"/>
      <c r="AC485" s="15"/>
      <c r="AD485" s="15"/>
      <c r="AJ485" s="14"/>
      <c r="AK485" s="14"/>
      <c r="AL485" s="19"/>
      <c r="AM485" s="19"/>
      <c r="AN485" s="19"/>
    </row>
    <row r="486">
      <c r="I486" s="121"/>
      <c r="Q486" s="10"/>
      <c r="S486" s="14"/>
      <c r="X486" s="15"/>
      <c r="Y486" s="15"/>
      <c r="Z486" s="15"/>
      <c r="AA486" s="15"/>
      <c r="AB486" s="15"/>
      <c r="AC486" s="15"/>
      <c r="AD486" s="15"/>
      <c r="AJ486" s="14"/>
      <c r="AK486" s="14"/>
      <c r="AL486" s="19"/>
      <c r="AM486" s="19"/>
      <c r="AN486" s="19"/>
    </row>
    <row r="487">
      <c r="I487" s="121"/>
      <c r="Q487" s="10"/>
      <c r="S487" s="14"/>
      <c r="X487" s="15"/>
      <c r="Y487" s="15"/>
      <c r="Z487" s="15"/>
      <c r="AA487" s="15"/>
      <c r="AB487" s="15"/>
      <c r="AC487" s="15"/>
      <c r="AD487" s="15"/>
      <c r="AJ487" s="14"/>
      <c r="AK487" s="14"/>
      <c r="AL487" s="19"/>
      <c r="AM487" s="19"/>
      <c r="AN487" s="19"/>
    </row>
    <row r="488">
      <c r="I488" s="121"/>
      <c r="Q488" s="10"/>
      <c r="S488" s="14"/>
      <c r="X488" s="15"/>
      <c r="Y488" s="15"/>
      <c r="Z488" s="15"/>
      <c r="AA488" s="15"/>
      <c r="AB488" s="15"/>
      <c r="AC488" s="15"/>
      <c r="AD488" s="15"/>
      <c r="AJ488" s="14"/>
      <c r="AK488" s="14"/>
      <c r="AL488" s="19"/>
      <c r="AM488" s="19"/>
      <c r="AN488" s="19"/>
    </row>
    <row r="489">
      <c r="I489" s="121"/>
      <c r="Q489" s="10"/>
      <c r="S489" s="14"/>
      <c r="X489" s="15"/>
      <c r="Y489" s="15"/>
      <c r="Z489" s="15"/>
      <c r="AA489" s="15"/>
      <c r="AB489" s="15"/>
      <c r="AC489" s="15"/>
      <c r="AD489" s="15"/>
      <c r="AJ489" s="14"/>
      <c r="AK489" s="14"/>
      <c r="AL489" s="19"/>
      <c r="AM489" s="19"/>
      <c r="AN489" s="19"/>
    </row>
    <row r="490">
      <c r="I490" s="121"/>
      <c r="Q490" s="10"/>
      <c r="S490" s="14"/>
      <c r="X490" s="15"/>
      <c r="Y490" s="15"/>
      <c r="Z490" s="15"/>
      <c r="AA490" s="15"/>
      <c r="AB490" s="15"/>
      <c r="AC490" s="15"/>
      <c r="AD490" s="15"/>
      <c r="AJ490" s="14"/>
      <c r="AK490" s="14"/>
      <c r="AL490" s="19"/>
      <c r="AM490" s="19"/>
      <c r="AN490" s="19"/>
    </row>
    <row r="491">
      <c r="I491" s="121"/>
      <c r="Q491" s="10"/>
      <c r="S491" s="14"/>
      <c r="X491" s="15"/>
      <c r="Y491" s="15"/>
      <c r="Z491" s="15"/>
      <c r="AA491" s="15"/>
      <c r="AB491" s="15"/>
      <c r="AC491" s="15"/>
      <c r="AD491" s="15"/>
      <c r="AJ491" s="14"/>
      <c r="AK491" s="14"/>
      <c r="AL491" s="19"/>
      <c r="AM491" s="19"/>
      <c r="AN491" s="19"/>
    </row>
    <row r="492">
      <c r="I492" s="121"/>
      <c r="Q492" s="10"/>
      <c r="S492" s="14"/>
      <c r="X492" s="15"/>
      <c r="Y492" s="15"/>
      <c r="Z492" s="15"/>
      <c r="AA492" s="15"/>
      <c r="AB492" s="15"/>
      <c r="AC492" s="15"/>
      <c r="AD492" s="15"/>
      <c r="AJ492" s="14"/>
      <c r="AK492" s="14"/>
      <c r="AL492" s="19"/>
      <c r="AM492" s="19"/>
      <c r="AN492" s="19"/>
    </row>
    <row r="493">
      <c r="I493" s="121"/>
      <c r="Q493" s="10"/>
      <c r="S493" s="14"/>
      <c r="X493" s="15"/>
      <c r="Y493" s="15"/>
      <c r="Z493" s="15"/>
      <c r="AA493" s="15"/>
      <c r="AB493" s="15"/>
      <c r="AC493" s="15"/>
      <c r="AD493" s="15"/>
      <c r="AJ493" s="14"/>
      <c r="AK493" s="14"/>
      <c r="AL493" s="19"/>
      <c r="AM493" s="19"/>
      <c r="AN493" s="19"/>
    </row>
    <row r="494">
      <c r="I494" s="121"/>
      <c r="Q494" s="10"/>
      <c r="S494" s="14"/>
      <c r="X494" s="15"/>
      <c r="Y494" s="15"/>
      <c r="Z494" s="15"/>
      <c r="AA494" s="15"/>
      <c r="AB494" s="15"/>
      <c r="AC494" s="15"/>
      <c r="AD494" s="15"/>
      <c r="AJ494" s="14"/>
      <c r="AK494" s="14"/>
      <c r="AL494" s="19"/>
      <c r="AM494" s="19"/>
      <c r="AN494" s="19"/>
    </row>
    <row r="495">
      <c r="I495" s="121"/>
      <c r="Q495" s="10"/>
      <c r="S495" s="14"/>
      <c r="X495" s="15"/>
      <c r="Y495" s="15"/>
      <c r="Z495" s="15"/>
      <c r="AA495" s="15"/>
      <c r="AB495" s="15"/>
      <c r="AC495" s="15"/>
      <c r="AD495" s="15"/>
      <c r="AJ495" s="14"/>
      <c r="AK495" s="14"/>
      <c r="AL495" s="19"/>
      <c r="AM495" s="19"/>
      <c r="AN495" s="19"/>
    </row>
    <row r="496">
      <c r="I496" s="121"/>
      <c r="Q496" s="10"/>
      <c r="S496" s="14"/>
      <c r="X496" s="15"/>
      <c r="Y496" s="15"/>
      <c r="Z496" s="15"/>
      <c r="AA496" s="15"/>
      <c r="AB496" s="15"/>
      <c r="AC496" s="15"/>
      <c r="AD496" s="15"/>
      <c r="AJ496" s="14"/>
      <c r="AK496" s="14"/>
      <c r="AL496" s="19"/>
      <c r="AM496" s="19"/>
      <c r="AN496" s="19"/>
    </row>
    <row r="497">
      <c r="I497" s="121"/>
      <c r="Q497" s="10"/>
      <c r="S497" s="14"/>
      <c r="X497" s="15"/>
      <c r="Y497" s="15"/>
      <c r="Z497" s="15"/>
      <c r="AA497" s="15"/>
      <c r="AB497" s="15"/>
      <c r="AC497" s="15"/>
      <c r="AD497" s="15"/>
      <c r="AJ497" s="14"/>
      <c r="AK497" s="14"/>
      <c r="AL497" s="19"/>
      <c r="AM497" s="19"/>
      <c r="AN497" s="19"/>
    </row>
    <row r="498">
      <c r="I498" s="121"/>
      <c r="Q498" s="10"/>
      <c r="S498" s="14"/>
      <c r="X498" s="15"/>
      <c r="Y498" s="15"/>
      <c r="Z498" s="15"/>
      <c r="AA498" s="15"/>
      <c r="AB498" s="15"/>
      <c r="AC498" s="15"/>
      <c r="AD498" s="15"/>
      <c r="AJ498" s="14"/>
      <c r="AK498" s="14"/>
      <c r="AL498" s="19"/>
      <c r="AM498" s="19"/>
      <c r="AN498" s="19"/>
    </row>
    <row r="499">
      <c r="I499" s="121"/>
      <c r="Q499" s="10"/>
      <c r="S499" s="14"/>
      <c r="X499" s="15"/>
      <c r="Y499" s="15"/>
      <c r="Z499" s="15"/>
      <c r="AA499" s="15"/>
      <c r="AB499" s="15"/>
      <c r="AC499" s="15"/>
      <c r="AD499" s="15"/>
      <c r="AJ499" s="14"/>
      <c r="AK499" s="14"/>
      <c r="AL499" s="19"/>
      <c r="AM499" s="19"/>
      <c r="AN499" s="19"/>
    </row>
    <row r="500">
      <c r="I500" s="121"/>
      <c r="Q500" s="10"/>
      <c r="S500" s="14"/>
      <c r="X500" s="15"/>
      <c r="Y500" s="15"/>
      <c r="Z500" s="15"/>
      <c r="AA500" s="15"/>
      <c r="AB500" s="15"/>
      <c r="AC500" s="15"/>
      <c r="AD500" s="15"/>
      <c r="AJ500" s="14"/>
      <c r="AK500" s="14"/>
      <c r="AL500" s="19"/>
      <c r="AM500" s="19"/>
      <c r="AN500" s="19"/>
    </row>
    <row r="501">
      <c r="I501" s="121"/>
      <c r="Q501" s="10"/>
      <c r="S501" s="14"/>
      <c r="X501" s="15"/>
      <c r="Y501" s="15"/>
      <c r="Z501" s="15"/>
      <c r="AA501" s="15"/>
      <c r="AB501" s="15"/>
      <c r="AC501" s="15"/>
      <c r="AD501" s="15"/>
      <c r="AJ501" s="14"/>
      <c r="AK501" s="14"/>
      <c r="AL501" s="19"/>
      <c r="AM501" s="19"/>
      <c r="AN501" s="19"/>
    </row>
    <row r="502">
      <c r="I502" s="121"/>
      <c r="Q502" s="10"/>
      <c r="S502" s="14"/>
      <c r="X502" s="15"/>
      <c r="Y502" s="15"/>
      <c r="Z502" s="15"/>
      <c r="AA502" s="15"/>
      <c r="AB502" s="15"/>
      <c r="AC502" s="15"/>
      <c r="AD502" s="15"/>
      <c r="AJ502" s="14"/>
      <c r="AK502" s="14"/>
      <c r="AL502" s="19"/>
      <c r="AM502" s="19"/>
      <c r="AN502" s="19"/>
    </row>
    <row r="503">
      <c r="I503" s="121"/>
      <c r="Q503" s="10"/>
      <c r="S503" s="14"/>
      <c r="X503" s="15"/>
      <c r="Y503" s="15"/>
      <c r="Z503" s="15"/>
      <c r="AA503" s="15"/>
      <c r="AB503" s="15"/>
      <c r="AC503" s="15"/>
      <c r="AD503" s="15"/>
      <c r="AJ503" s="14"/>
      <c r="AK503" s="14"/>
      <c r="AL503" s="19"/>
      <c r="AM503" s="19"/>
      <c r="AN503" s="19"/>
    </row>
    <row r="504">
      <c r="I504" s="121"/>
      <c r="Q504" s="10"/>
      <c r="S504" s="14"/>
      <c r="X504" s="15"/>
      <c r="Y504" s="15"/>
      <c r="Z504" s="15"/>
      <c r="AA504" s="15"/>
      <c r="AB504" s="15"/>
      <c r="AC504" s="15"/>
      <c r="AD504" s="15"/>
      <c r="AJ504" s="14"/>
      <c r="AK504" s="14"/>
      <c r="AL504" s="19"/>
      <c r="AM504" s="19"/>
      <c r="AN504" s="19"/>
    </row>
    <row r="505">
      <c r="I505" s="121"/>
      <c r="Q505" s="10"/>
      <c r="S505" s="14"/>
      <c r="X505" s="15"/>
      <c r="Y505" s="15"/>
      <c r="Z505" s="15"/>
      <c r="AA505" s="15"/>
      <c r="AB505" s="15"/>
      <c r="AC505" s="15"/>
      <c r="AD505" s="15"/>
      <c r="AJ505" s="14"/>
      <c r="AK505" s="14"/>
      <c r="AL505" s="19"/>
      <c r="AM505" s="19"/>
      <c r="AN505" s="19"/>
    </row>
    <row r="506">
      <c r="I506" s="121"/>
      <c r="Q506" s="10"/>
      <c r="S506" s="14"/>
      <c r="X506" s="15"/>
      <c r="Y506" s="15"/>
      <c r="Z506" s="15"/>
      <c r="AA506" s="15"/>
      <c r="AB506" s="15"/>
      <c r="AC506" s="15"/>
      <c r="AD506" s="15"/>
      <c r="AJ506" s="14"/>
      <c r="AK506" s="14"/>
      <c r="AL506" s="19"/>
      <c r="AM506" s="19"/>
      <c r="AN506" s="19"/>
    </row>
    <row r="507">
      <c r="I507" s="121"/>
      <c r="Q507" s="10"/>
      <c r="S507" s="14"/>
      <c r="X507" s="15"/>
      <c r="Y507" s="15"/>
      <c r="Z507" s="15"/>
      <c r="AA507" s="15"/>
      <c r="AB507" s="15"/>
      <c r="AC507" s="15"/>
      <c r="AD507" s="15"/>
      <c r="AJ507" s="14"/>
      <c r="AK507" s="14"/>
      <c r="AL507" s="19"/>
      <c r="AM507" s="19"/>
      <c r="AN507" s="19"/>
    </row>
    <row r="508">
      <c r="I508" s="121"/>
      <c r="Q508" s="10"/>
      <c r="S508" s="14"/>
      <c r="X508" s="15"/>
      <c r="Y508" s="15"/>
      <c r="Z508" s="15"/>
      <c r="AA508" s="15"/>
      <c r="AB508" s="15"/>
      <c r="AC508" s="15"/>
      <c r="AD508" s="15"/>
      <c r="AJ508" s="14"/>
      <c r="AK508" s="14"/>
      <c r="AL508" s="19"/>
      <c r="AM508" s="19"/>
      <c r="AN508" s="19"/>
    </row>
    <row r="509">
      <c r="I509" s="121"/>
      <c r="Q509" s="10"/>
      <c r="S509" s="14"/>
      <c r="X509" s="15"/>
      <c r="Y509" s="15"/>
      <c r="Z509" s="15"/>
      <c r="AA509" s="15"/>
      <c r="AB509" s="15"/>
      <c r="AC509" s="15"/>
      <c r="AD509" s="15"/>
      <c r="AJ509" s="14"/>
      <c r="AK509" s="14"/>
      <c r="AL509" s="19"/>
      <c r="AM509" s="19"/>
      <c r="AN509" s="19"/>
    </row>
    <row r="510">
      <c r="I510" s="121"/>
      <c r="Q510" s="10"/>
      <c r="S510" s="14"/>
      <c r="X510" s="15"/>
      <c r="Y510" s="15"/>
      <c r="Z510" s="15"/>
      <c r="AA510" s="15"/>
      <c r="AB510" s="15"/>
      <c r="AC510" s="15"/>
      <c r="AD510" s="15"/>
      <c r="AJ510" s="14"/>
      <c r="AK510" s="14"/>
      <c r="AL510" s="19"/>
      <c r="AM510" s="19"/>
      <c r="AN510" s="19"/>
    </row>
    <row r="511">
      <c r="I511" s="121"/>
      <c r="Q511" s="10"/>
      <c r="S511" s="14"/>
      <c r="X511" s="15"/>
      <c r="Y511" s="15"/>
      <c r="Z511" s="15"/>
      <c r="AA511" s="15"/>
      <c r="AB511" s="15"/>
      <c r="AC511" s="15"/>
      <c r="AD511" s="15"/>
      <c r="AJ511" s="14"/>
      <c r="AK511" s="14"/>
      <c r="AL511" s="19"/>
      <c r="AM511" s="19"/>
      <c r="AN511" s="19"/>
    </row>
    <row r="512">
      <c r="I512" s="121"/>
      <c r="Q512" s="10"/>
      <c r="S512" s="14"/>
      <c r="X512" s="15"/>
      <c r="Y512" s="15"/>
      <c r="Z512" s="15"/>
      <c r="AA512" s="15"/>
      <c r="AB512" s="15"/>
      <c r="AC512" s="15"/>
      <c r="AD512" s="15"/>
      <c r="AJ512" s="14"/>
      <c r="AK512" s="14"/>
      <c r="AL512" s="19"/>
      <c r="AM512" s="19"/>
      <c r="AN512" s="19"/>
    </row>
    <row r="513">
      <c r="I513" s="121"/>
      <c r="Q513" s="10"/>
      <c r="S513" s="14"/>
      <c r="X513" s="15"/>
      <c r="Y513" s="15"/>
      <c r="Z513" s="15"/>
      <c r="AA513" s="15"/>
      <c r="AB513" s="15"/>
      <c r="AC513" s="15"/>
      <c r="AD513" s="15"/>
      <c r="AJ513" s="14"/>
      <c r="AK513" s="14"/>
      <c r="AL513" s="19"/>
      <c r="AM513" s="19"/>
      <c r="AN513" s="19"/>
    </row>
    <row r="514">
      <c r="I514" s="121"/>
      <c r="Q514" s="10"/>
      <c r="S514" s="14"/>
      <c r="X514" s="15"/>
      <c r="Y514" s="15"/>
      <c r="Z514" s="15"/>
      <c r="AA514" s="15"/>
      <c r="AB514" s="15"/>
      <c r="AC514" s="15"/>
      <c r="AD514" s="15"/>
      <c r="AJ514" s="14"/>
      <c r="AK514" s="14"/>
      <c r="AL514" s="19"/>
      <c r="AM514" s="19"/>
      <c r="AN514" s="19"/>
    </row>
    <row r="515">
      <c r="I515" s="121"/>
      <c r="Q515" s="10"/>
      <c r="S515" s="14"/>
      <c r="X515" s="15"/>
      <c r="Y515" s="15"/>
      <c r="Z515" s="15"/>
      <c r="AA515" s="15"/>
      <c r="AB515" s="15"/>
      <c r="AC515" s="15"/>
      <c r="AD515" s="15"/>
      <c r="AJ515" s="14"/>
      <c r="AK515" s="14"/>
      <c r="AL515" s="19"/>
      <c r="AM515" s="19"/>
      <c r="AN515" s="19"/>
    </row>
    <row r="516">
      <c r="I516" s="121"/>
      <c r="Q516" s="10"/>
      <c r="S516" s="14"/>
      <c r="X516" s="15"/>
      <c r="Y516" s="15"/>
      <c r="Z516" s="15"/>
      <c r="AA516" s="15"/>
      <c r="AB516" s="15"/>
      <c r="AC516" s="15"/>
      <c r="AD516" s="15"/>
      <c r="AJ516" s="14"/>
      <c r="AK516" s="14"/>
      <c r="AL516" s="19"/>
      <c r="AM516" s="19"/>
      <c r="AN516" s="19"/>
    </row>
    <row r="517">
      <c r="I517" s="121"/>
      <c r="Q517" s="10"/>
      <c r="S517" s="14"/>
      <c r="X517" s="15"/>
      <c r="Y517" s="15"/>
      <c r="Z517" s="15"/>
      <c r="AA517" s="15"/>
      <c r="AB517" s="15"/>
      <c r="AC517" s="15"/>
      <c r="AD517" s="15"/>
      <c r="AJ517" s="14"/>
      <c r="AK517" s="14"/>
      <c r="AL517" s="19"/>
      <c r="AM517" s="19"/>
      <c r="AN517" s="19"/>
    </row>
    <row r="518">
      <c r="I518" s="121"/>
      <c r="Q518" s="10"/>
      <c r="S518" s="14"/>
      <c r="X518" s="15"/>
      <c r="Y518" s="15"/>
      <c r="Z518" s="15"/>
      <c r="AA518" s="15"/>
      <c r="AB518" s="15"/>
      <c r="AC518" s="15"/>
      <c r="AD518" s="15"/>
      <c r="AJ518" s="14"/>
      <c r="AK518" s="14"/>
      <c r="AL518" s="19"/>
      <c r="AM518" s="19"/>
      <c r="AN518" s="19"/>
    </row>
    <row r="519">
      <c r="I519" s="121"/>
      <c r="Q519" s="10"/>
      <c r="S519" s="14"/>
      <c r="X519" s="15"/>
      <c r="Y519" s="15"/>
      <c r="Z519" s="15"/>
      <c r="AA519" s="15"/>
      <c r="AB519" s="15"/>
      <c r="AC519" s="15"/>
      <c r="AD519" s="15"/>
      <c r="AJ519" s="14"/>
      <c r="AK519" s="14"/>
      <c r="AL519" s="19"/>
      <c r="AM519" s="19"/>
      <c r="AN519" s="19"/>
    </row>
    <row r="520">
      <c r="I520" s="121"/>
      <c r="Q520" s="10"/>
      <c r="S520" s="14"/>
      <c r="X520" s="15"/>
      <c r="Y520" s="15"/>
      <c r="Z520" s="15"/>
      <c r="AA520" s="15"/>
      <c r="AB520" s="15"/>
      <c r="AC520" s="15"/>
      <c r="AD520" s="15"/>
      <c r="AJ520" s="14"/>
      <c r="AK520" s="14"/>
      <c r="AL520" s="19"/>
      <c r="AM520" s="19"/>
      <c r="AN520" s="19"/>
    </row>
    <row r="521">
      <c r="I521" s="121"/>
      <c r="Q521" s="10"/>
      <c r="S521" s="14"/>
      <c r="X521" s="15"/>
      <c r="Y521" s="15"/>
      <c r="Z521" s="15"/>
      <c r="AA521" s="15"/>
      <c r="AB521" s="15"/>
      <c r="AC521" s="15"/>
      <c r="AD521" s="15"/>
      <c r="AJ521" s="14"/>
      <c r="AK521" s="14"/>
      <c r="AL521" s="19"/>
      <c r="AM521" s="19"/>
      <c r="AN521" s="19"/>
    </row>
    <row r="522">
      <c r="I522" s="121"/>
      <c r="Q522" s="10"/>
      <c r="S522" s="14"/>
      <c r="X522" s="15"/>
      <c r="Y522" s="15"/>
      <c r="Z522" s="15"/>
      <c r="AA522" s="15"/>
      <c r="AB522" s="15"/>
      <c r="AC522" s="15"/>
      <c r="AD522" s="15"/>
      <c r="AJ522" s="14"/>
      <c r="AK522" s="14"/>
      <c r="AL522" s="19"/>
      <c r="AM522" s="19"/>
      <c r="AN522" s="19"/>
    </row>
    <row r="523">
      <c r="I523" s="121"/>
      <c r="Q523" s="10"/>
      <c r="S523" s="14"/>
      <c r="X523" s="15"/>
      <c r="Y523" s="15"/>
      <c r="Z523" s="15"/>
      <c r="AA523" s="15"/>
      <c r="AB523" s="15"/>
      <c r="AC523" s="15"/>
      <c r="AD523" s="15"/>
      <c r="AJ523" s="14"/>
      <c r="AK523" s="14"/>
      <c r="AL523" s="19"/>
      <c r="AM523" s="19"/>
      <c r="AN523" s="19"/>
    </row>
    <row r="524">
      <c r="I524" s="121"/>
      <c r="Q524" s="10"/>
      <c r="S524" s="14"/>
      <c r="X524" s="15"/>
      <c r="Y524" s="15"/>
      <c r="Z524" s="15"/>
      <c r="AA524" s="15"/>
      <c r="AB524" s="15"/>
      <c r="AC524" s="15"/>
      <c r="AD524" s="15"/>
      <c r="AJ524" s="14"/>
      <c r="AK524" s="14"/>
      <c r="AL524" s="19"/>
      <c r="AM524" s="19"/>
      <c r="AN524" s="19"/>
    </row>
    <row r="525">
      <c r="I525" s="121"/>
      <c r="Q525" s="10"/>
      <c r="S525" s="14"/>
      <c r="X525" s="15"/>
      <c r="Y525" s="15"/>
      <c r="Z525" s="15"/>
      <c r="AA525" s="15"/>
      <c r="AB525" s="15"/>
      <c r="AC525" s="15"/>
      <c r="AD525" s="15"/>
      <c r="AJ525" s="14"/>
      <c r="AK525" s="14"/>
      <c r="AL525" s="19"/>
      <c r="AM525" s="19"/>
      <c r="AN525" s="19"/>
    </row>
    <row r="526">
      <c r="I526" s="121"/>
      <c r="Q526" s="10"/>
      <c r="S526" s="14"/>
      <c r="X526" s="15"/>
      <c r="Y526" s="15"/>
      <c r="Z526" s="15"/>
      <c r="AA526" s="15"/>
      <c r="AB526" s="15"/>
      <c r="AC526" s="15"/>
      <c r="AD526" s="15"/>
      <c r="AJ526" s="14"/>
      <c r="AK526" s="14"/>
      <c r="AL526" s="19"/>
      <c r="AM526" s="19"/>
      <c r="AN526" s="19"/>
    </row>
    <row r="527">
      <c r="I527" s="121"/>
      <c r="Q527" s="10"/>
      <c r="S527" s="14"/>
      <c r="X527" s="15"/>
      <c r="Y527" s="15"/>
      <c r="Z527" s="15"/>
      <c r="AA527" s="15"/>
      <c r="AB527" s="15"/>
      <c r="AC527" s="15"/>
      <c r="AD527" s="15"/>
      <c r="AJ527" s="14"/>
      <c r="AK527" s="14"/>
      <c r="AL527" s="19"/>
      <c r="AM527" s="19"/>
      <c r="AN527" s="19"/>
    </row>
    <row r="528">
      <c r="I528" s="121"/>
      <c r="Q528" s="10"/>
      <c r="S528" s="14"/>
      <c r="X528" s="15"/>
      <c r="Y528" s="15"/>
      <c r="Z528" s="15"/>
      <c r="AA528" s="15"/>
      <c r="AB528" s="15"/>
      <c r="AC528" s="15"/>
      <c r="AD528" s="15"/>
      <c r="AJ528" s="14"/>
      <c r="AK528" s="14"/>
      <c r="AL528" s="19"/>
      <c r="AM528" s="19"/>
      <c r="AN528" s="19"/>
    </row>
    <row r="529">
      <c r="I529" s="121"/>
      <c r="Q529" s="10"/>
      <c r="S529" s="14"/>
      <c r="X529" s="15"/>
      <c r="Y529" s="15"/>
      <c r="Z529" s="15"/>
      <c r="AA529" s="15"/>
      <c r="AB529" s="15"/>
      <c r="AC529" s="15"/>
      <c r="AD529" s="15"/>
      <c r="AJ529" s="14"/>
      <c r="AK529" s="14"/>
      <c r="AL529" s="19"/>
      <c r="AM529" s="19"/>
      <c r="AN529" s="19"/>
    </row>
    <row r="530">
      <c r="I530" s="121"/>
      <c r="Q530" s="10"/>
      <c r="S530" s="14"/>
      <c r="X530" s="15"/>
      <c r="Y530" s="15"/>
      <c r="Z530" s="15"/>
      <c r="AA530" s="15"/>
      <c r="AB530" s="15"/>
      <c r="AC530" s="15"/>
      <c r="AD530" s="15"/>
      <c r="AJ530" s="14"/>
      <c r="AK530" s="14"/>
      <c r="AL530" s="19"/>
      <c r="AM530" s="19"/>
      <c r="AN530" s="19"/>
    </row>
    <row r="531">
      <c r="I531" s="121"/>
      <c r="Q531" s="10"/>
      <c r="S531" s="14"/>
      <c r="X531" s="15"/>
      <c r="Y531" s="15"/>
      <c r="Z531" s="15"/>
      <c r="AA531" s="15"/>
      <c r="AB531" s="15"/>
      <c r="AC531" s="15"/>
      <c r="AD531" s="15"/>
      <c r="AJ531" s="14"/>
      <c r="AK531" s="14"/>
      <c r="AL531" s="19"/>
      <c r="AM531" s="19"/>
      <c r="AN531" s="19"/>
    </row>
    <row r="532">
      <c r="I532" s="121"/>
      <c r="Q532" s="10"/>
      <c r="S532" s="14"/>
      <c r="X532" s="15"/>
      <c r="Y532" s="15"/>
      <c r="Z532" s="15"/>
      <c r="AA532" s="15"/>
      <c r="AB532" s="15"/>
      <c r="AC532" s="15"/>
      <c r="AD532" s="15"/>
      <c r="AJ532" s="14"/>
      <c r="AK532" s="14"/>
      <c r="AL532" s="19"/>
      <c r="AM532" s="19"/>
      <c r="AN532" s="19"/>
    </row>
    <row r="533">
      <c r="I533" s="121"/>
      <c r="Q533" s="10"/>
      <c r="S533" s="14"/>
      <c r="X533" s="15"/>
      <c r="Y533" s="15"/>
      <c r="Z533" s="15"/>
      <c r="AA533" s="15"/>
      <c r="AB533" s="15"/>
      <c r="AC533" s="15"/>
      <c r="AD533" s="15"/>
      <c r="AJ533" s="14"/>
      <c r="AK533" s="14"/>
      <c r="AL533" s="19"/>
      <c r="AM533" s="19"/>
      <c r="AN533" s="19"/>
    </row>
    <row r="534">
      <c r="I534" s="121"/>
      <c r="Q534" s="10"/>
      <c r="S534" s="14"/>
      <c r="X534" s="15"/>
      <c r="Y534" s="15"/>
      <c r="Z534" s="15"/>
      <c r="AA534" s="15"/>
      <c r="AB534" s="15"/>
      <c r="AC534" s="15"/>
      <c r="AD534" s="15"/>
      <c r="AJ534" s="14"/>
      <c r="AK534" s="14"/>
      <c r="AL534" s="19"/>
      <c r="AM534" s="19"/>
      <c r="AN534" s="19"/>
    </row>
    <row r="535">
      <c r="I535" s="121"/>
      <c r="Q535" s="10"/>
      <c r="S535" s="14"/>
      <c r="X535" s="15"/>
      <c r="Y535" s="15"/>
      <c r="Z535" s="15"/>
      <c r="AA535" s="15"/>
      <c r="AB535" s="15"/>
      <c r="AC535" s="15"/>
      <c r="AD535" s="15"/>
      <c r="AJ535" s="14"/>
      <c r="AK535" s="14"/>
      <c r="AL535" s="19"/>
      <c r="AM535" s="19"/>
      <c r="AN535" s="19"/>
    </row>
    <row r="536">
      <c r="I536" s="121"/>
      <c r="Q536" s="10"/>
      <c r="S536" s="14"/>
      <c r="X536" s="15"/>
      <c r="Y536" s="15"/>
      <c r="Z536" s="15"/>
      <c r="AA536" s="15"/>
      <c r="AB536" s="15"/>
      <c r="AC536" s="15"/>
      <c r="AD536" s="15"/>
      <c r="AJ536" s="14"/>
      <c r="AK536" s="14"/>
      <c r="AL536" s="19"/>
      <c r="AM536" s="19"/>
      <c r="AN536" s="19"/>
    </row>
    <row r="537">
      <c r="I537" s="121"/>
      <c r="Q537" s="10"/>
      <c r="S537" s="14"/>
      <c r="X537" s="15"/>
      <c r="Y537" s="15"/>
      <c r="Z537" s="15"/>
      <c r="AA537" s="15"/>
      <c r="AB537" s="15"/>
      <c r="AC537" s="15"/>
      <c r="AD537" s="15"/>
      <c r="AJ537" s="14"/>
      <c r="AK537" s="14"/>
      <c r="AL537" s="19"/>
      <c r="AM537" s="19"/>
      <c r="AN537" s="19"/>
    </row>
    <row r="538">
      <c r="I538" s="121"/>
      <c r="Q538" s="10"/>
      <c r="S538" s="14"/>
      <c r="X538" s="15"/>
      <c r="Y538" s="15"/>
      <c r="Z538" s="15"/>
      <c r="AA538" s="15"/>
      <c r="AB538" s="15"/>
      <c r="AC538" s="15"/>
      <c r="AD538" s="15"/>
      <c r="AJ538" s="14"/>
      <c r="AK538" s="14"/>
      <c r="AL538" s="19"/>
      <c r="AM538" s="19"/>
      <c r="AN538" s="19"/>
    </row>
    <row r="539">
      <c r="I539" s="121"/>
      <c r="Q539" s="10"/>
      <c r="S539" s="14"/>
      <c r="X539" s="15"/>
      <c r="Y539" s="15"/>
      <c r="Z539" s="15"/>
      <c r="AA539" s="15"/>
      <c r="AB539" s="15"/>
      <c r="AC539" s="15"/>
      <c r="AD539" s="15"/>
      <c r="AJ539" s="14"/>
      <c r="AK539" s="14"/>
      <c r="AL539" s="19"/>
      <c r="AM539" s="19"/>
      <c r="AN539" s="19"/>
    </row>
    <row r="540">
      <c r="I540" s="121"/>
      <c r="Q540" s="10"/>
      <c r="S540" s="14"/>
      <c r="X540" s="15"/>
      <c r="Y540" s="15"/>
      <c r="Z540" s="15"/>
      <c r="AA540" s="15"/>
      <c r="AB540" s="15"/>
      <c r="AC540" s="15"/>
      <c r="AD540" s="15"/>
      <c r="AJ540" s="14"/>
      <c r="AK540" s="14"/>
      <c r="AL540" s="19"/>
      <c r="AM540" s="19"/>
      <c r="AN540" s="19"/>
    </row>
    <row r="541">
      <c r="I541" s="121"/>
      <c r="Q541" s="10"/>
      <c r="S541" s="14"/>
      <c r="X541" s="15"/>
      <c r="Y541" s="15"/>
      <c r="Z541" s="15"/>
      <c r="AA541" s="15"/>
      <c r="AB541" s="15"/>
      <c r="AC541" s="15"/>
      <c r="AD541" s="15"/>
      <c r="AJ541" s="14"/>
      <c r="AK541" s="14"/>
      <c r="AL541" s="19"/>
      <c r="AM541" s="19"/>
      <c r="AN541" s="19"/>
    </row>
    <row r="542">
      <c r="I542" s="121"/>
      <c r="Q542" s="10"/>
      <c r="S542" s="14"/>
      <c r="X542" s="15"/>
      <c r="Y542" s="15"/>
      <c r="Z542" s="15"/>
      <c r="AA542" s="15"/>
      <c r="AB542" s="15"/>
      <c r="AC542" s="15"/>
      <c r="AD542" s="15"/>
      <c r="AJ542" s="14"/>
      <c r="AK542" s="14"/>
      <c r="AL542" s="19"/>
      <c r="AM542" s="19"/>
      <c r="AN542" s="19"/>
    </row>
    <row r="543">
      <c r="I543" s="121"/>
      <c r="Q543" s="10"/>
      <c r="S543" s="14"/>
      <c r="X543" s="15"/>
      <c r="Y543" s="15"/>
      <c r="Z543" s="15"/>
      <c r="AA543" s="15"/>
      <c r="AB543" s="15"/>
      <c r="AC543" s="15"/>
      <c r="AD543" s="15"/>
      <c r="AJ543" s="14"/>
      <c r="AK543" s="14"/>
      <c r="AL543" s="19"/>
      <c r="AM543" s="19"/>
      <c r="AN543" s="19"/>
    </row>
    <row r="544">
      <c r="I544" s="121"/>
      <c r="Q544" s="10"/>
      <c r="S544" s="14"/>
      <c r="X544" s="15"/>
      <c r="Y544" s="15"/>
      <c r="Z544" s="15"/>
      <c r="AA544" s="15"/>
      <c r="AB544" s="15"/>
      <c r="AC544" s="15"/>
      <c r="AD544" s="15"/>
      <c r="AJ544" s="14"/>
      <c r="AK544" s="14"/>
      <c r="AL544" s="19"/>
      <c r="AM544" s="19"/>
      <c r="AN544" s="19"/>
    </row>
    <row r="545">
      <c r="I545" s="121"/>
      <c r="Q545" s="10"/>
      <c r="S545" s="14"/>
      <c r="X545" s="15"/>
      <c r="Y545" s="15"/>
      <c r="Z545" s="15"/>
      <c r="AA545" s="15"/>
      <c r="AB545" s="15"/>
      <c r="AC545" s="15"/>
      <c r="AD545" s="15"/>
      <c r="AJ545" s="14"/>
      <c r="AK545" s="14"/>
      <c r="AL545" s="19"/>
      <c r="AM545" s="19"/>
      <c r="AN545" s="19"/>
    </row>
    <row r="546">
      <c r="I546" s="121"/>
      <c r="Q546" s="10"/>
      <c r="S546" s="14"/>
      <c r="X546" s="15"/>
      <c r="Y546" s="15"/>
      <c r="Z546" s="15"/>
      <c r="AA546" s="15"/>
      <c r="AB546" s="15"/>
      <c r="AC546" s="15"/>
      <c r="AD546" s="15"/>
      <c r="AJ546" s="14"/>
      <c r="AK546" s="14"/>
      <c r="AL546" s="19"/>
      <c r="AM546" s="19"/>
      <c r="AN546" s="19"/>
    </row>
    <row r="547">
      <c r="I547" s="121"/>
      <c r="Q547" s="10"/>
      <c r="S547" s="14"/>
      <c r="X547" s="15"/>
      <c r="Y547" s="15"/>
      <c r="Z547" s="15"/>
      <c r="AA547" s="15"/>
      <c r="AB547" s="15"/>
      <c r="AC547" s="15"/>
      <c r="AD547" s="15"/>
      <c r="AJ547" s="14"/>
      <c r="AK547" s="14"/>
      <c r="AL547" s="19"/>
      <c r="AM547" s="19"/>
      <c r="AN547" s="19"/>
    </row>
    <row r="548">
      <c r="I548" s="121"/>
      <c r="Q548" s="10"/>
      <c r="S548" s="14"/>
      <c r="X548" s="15"/>
      <c r="Y548" s="15"/>
      <c r="Z548" s="15"/>
      <c r="AA548" s="15"/>
      <c r="AB548" s="15"/>
      <c r="AC548" s="15"/>
      <c r="AD548" s="15"/>
      <c r="AJ548" s="14"/>
      <c r="AK548" s="14"/>
      <c r="AL548" s="19"/>
      <c r="AM548" s="19"/>
      <c r="AN548" s="19"/>
    </row>
    <row r="549">
      <c r="I549" s="121"/>
      <c r="Q549" s="10"/>
      <c r="S549" s="14"/>
      <c r="X549" s="15"/>
      <c r="Y549" s="15"/>
      <c r="Z549" s="15"/>
      <c r="AA549" s="15"/>
      <c r="AB549" s="15"/>
      <c r="AC549" s="15"/>
      <c r="AD549" s="15"/>
      <c r="AJ549" s="14"/>
      <c r="AK549" s="14"/>
      <c r="AL549" s="19"/>
      <c r="AM549" s="19"/>
      <c r="AN549" s="19"/>
    </row>
    <row r="550">
      <c r="I550" s="121"/>
      <c r="Q550" s="10"/>
      <c r="S550" s="14"/>
      <c r="X550" s="15"/>
      <c r="Y550" s="15"/>
      <c r="Z550" s="15"/>
      <c r="AA550" s="15"/>
      <c r="AB550" s="15"/>
      <c r="AC550" s="15"/>
      <c r="AD550" s="15"/>
      <c r="AJ550" s="14"/>
      <c r="AK550" s="14"/>
      <c r="AL550" s="19"/>
      <c r="AM550" s="19"/>
      <c r="AN550" s="19"/>
    </row>
    <row r="551">
      <c r="I551" s="121"/>
      <c r="Q551" s="10"/>
      <c r="S551" s="14"/>
      <c r="X551" s="15"/>
      <c r="Y551" s="15"/>
      <c r="Z551" s="15"/>
      <c r="AA551" s="15"/>
      <c r="AB551" s="15"/>
      <c r="AC551" s="15"/>
      <c r="AD551" s="15"/>
      <c r="AJ551" s="14"/>
      <c r="AK551" s="14"/>
      <c r="AL551" s="19"/>
      <c r="AM551" s="19"/>
      <c r="AN551" s="19"/>
    </row>
    <row r="552">
      <c r="I552" s="121"/>
      <c r="Q552" s="10"/>
      <c r="S552" s="14"/>
      <c r="X552" s="15"/>
      <c r="Y552" s="15"/>
      <c r="Z552" s="15"/>
      <c r="AA552" s="15"/>
      <c r="AB552" s="15"/>
      <c r="AC552" s="15"/>
      <c r="AD552" s="15"/>
      <c r="AJ552" s="14"/>
      <c r="AK552" s="14"/>
      <c r="AL552" s="19"/>
      <c r="AM552" s="19"/>
      <c r="AN552" s="19"/>
    </row>
    <row r="553">
      <c r="I553" s="121"/>
      <c r="Q553" s="10"/>
      <c r="S553" s="14"/>
      <c r="X553" s="15"/>
      <c r="Y553" s="15"/>
      <c r="Z553" s="15"/>
      <c r="AA553" s="15"/>
      <c r="AB553" s="15"/>
      <c r="AC553" s="15"/>
      <c r="AD553" s="15"/>
      <c r="AJ553" s="14"/>
      <c r="AK553" s="14"/>
      <c r="AL553" s="19"/>
      <c r="AM553" s="19"/>
      <c r="AN553" s="19"/>
    </row>
    <row r="554">
      <c r="I554" s="121"/>
      <c r="Q554" s="10"/>
      <c r="S554" s="14"/>
      <c r="X554" s="15"/>
      <c r="Y554" s="15"/>
      <c r="Z554" s="15"/>
      <c r="AA554" s="15"/>
      <c r="AB554" s="15"/>
      <c r="AC554" s="15"/>
      <c r="AD554" s="15"/>
      <c r="AJ554" s="14"/>
      <c r="AK554" s="14"/>
      <c r="AL554" s="19"/>
      <c r="AM554" s="19"/>
      <c r="AN554" s="19"/>
    </row>
    <row r="555">
      <c r="I555" s="121"/>
      <c r="Q555" s="10"/>
      <c r="S555" s="14"/>
      <c r="X555" s="15"/>
      <c r="Y555" s="15"/>
      <c r="Z555" s="15"/>
      <c r="AA555" s="15"/>
      <c r="AB555" s="15"/>
      <c r="AC555" s="15"/>
      <c r="AD555" s="15"/>
      <c r="AJ555" s="14"/>
      <c r="AK555" s="14"/>
      <c r="AL555" s="19"/>
      <c r="AM555" s="19"/>
      <c r="AN555" s="19"/>
    </row>
    <row r="556">
      <c r="I556" s="121"/>
      <c r="Q556" s="10"/>
      <c r="S556" s="14"/>
      <c r="X556" s="15"/>
      <c r="Y556" s="15"/>
      <c r="Z556" s="15"/>
      <c r="AA556" s="15"/>
      <c r="AB556" s="15"/>
      <c r="AC556" s="15"/>
      <c r="AD556" s="15"/>
      <c r="AJ556" s="14"/>
      <c r="AK556" s="14"/>
      <c r="AL556" s="19"/>
      <c r="AM556" s="19"/>
      <c r="AN556" s="19"/>
    </row>
    <row r="557">
      <c r="I557" s="121"/>
      <c r="Q557" s="10"/>
      <c r="S557" s="14"/>
      <c r="X557" s="15"/>
      <c r="Y557" s="15"/>
      <c r="Z557" s="15"/>
      <c r="AA557" s="15"/>
      <c r="AB557" s="15"/>
      <c r="AC557" s="15"/>
      <c r="AD557" s="15"/>
      <c r="AJ557" s="14"/>
      <c r="AK557" s="14"/>
      <c r="AL557" s="19"/>
      <c r="AM557" s="19"/>
      <c r="AN557" s="19"/>
    </row>
    <row r="558">
      <c r="I558" s="121"/>
      <c r="Q558" s="10"/>
      <c r="S558" s="14"/>
      <c r="X558" s="15"/>
      <c r="Y558" s="15"/>
      <c r="Z558" s="15"/>
      <c r="AA558" s="15"/>
      <c r="AB558" s="15"/>
      <c r="AC558" s="15"/>
      <c r="AD558" s="15"/>
      <c r="AJ558" s="14"/>
      <c r="AK558" s="14"/>
      <c r="AL558" s="19"/>
      <c r="AM558" s="19"/>
      <c r="AN558" s="19"/>
    </row>
    <row r="559">
      <c r="I559" s="121"/>
      <c r="Q559" s="10"/>
      <c r="S559" s="14"/>
      <c r="X559" s="15"/>
      <c r="Y559" s="15"/>
      <c r="Z559" s="15"/>
      <c r="AA559" s="15"/>
      <c r="AB559" s="15"/>
      <c r="AC559" s="15"/>
      <c r="AD559" s="15"/>
      <c r="AJ559" s="14"/>
      <c r="AK559" s="14"/>
      <c r="AL559" s="19"/>
      <c r="AM559" s="19"/>
      <c r="AN559" s="19"/>
    </row>
    <row r="560">
      <c r="I560" s="121"/>
      <c r="Q560" s="10"/>
      <c r="S560" s="14"/>
      <c r="X560" s="15"/>
      <c r="Y560" s="15"/>
      <c r="Z560" s="15"/>
      <c r="AA560" s="15"/>
      <c r="AB560" s="15"/>
      <c r="AC560" s="15"/>
      <c r="AD560" s="15"/>
      <c r="AJ560" s="14"/>
      <c r="AK560" s="14"/>
      <c r="AL560" s="19"/>
      <c r="AM560" s="19"/>
      <c r="AN560" s="19"/>
    </row>
    <row r="561">
      <c r="I561" s="121"/>
      <c r="Q561" s="10"/>
      <c r="S561" s="14"/>
      <c r="X561" s="15"/>
      <c r="Y561" s="15"/>
      <c r="Z561" s="15"/>
      <c r="AA561" s="15"/>
      <c r="AB561" s="15"/>
      <c r="AC561" s="15"/>
      <c r="AD561" s="15"/>
      <c r="AJ561" s="14"/>
      <c r="AK561" s="14"/>
      <c r="AL561" s="19"/>
      <c r="AM561" s="19"/>
      <c r="AN561" s="19"/>
    </row>
    <row r="562">
      <c r="I562" s="121"/>
      <c r="Q562" s="10"/>
      <c r="S562" s="14"/>
      <c r="X562" s="15"/>
      <c r="Y562" s="15"/>
      <c r="Z562" s="15"/>
      <c r="AA562" s="15"/>
      <c r="AB562" s="15"/>
      <c r="AC562" s="15"/>
      <c r="AD562" s="15"/>
      <c r="AJ562" s="14"/>
      <c r="AK562" s="14"/>
      <c r="AL562" s="19"/>
      <c r="AM562" s="19"/>
      <c r="AN562" s="19"/>
    </row>
    <row r="563">
      <c r="I563" s="121"/>
      <c r="Q563" s="10"/>
      <c r="S563" s="14"/>
      <c r="X563" s="15"/>
      <c r="Y563" s="15"/>
      <c r="Z563" s="15"/>
      <c r="AA563" s="15"/>
      <c r="AB563" s="15"/>
      <c r="AC563" s="15"/>
      <c r="AD563" s="15"/>
      <c r="AJ563" s="14"/>
      <c r="AK563" s="14"/>
      <c r="AL563" s="19"/>
      <c r="AM563" s="19"/>
      <c r="AN563" s="19"/>
    </row>
    <row r="564">
      <c r="I564" s="121"/>
      <c r="Q564" s="10"/>
      <c r="S564" s="14"/>
      <c r="X564" s="15"/>
      <c r="Y564" s="15"/>
      <c r="Z564" s="15"/>
      <c r="AA564" s="15"/>
      <c r="AB564" s="15"/>
      <c r="AC564" s="15"/>
      <c r="AD564" s="15"/>
      <c r="AJ564" s="14"/>
      <c r="AK564" s="14"/>
      <c r="AL564" s="19"/>
      <c r="AM564" s="19"/>
      <c r="AN564" s="19"/>
    </row>
    <row r="565">
      <c r="I565" s="121"/>
      <c r="Q565" s="10"/>
      <c r="S565" s="14"/>
      <c r="X565" s="15"/>
      <c r="Y565" s="15"/>
      <c r="Z565" s="15"/>
      <c r="AA565" s="15"/>
      <c r="AB565" s="15"/>
      <c r="AC565" s="15"/>
      <c r="AD565" s="15"/>
      <c r="AJ565" s="14"/>
      <c r="AK565" s="14"/>
      <c r="AL565" s="19"/>
      <c r="AM565" s="19"/>
      <c r="AN565" s="19"/>
    </row>
    <row r="566">
      <c r="I566" s="121"/>
      <c r="Q566" s="10"/>
      <c r="S566" s="14"/>
      <c r="X566" s="15"/>
      <c r="Y566" s="15"/>
      <c r="Z566" s="15"/>
      <c r="AA566" s="15"/>
      <c r="AB566" s="15"/>
      <c r="AC566" s="15"/>
      <c r="AD566" s="15"/>
      <c r="AJ566" s="14"/>
      <c r="AK566" s="14"/>
      <c r="AL566" s="19"/>
      <c r="AM566" s="19"/>
      <c r="AN566" s="19"/>
    </row>
    <row r="567">
      <c r="I567" s="121"/>
      <c r="Q567" s="10"/>
      <c r="S567" s="14"/>
      <c r="X567" s="15"/>
      <c r="Y567" s="15"/>
      <c r="Z567" s="15"/>
      <c r="AA567" s="15"/>
      <c r="AB567" s="15"/>
      <c r="AC567" s="15"/>
      <c r="AD567" s="15"/>
      <c r="AJ567" s="14"/>
      <c r="AK567" s="14"/>
      <c r="AL567" s="19"/>
      <c r="AM567" s="19"/>
      <c r="AN567" s="19"/>
    </row>
    <row r="568">
      <c r="I568" s="121"/>
      <c r="Q568" s="10"/>
      <c r="S568" s="14"/>
      <c r="X568" s="15"/>
      <c r="Y568" s="15"/>
      <c r="Z568" s="15"/>
      <c r="AA568" s="15"/>
      <c r="AB568" s="15"/>
      <c r="AC568" s="15"/>
      <c r="AD568" s="15"/>
      <c r="AJ568" s="14"/>
      <c r="AK568" s="14"/>
      <c r="AL568" s="19"/>
      <c r="AM568" s="19"/>
      <c r="AN568" s="19"/>
    </row>
    <row r="569">
      <c r="I569" s="121"/>
      <c r="Q569" s="10"/>
      <c r="S569" s="14"/>
      <c r="X569" s="15"/>
      <c r="Y569" s="15"/>
      <c r="Z569" s="15"/>
      <c r="AA569" s="15"/>
      <c r="AB569" s="15"/>
      <c r="AC569" s="15"/>
      <c r="AD569" s="15"/>
      <c r="AJ569" s="14"/>
      <c r="AK569" s="14"/>
      <c r="AL569" s="19"/>
      <c r="AM569" s="19"/>
      <c r="AN569" s="19"/>
    </row>
    <row r="570">
      <c r="I570" s="121"/>
      <c r="Q570" s="10"/>
      <c r="S570" s="14"/>
      <c r="X570" s="15"/>
      <c r="Y570" s="15"/>
      <c r="Z570" s="15"/>
      <c r="AA570" s="15"/>
      <c r="AB570" s="15"/>
      <c r="AC570" s="15"/>
      <c r="AD570" s="15"/>
      <c r="AJ570" s="14"/>
      <c r="AK570" s="14"/>
      <c r="AL570" s="19"/>
      <c r="AM570" s="19"/>
      <c r="AN570" s="19"/>
    </row>
    <row r="571">
      <c r="I571" s="121"/>
      <c r="Q571" s="10"/>
      <c r="S571" s="14"/>
      <c r="X571" s="15"/>
      <c r="Y571" s="15"/>
      <c r="Z571" s="15"/>
      <c r="AA571" s="15"/>
      <c r="AB571" s="15"/>
      <c r="AC571" s="15"/>
      <c r="AD571" s="15"/>
      <c r="AJ571" s="14"/>
      <c r="AK571" s="14"/>
      <c r="AL571" s="19"/>
      <c r="AM571" s="19"/>
      <c r="AN571" s="19"/>
    </row>
    <row r="572">
      <c r="I572" s="121"/>
      <c r="Q572" s="10"/>
      <c r="S572" s="14"/>
      <c r="X572" s="15"/>
      <c r="Y572" s="15"/>
      <c r="Z572" s="15"/>
      <c r="AA572" s="15"/>
      <c r="AB572" s="15"/>
      <c r="AC572" s="15"/>
      <c r="AD572" s="15"/>
      <c r="AJ572" s="14"/>
      <c r="AK572" s="14"/>
      <c r="AL572" s="19"/>
      <c r="AM572" s="19"/>
      <c r="AN572" s="19"/>
    </row>
    <row r="573">
      <c r="I573" s="121"/>
      <c r="Q573" s="10"/>
      <c r="S573" s="14"/>
      <c r="X573" s="15"/>
      <c r="Y573" s="15"/>
      <c r="Z573" s="15"/>
      <c r="AA573" s="15"/>
      <c r="AB573" s="15"/>
      <c r="AC573" s="15"/>
      <c r="AD573" s="15"/>
      <c r="AJ573" s="14"/>
      <c r="AK573" s="14"/>
      <c r="AL573" s="19"/>
      <c r="AM573" s="19"/>
      <c r="AN573" s="19"/>
    </row>
    <row r="574">
      <c r="I574" s="121"/>
      <c r="Q574" s="10"/>
      <c r="S574" s="14"/>
      <c r="X574" s="15"/>
      <c r="Y574" s="15"/>
      <c r="Z574" s="15"/>
      <c r="AA574" s="15"/>
      <c r="AB574" s="15"/>
      <c r="AC574" s="15"/>
      <c r="AD574" s="15"/>
      <c r="AJ574" s="14"/>
      <c r="AK574" s="14"/>
      <c r="AL574" s="19"/>
      <c r="AM574" s="19"/>
      <c r="AN574" s="19"/>
    </row>
    <row r="575">
      <c r="I575" s="121"/>
      <c r="Q575" s="10"/>
      <c r="S575" s="14"/>
      <c r="X575" s="15"/>
      <c r="Y575" s="15"/>
      <c r="Z575" s="15"/>
      <c r="AA575" s="15"/>
      <c r="AB575" s="15"/>
      <c r="AC575" s="15"/>
      <c r="AD575" s="15"/>
      <c r="AJ575" s="14"/>
      <c r="AK575" s="14"/>
      <c r="AL575" s="19"/>
      <c r="AM575" s="19"/>
      <c r="AN575" s="19"/>
    </row>
    <row r="576">
      <c r="I576" s="121"/>
      <c r="Q576" s="10"/>
      <c r="S576" s="14"/>
      <c r="X576" s="15"/>
      <c r="Y576" s="15"/>
      <c r="Z576" s="15"/>
      <c r="AA576" s="15"/>
      <c r="AB576" s="15"/>
      <c r="AC576" s="15"/>
      <c r="AD576" s="15"/>
      <c r="AJ576" s="14"/>
      <c r="AK576" s="14"/>
      <c r="AL576" s="19"/>
      <c r="AM576" s="19"/>
      <c r="AN576" s="19"/>
    </row>
    <row r="577">
      <c r="I577" s="121"/>
      <c r="Q577" s="10"/>
      <c r="S577" s="14"/>
      <c r="X577" s="15"/>
      <c r="Y577" s="15"/>
      <c r="Z577" s="15"/>
      <c r="AA577" s="15"/>
      <c r="AB577" s="15"/>
      <c r="AC577" s="15"/>
      <c r="AD577" s="15"/>
      <c r="AJ577" s="14"/>
      <c r="AK577" s="14"/>
      <c r="AL577" s="19"/>
      <c r="AM577" s="19"/>
      <c r="AN577" s="19"/>
    </row>
    <row r="578">
      <c r="I578" s="121"/>
      <c r="Q578" s="10"/>
      <c r="S578" s="14"/>
      <c r="X578" s="15"/>
      <c r="Y578" s="15"/>
      <c r="Z578" s="15"/>
      <c r="AA578" s="15"/>
      <c r="AB578" s="15"/>
      <c r="AC578" s="15"/>
      <c r="AD578" s="15"/>
      <c r="AJ578" s="14"/>
      <c r="AK578" s="14"/>
      <c r="AL578" s="19"/>
      <c r="AM578" s="19"/>
      <c r="AN578" s="19"/>
    </row>
    <row r="579">
      <c r="I579" s="121"/>
      <c r="Q579" s="10"/>
      <c r="S579" s="14"/>
      <c r="X579" s="15"/>
      <c r="Y579" s="15"/>
      <c r="Z579" s="15"/>
      <c r="AA579" s="15"/>
      <c r="AB579" s="15"/>
      <c r="AC579" s="15"/>
      <c r="AD579" s="15"/>
      <c r="AJ579" s="14"/>
      <c r="AK579" s="14"/>
      <c r="AL579" s="19"/>
      <c r="AM579" s="19"/>
      <c r="AN579" s="19"/>
    </row>
    <row r="580">
      <c r="I580" s="121"/>
      <c r="Q580" s="10"/>
      <c r="S580" s="14"/>
      <c r="X580" s="15"/>
      <c r="Y580" s="15"/>
      <c r="Z580" s="15"/>
      <c r="AA580" s="15"/>
      <c r="AB580" s="15"/>
      <c r="AC580" s="15"/>
      <c r="AD580" s="15"/>
      <c r="AJ580" s="14"/>
      <c r="AK580" s="14"/>
      <c r="AL580" s="19"/>
      <c r="AM580" s="19"/>
      <c r="AN580" s="19"/>
    </row>
    <row r="581">
      <c r="I581" s="121"/>
      <c r="Q581" s="10"/>
      <c r="S581" s="14"/>
      <c r="X581" s="15"/>
      <c r="Y581" s="15"/>
      <c r="Z581" s="15"/>
      <c r="AA581" s="15"/>
      <c r="AB581" s="15"/>
      <c r="AC581" s="15"/>
      <c r="AD581" s="15"/>
      <c r="AJ581" s="14"/>
      <c r="AK581" s="14"/>
      <c r="AL581" s="19"/>
      <c r="AM581" s="19"/>
      <c r="AN581" s="19"/>
    </row>
    <row r="582">
      <c r="I582" s="121"/>
      <c r="Q582" s="10"/>
      <c r="S582" s="14"/>
      <c r="X582" s="15"/>
      <c r="Y582" s="15"/>
      <c r="Z582" s="15"/>
      <c r="AA582" s="15"/>
      <c r="AB582" s="15"/>
      <c r="AC582" s="15"/>
      <c r="AD582" s="15"/>
      <c r="AJ582" s="14"/>
      <c r="AK582" s="14"/>
      <c r="AL582" s="19"/>
      <c r="AM582" s="19"/>
      <c r="AN582" s="19"/>
    </row>
    <row r="583">
      <c r="I583" s="121"/>
      <c r="Q583" s="10"/>
      <c r="S583" s="14"/>
      <c r="X583" s="15"/>
      <c r="Y583" s="15"/>
      <c r="Z583" s="15"/>
      <c r="AA583" s="15"/>
      <c r="AB583" s="15"/>
      <c r="AC583" s="15"/>
      <c r="AD583" s="15"/>
      <c r="AJ583" s="14"/>
      <c r="AK583" s="14"/>
      <c r="AL583" s="19"/>
      <c r="AM583" s="19"/>
      <c r="AN583" s="19"/>
    </row>
    <row r="584">
      <c r="I584" s="121"/>
      <c r="Q584" s="10"/>
      <c r="S584" s="14"/>
      <c r="X584" s="15"/>
      <c r="Y584" s="15"/>
      <c r="Z584" s="15"/>
      <c r="AA584" s="15"/>
      <c r="AB584" s="15"/>
      <c r="AC584" s="15"/>
      <c r="AD584" s="15"/>
      <c r="AJ584" s="14"/>
      <c r="AK584" s="14"/>
      <c r="AL584" s="19"/>
      <c r="AM584" s="19"/>
      <c r="AN584" s="19"/>
    </row>
    <row r="585">
      <c r="I585" s="121"/>
      <c r="Q585" s="10"/>
      <c r="S585" s="14"/>
      <c r="X585" s="15"/>
      <c r="Y585" s="15"/>
      <c r="Z585" s="15"/>
      <c r="AA585" s="15"/>
      <c r="AB585" s="15"/>
      <c r="AC585" s="15"/>
      <c r="AD585" s="15"/>
      <c r="AJ585" s="14"/>
      <c r="AK585" s="14"/>
      <c r="AL585" s="19"/>
      <c r="AM585" s="19"/>
      <c r="AN585" s="19"/>
    </row>
    <row r="586">
      <c r="I586" s="121"/>
      <c r="Q586" s="10"/>
      <c r="S586" s="14"/>
      <c r="X586" s="15"/>
      <c r="Y586" s="15"/>
      <c r="Z586" s="15"/>
      <c r="AA586" s="15"/>
      <c r="AB586" s="15"/>
      <c r="AC586" s="15"/>
      <c r="AD586" s="15"/>
      <c r="AJ586" s="14"/>
      <c r="AK586" s="14"/>
      <c r="AL586" s="19"/>
      <c r="AM586" s="19"/>
      <c r="AN586" s="19"/>
    </row>
    <row r="587">
      <c r="I587" s="121"/>
      <c r="Q587" s="10"/>
      <c r="S587" s="14"/>
      <c r="X587" s="15"/>
      <c r="Y587" s="15"/>
      <c r="Z587" s="15"/>
      <c r="AA587" s="15"/>
      <c r="AB587" s="15"/>
      <c r="AC587" s="15"/>
      <c r="AD587" s="15"/>
      <c r="AJ587" s="14"/>
      <c r="AK587" s="14"/>
      <c r="AL587" s="19"/>
      <c r="AM587" s="19"/>
      <c r="AN587" s="19"/>
    </row>
    <row r="588">
      <c r="I588" s="121"/>
      <c r="Q588" s="10"/>
      <c r="S588" s="14"/>
      <c r="X588" s="15"/>
      <c r="Y588" s="15"/>
      <c r="Z588" s="15"/>
      <c r="AA588" s="15"/>
      <c r="AB588" s="15"/>
      <c r="AC588" s="15"/>
      <c r="AD588" s="15"/>
      <c r="AJ588" s="14"/>
      <c r="AK588" s="14"/>
      <c r="AL588" s="19"/>
      <c r="AM588" s="19"/>
      <c r="AN588" s="19"/>
    </row>
    <row r="589">
      <c r="I589" s="121"/>
      <c r="Q589" s="10"/>
      <c r="S589" s="14"/>
      <c r="X589" s="15"/>
      <c r="Y589" s="15"/>
      <c r="Z589" s="15"/>
      <c r="AA589" s="15"/>
      <c r="AB589" s="15"/>
      <c r="AC589" s="15"/>
      <c r="AD589" s="15"/>
      <c r="AJ589" s="14"/>
      <c r="AK589" s="14"/>
      <c r="AL589" s="19"/>
      <c r="AM589" s="19"/>
      <c r="AN589" s="19"/>
    </row>
    <row r="590">
      <c r="I590" s="121"/>
      <c r="Q590" s="10"/>
      <c r="S590" s="14"/>
      <c r="X590" s="15"/>
      <c r="Y590" s="15"/>
      <c r="Z590" s="15"/>
      <c r="AA590" s="15"/>
      <c r="AB590" s="15"/>
      <c r="AC590" s="15"/>
      <c r="AD590" s="15"/>
      <c r="AJ590" s="14"/>
      <c r="AK590" s="14"/>
      <c r="AL590" s="19"/>
      <c r="AM590" s="19"/>
      <c r="AN590" s="19"/>
    </row>
    <row r="591">
      <c r="I591" s="121"/>
      <c r="Q591" s="10"/>
      <c r="S591" s="14"/>
      <c r="X591" s="15"/>
      <c r="Y591" s="15"/>
      <c r="Z591" s="15"/>
      <c r="AA591" s="15"/>
      <c r="AB591" s="15"/>
      <c r="AC591" s="15"/>
      <c r="AD591" s="15"/>
      <c r="AJ591" s="14"/>
      <c r="AK591" s="14"/>
      <c r="AL591" s="19"/>
      <c r="AM591" s="19"/>
      <c r="AN591" s="19"/>
    </row>
    <row r="592">
      <c r="I592" s="121"/>
      <c r="Q592" s="10"/>
      <c r="S592" s="14"/>
      <c r="X592" s="15"/>
      <c r="Y592" s="15"/>
      <c r="Z592" s="15"/>
      <c r="AA592" s="15"/>
      <c r="AB592" s="15"/>
      <c r="AC592" s="15"/>
      <c r="AD592" s="15"/>
      <c r="AJ592" s="14"/>
      <c r="AK592" s="14"/>
      <c r="AL592" s="19"/>
      <c r="AM592" s="19"/>
      <c r="AN592" s="19"/>
    </row>
    <row r="593">
      <c r="I593" s="121"/>
      <c r="Q593" s="10"/>
      <c r="S593" s="14"/>
      <c r="X593" s="15"/>
      <c r="Y593" s="15"/>
      <c r="Z593" s="15"/>
      <c r="AA593" s="15"/>
      <c r="AB593" s="15"/>
      <c r="AC593" s="15"/>
      <c r="AD593" s="15"/>
      <c r="AJ593" s="14"/>
      <c r="AK593" s="14"/>
      <c r="AL593" s="19"/>
      <c r="AM593" s="19"/>
      <c r="AN593" s="19"/>
    </row>
    <row r="594">
      <c r="I594" s="121"/>
      <c r="Q594" s="10"/>
      <c r="S594" s="14"/>
      <c r="X594" s="15"/>
      <c r="Y594" s="15"/>
      <c r="Z594" s="15"/>
      <c r="AA594" s="15"/>
      <c r="AB594" s="15"/>
      <c r="AC594" s="15"/>
      <c r="AD594" s="15"/>
      <c r="AJ594" s="14"/>
      <c r="AK594" s="14"/>
      <c r="AL594" s="19"/>
      <c r="AM594" s="19"/>
      <c r="AN594" s="19"/>
    </row>
    <row r="595">
      <c r="I595" s="121"/>
      <c r="Q595" s="10"/>
      <c r="S595" s="14"/>
      <c r="X595" s="15"/>
      <c r="Y595" s="15"/>
      <c r="Z595" s="15"/>
      <c r="AA595" s="15"/>
      <c r="AB595" s="15"/>
      <c r="AC595" s="15"/>
      <c r="AD595" s="15"/>
      <c r="AJ595" s="14"/>
      <c r="AK595" s="14"/>
      <c r="AL595" s="19"/>
      <c r="AM595" s="19"/>
      <c r="AN595" s="19"/>
    </row>
    <row r="596">
      <c r="I596" s="121"/>
      <c r="Q596" s="10"/>
      <c r="S596" s="14"/>
      <c r="X596" s="15"/>
      <c r="Y596" s="15"/>
      <c r="Z596" s="15"/>
      <c r="AA596" s="15"/>
      <c r="AB596" s="15"/>
      <c r="AC596" s="15"/>
      <c r="AD596" s="15"/>
      <c r="AJ596" s="14"/>
      <c r="AK596" s="14"/>
      <c r="AL596" s="19"/>
      <c r="AM596" s="19"/>
      <c r="AN596" s="19"/>
    </row>
    <row r="597">
      <c r="I597" s="121"/>
      <c r="Q597" s="10"/>
      <c r="S597" s="14"/>
      <c r="X597" s="15"/>
      <c r="Y597" s="15"/>
      <c r="Z597" s="15"/>
      <c r="AA597" s="15"/>
      <c r="AB597" s="15"/>
      <c r="AC597" s="15"/>
      <c r="AD597" s="15"/>
      <c r="AJ597" s="14"/>
      <c r="AK597" s="14"/>
      <c r="AL597" s="19"/>
      <c r="AM597" s="19"/>
      <c r="AN597" s="19"/>
    </row>
    <row r="598">
      <c r="I598" s="121"/>
      <c r="Q598" s="10"/>
      <c r="S598" s="14"/>
      <c r="X598" s="15"/>
      <c r="Y598" s="15"/>
      <c r="Z598" s="15"/>
      <c r="AA598" s="15"/>
      <c r="AB598" s="15"/>
      <c r="AC598" s="15"/>
      <c r="AD598" s="15"/>
      <c r="AJ598" s="14"/>
      <c r="AK598" s="14"/>
      <c r="AL598" s="19"/>
      <c r="AM598" s="19"/>
      <c r="AN598" s="19"/>
    </row>
    <row r="599">
      <c r="I599" s="121"/>
      <c r="Q599" s="10"/>
      <c r="S599" s="14"/>
      <c r="X599" s="15"/>
      <c r="Y599" s="15"/>
      <c r="Z599" s="15"/>
      <c r="AA599" s="15"/>
      <c r="AB599" s="15"/>
      <c r="AC599" s="15"/>
      <c r="AD599" s="15"/>
      <c r="AJ599" s="14"/>
      <c r="AK599" s="14"/>
      <c r="AL599" s="19"/>
      <c r="AM599" s="19"/>
      <c r="AN599" s="19"/>
    </row>
    <row r="600">
      <c r="I600" s="121"/>
      <c r="Q600" s="10"/>
      <c r="S600" s="14"/>
      <c r="X600" s="15"/>
      <c r="Y600" s="15"/>
      <c r="Z600" s="15"/>
      <c r="AA600" s="15"/>
      <c r="AB600" s="15"/>
      <c r="AC600" s="15"/>
      <c r="AD600" s="15"/>
      <c r="AJ600" s="14"/>
      <c r="AK600" s="14"/>
      <c r="AL600" s="19"/>
      <c r="AM600" s="19"/>
      <c r="AN600" s="19"/>
    </row>
    <row r="601">
      <c r="I601" s="121"/>
      <c r="Q601" s="10"/>
      <c r="S601" s="14"/>
      <c r="X601" s="15"/>
      <c r="Y601" s="15"/>
      <c r="Z601" s="15"/>
      <c r="AA601" s="15"/>
      <c r="AB601" s="15"/>
      <c r="AC601" s="15"/>
      <c r="AD601" s="15"/>
      <c r="AJ601" s="14"/>
      <c r="AK601" s="14"/>
      <c r="AL601" s="19"/>
      <c r="AM601" s="19"/>
      <c r="AN601" s="19"/>
    </row>
    <row r="602">
      <c r="I602" s="121"/>
      <c r="Q602" s="10"/>
      <c r="S602" s="14"/>
      <c r="X602" s="15"/>
      <c r="Y602" s="15"/>
      <c r="Z602" s="15"/>
      <c r="AA602" s="15"/>
      <c r="AB602" s="15"/>
      <c r="AC602" s="15"/>
      <c r="AD602" s="15"/>
      <c r="AJ602" s="14"/>
      <c r="AK602" s="14"/>
      <c r="AL602" s="19"/>
      <c r="AM602" s="19"/>
      <c r="AN602" s="19"/>
    </row>
    <row r="603">
      <c r="I603" s="121"/>
      <c r="Q603" s="10"/>
      <c r="S603" s="14"/>
      <c r="X603" s="15"/>
      <c r="Y603" s="15"/>
      <c r="Z603" s="15"/>
      <c r="AA603" s="15"/>
      <c r="AB603" s="15"/>
      <c r="AC603" s="15"/>
      <c r="AD603" s="15"/>
      <c r="AJ603" s="14"/>
      <c r="AK603" s="14"/>
      <c r="AL603" s="19"/>
      <c r="AM603" s="19"/>
      <c r="AN603" s="19"/>
    </row>
    <row r="604">
      <c r="I604" s="121"/>
      <c r="Q604" s="10"/>
      <c r="S604" s="14"/>
      <c r="X604" s="15"/>
      <c r="Y604" s="15"/>
      <c r="Z604" s="15"/>
      <c r="AA604" s="15"/>
      <c r="AB604" s="15"/>
      <c r="AC604" s="15"/>
      <c r="AD604" s="15"/>
      <c r="AJ604" s="14"/>
      <c r="AK604" s="14"/>
      <c r="AL604" s="19"/>
      <c r="AM604" s="19"/>
      <c r="AN604" s="19"/>
    </row>
    <row r="605">
      <c r="I605" s="121"/>
      <c r="Q605" s="10"/>
      <c r="S605" s="14"/>
      <c r="X605" s="15"/>
      <c r="Y605" s="15"/>
      <c r="Z605" s="15"/>
      <c r="AA605" s="15"/>
      <c r="AB605" s="15"/>
      <c r="AC605" s="15"/>
      <c r="AD605" s="15"/>
      <c r="AJ605" s="14"/>
      <c r="AK605" s="14"/>
      <c r="AL605" s="19"/>
      <c r="AM605" s="19"/>
      <c r="AN605" s="19"/>
    </row>
    <row r="606">
      <c r="I606" s="121"/>
      <c r="Q606" s="10"/>
      <c r="S606" s="14"/>
      <c r="X606" s="15"/>
      <c r="Y606" s="15"/>
      <c r="Z606" s="15"/>
      <c r="AA606" s="15"/>
      <c r="AB606" s="15"/>
      <c r="AC606" s="15"/>
      <c r="AD606" s="15"/>
      <c r="AJ606" s="14"/>
      <c r="AK606" s="14"/>
      <c r="AL606" s="19"/>
      <c r="AM606" s="19"/>
      <c r="AN606" s="19"/>
    </row>
    <row r="607">
      <c r="I607" s="121"/>
      <c r="Q607" s="10"/>
      <c r="S607" s="14"/>
      <c r="X607" s="15"/>
      <c r="Y607" s="15"/>
      <c r="Z607" s="15"/>
      <c r="AA607" s="15"/>
      <c r="AB607" s="15"/>
      <c r="AC607" s="15"/>
      <c r="AD607" s="15"/>
      <c r="AJ607" s="14"/>
      <c r="AK607" s="14"/>
      <c r="AL607" s="19"/>
      <c r="AM607" s="19"/>
      <c r="AN607" s="19"/>
    </row>
    <row r="608">
      <c r="I608" s="121"/>
      <c r="Q608" s="10"/>
      <c r="S608" s="14"/>
      <c r="X608" s="15"/>
      <c r="Y608" s="15"/>
      <c r="Z608" s="15"/>
      <c r="AA608" s="15"/>
      <c r="AB608" s="15"/>
      <c r="AC608" s="15"/>
      <c r="AD608" s="15"/>
      <c r="AJ608" s="14"/>
      <c r="AK608" s="14"/>
      <c r="AL608" s="19"/>
      <c r="AM608" s="19"/>
      <c r="AN608" s="19"/>
    </row>
    <row r="609">
      <c r="I609" s="121"/>
      <c r="Q609" s="10"/>
      <c r="S609" s="14"/>
      <c r="X609" s="15"/>
      <c r="Y609" s="15"/>
      <c r="Z609" s="15"/>
      <c r="AA609" s="15"/>
      <c r="AB609" s="15"/>
      <c r="AC609" s="15"/>
      <c r="AD609" s="15"/>
      <c r="AJ609" s="14"/>
      <c r="AK609" s="14"/>
      <c r="AL609" s="19"/>
      <c r="AM609" s="19"/>
      <c r="AN609" s="19"/>
    </row>
    <row r="610">
      <c r="I610" s="121"/>
      <c r="Q610" s="10"/>
      <c r="S610" s="14"/>
      <c r="X610" s="15"/>
      <c r="Y610" s="15"/>
      <c r="Z610" s="15"/>
      <c r="AA610" s="15"/>
      <c r="AB610" s="15"/>
      <c r="AC610" s="15"/>
      <c r="AD610" s="15"/>
      <c r="AJ610" s="14"/>
      <c r="AK610" s="14"/>
      <c r="AL610" s="19"/>
      <c r="AM610" s="19"/>
      <c r="AN610" s="19"/>
    </row>
    <row r="611">
      <c r="I611" s="121"/>
      <c r="Q611" s="10"/>
      <c r="S611" s="14"/>
      <c r="X611" s="15"/>
      <c r="Y611" s="15"/>
      <c r="Z611" s="15"/>
      <c r="AA611" s="15"/>
      <c r="AB611" s="15"/>
      <c r="AC611" s="15"/>
      <c r="AD611" s="15"/>
      <c r="AJ611" s="14"/>
      <c r="AK611" s="14"/>
      <c r="AL611" s="19"/>
      <c r="AM611" s="19"/>
      <c r="AN611" s="19"/>
    </row>
    <row r="612">
      <c r="I612" s="121"/>
      <c r="Q612" s="10"/>
      <c r="S612" s="14"/>
      <c r="X612" s="15"/>
      <c r="Y612" s="15"/>
      <c r="Z612" s="15"/>
      <c r="AA612" s="15"/>
      <c r="AB612" s="15"/>
      <c r="AC612" s="15"/>
      <c r="AD612" s="15"/>
      <c r="AJ612" s="14"/>
      <c r="AK612" s="14"/>
      <c r="AL612" s="19"/>
      <c r="AM612" s="19"/>
      <c r="AN612" s="19"/>
    </row>
    <row r="613">
      <c r="I613" s="121"/>
      <c r="Q613" s="10"/>
      <c r="S613" s="14"/>
      <c r="X613" s="15"/>
      <c r="Y613" s="15"/>
      <c r="Z613" s="15"/>
      <c r="AA613" s="15"/>
      <c r="AB613" s="15"/>
      <c r="AC613" s="15"/>
      <c r="AD613" s="15"/>
      <c r="AJ613" s="14"/>
      <c r="AK613" s="14"/>
      <c r="AL613" s="19"/>
      <c r="AM613" s="19"/>
      <c r="AN613" s="19"/>
    </row>
    <row r="614">
      <c r="I614" s="121"/>
      <c r="Q614" s="10"/>
      <c r="S614" s="14"/>
      <c r="X614" s="15"/>
      <c r="Y614" s="15"/>
      <c r="Z614" s="15"/>
      <c r="AA614" s="15"/>
      <c r="AB614" s="15"/>
      <c r="AC614" s="15"/>
      <c r="AD614" s="15"/>
      <c r="AJ614" s="14"/>
      <c r="AK614" s="14"/>
      <c r="AL614" s="19"/>
      <c r="AM614" s="19"/>
      <c r="AN614" s="19"/>
    </row>
    <row r="615">
      <c r="I615" s="121"/>
      <c r="Q615" s="10"/>
      <c r="S615" s="14"/>
      <c r="X615" s="15"/>
      <c r="Y615" s="15"/>
      <c r="Z615" s="15"/>
      <c r="AA615" s="15"/>
      <c r="AB615" s="15"/>
      <c r="AC615" s="15"/>
      <c r="AD615" s="15"/>
      <c r="AJ615" s="14"/>
      <c r="AK615" s="14"/>
      <c r="AL615" s="19"/>
      <c r="AM615" s="19"/>
      <c r="AN615" s="19"/>
    </row>
    <row r="616">
      <c r="I616" s="121"/>
      <c r="Q616" s="10"/>
      <c r="S616" s="14"/>
      <c r="X616" s="15"/>
      <c r="Y616" s="15"/>
      <c r="Z616" s="15"/>
      <c r="AA616" s="15"/>
      <c r="AB616" s="15"/>
      <c r="AC616" s="15"/>
      <c r="AD616" s="15"/>
      <c r="AJ616" s="14"/>
      <c r="AK616" s="14"/>
      <c r="AL616" s="19"/>
      <c r="AM616" s="19"/>
      <c r="AN616" s="19"/>
    </row>
    <row r="617">
      <c r="I617" s="121"/>
      <c r="Q617" s="10"/>
      <c r="S617" s="14"/>
      <c r="X617" s="15"/>
      <c r="Y617" s="15"/>
      <c r="Z617" s="15"/>
      <c r="AA617" s="15"/>
      <c r="AB617" s="15"/>
      <c r="AC617" s="15"/>
      <c r="AD617" s="15"/>
      <c r="AJ617" s="14"/>
      <c r="AK617" s="14"/>
      <c r="AL617" s="19"/>
      <c r="AM617" s="19"/>
      <c r="AN617" s="19"/>
    </row>
    <row r="618">
      <c r="I618" s="121"/>
      <c r="Q618" s="10"/>
      <c r="S618" s="14"/>
      <c r="X618" s="15"/>
      <c r="Y618" s="15"/>
      <c r="Z618" s="15"/>
      <c r="AA618" s="15"/>
      <c r="AB618" s="15"/>
      <c r="AC618" s="15"/>
      <c r="AD618" s="15"/>
      <c r="AJ618" s="14"/>
      <c r="AK618" s="14"/>
      <c r="AL618" s="19"/>
      <c r="AM618" s="19"/>
      <c r="AN618" s="19"/>
    </row>
    <row r="619">
      <c r="I619" s="121"/>
      <c r="Q619" s="10"/>
      <c r="S619" s="14"/>
      <c r="X619" s="15"/>
      <c r="Y619" s="15"/>
      <c r="Z619" s="15"/>
      <c r="AA619" s="15"/>
      <c r="AB619" s="15"/>
      <c r="AC619" s="15"/>
      <c r="AD619" s="15"/>
      <c r="AJ619" s="14"/>
      <c r="AK619" s="14"/>
      <c r="AL619" s="19"/>
      <c r="AM619" s="19"/>
      <c r="AN619" s="19"/>
    </row>
    <row r="620">
      <c r="I620" s="121"/>
      <c r="Q620" s="10"/>
      <c r="S620" s="14"/>
      <c r="X620" s="15"/>
      <c r="Y620" s="15"/>
      <c r="Z620" s="15"/>
      <c r="AA620" s="15"/>
      <c r="AB620" s="15"/>
      <c r="AC620" s="15"/>
      <c r="AD620" s="15"/>
      <c r="AJ620" s="14"/>
      <c r="AK620" s="14"/>
      <c r="AL620" s="19"/>
      <c r="AM620" s="19"/>
      <c r="AN620" s="19"/>
    </row>
    <row r="621">
      <c r="I621" s="121"/>
      <c r="Q621" s="10"/>
      <c r="S621" s="14"/>
      <c r="X621" s="15"/>
      <c r="Y621" s="15"/>
      <c r="Z621" s="15"/>
      <c r="AA621" s="15"/>
      <c r="AB621" s="15"/>
      <c r="AC621" s="15"/>
      <c r="AD621" s="15"/>
      <c r="AJ621" s="14"/>
      <c r="AK621" s="14"/>
      <c r="AL621" s="19"/>
      <c r="AM621" s="19"/>
      <c r="AN621" s="19"/>
    </row>
    <row r="622">
      <c r="I622" s="121"/>
      <c r="Q622" s="10"/>
      <c r="S622" s="14"/>
      <c r="X622" s="15"/>
      <c r="Y622" s="15"/>
      <c r="Z622" s="15"/>
      <c r="AA622" s="15"/>
      <c r="AB622" s="15"/>
      <c r="AC622" s="15"/>
      <c r="AD622" s="15"/>
      <c r="AJ622" s="14"/>
      <c r="AK622" s="14"/>
      <c r="AL622" s="19"/>
      <c r="AM622" s="19"/>
      <c r="AN622" s="19"/>
    </row>
    <row r="623">
      <c r="I623" s="121"/>
      <c r="Q623" s="10"/>
      <c r="S623" s="14"/>
      <c r="X623" s="15"/>
      <c r="Y623" s="15"/>
      <c r="Z623" s="15"/>
      <c r="AA623" s="15"/>
      <c r="AB623" s="15"/>
      <c r="AC623" s="15"/>
      <c r="AD623" s="15"/>
      <c r="AJ623" s="14"/>
      <c r="AK623" s="14"/>
      <c r="AL623" s="19"/>
      <c r="AM623" s="19"/>
      <c r="AN623" s="19"/>
    </row>
    <row r="624">
      <c r="I624" s="121"/>
      <c r="Q624" s="10"/>
      <c r="S624" s="14"/>
      <c r="X624" s="15"/>
      <c r="Y624" s="15"/>
      <c r="Z624" s="15"/>
      <c r="AA624" s="15"/>
      <c r="AB624" s="15"/>
      <c r="AC624" s="15"/>
      <c r="AD624" s="15"/>
      <c r="AJ624" s="14"/>
      <c r="AK624" s="14"/>
      <c r="AL624" s="19"/>
      <c r="AM624" s="19"/>
      <c r="AN624" s="19"/>
    </row>
    <row r="625">
      <c r="I625" s="121"/>
      <c r="Q625" s="10"/>
      <c r="S625" s="14"/>
      <c r="X625" s="15"/>
      <c r="Y625" s="15"/>
      <c r="Z625" s="15"/>
      <c r="AA625" s="15"/>
      <c r="AB625" s="15"/>
      <c r="AC625" s="15"/>
      <c r="AD625" s="15"/>
      <c r="AJ625" s="14"/>
      <c r="AK625" s="14"/>
      <c r="AL625" s="19"/>
      <c r="AM625" s="19"/>
      <c r="AN625" s="19"/>
    </row>
    <row r="626">
      <c r="I626" s="121"/>
      <c r="Q626" s="10"/>
      <c r="S626" s="14"/>
      <c r="X626" s="15"/>
      <c r="Y626" s="15"/>
      <c r="Z626" s="15"/>
      <c r="AA626" s="15"/>
      <c r="AB626" s="15"/>
      <c r="AC626" s="15"/>
      <c r="AD626" s="15"/>
      <c r="AJ626" s="14"/>
      <c r="AK626" s="14"/>
      <c r="AL626" s="19"/>
      <c r="AM626" s="19"/>
      <c r="AN626" s="19"/>
    </row>
    <row r="627">
      <c r="I627" s="121"/>
      <c r="Q627" s="10"/>
      <c r="S627" s="14"/>
      <c r="X627" s="15"/>
      <c r="Y627" s="15"/>
      <c r="Z627" s="15"/>
      <c r="AA627" s="15"/>
      <c r="AB627" s="15"/>
      <c r="AC627" s="15"/>
      <c r="AD627" s="15"/>
      <c r="AJ627" s="14"/>
      <c r="AK627" s="14"/>
      <c r="AL627" s="19"/>
      <c r="AM627" s="19"/>
      <c r="AN627" s="19"/>
    </row>
    <row r="628">
      <c r="I628" s="121"/>
      <c r="Q628" s="10"/>
      <c r="S628" s="14"/>
      <c r="X628" s="15"/>
      <c r="Y628" s="15"/>
      <c r="Z628" s="15"/>
      <c r="AA628" s="15"/>
      <c r="AB628" s="15"/>
      <c r="AC628" s="15"/>
      <c r="AD628" s="15"/>
      <c r="AJ628" s="14"/>
      <c r="AK628" s="14"/>
      <c r="AL628" s="19"/>
      <c r="AM628" s="19"/>
      <c r="AN628" s="19"/>
    </row>
    <row r="629">
      <c r="I629" s="121"/>
      <c r="Q629" s="10"/>
      <c r="S629" s="14"/>
      <c r="X629" s="15"/>
      <c r="Y629" s="15"/>
      <c r="Z629" s="15"/>
      <c r="AA629" s="15"/>
      <c r="AB629" s="15"/>
      <c r="AC629" s="15"/>
      <c r="AD629" s="15"/>
      <c r="AJ629" s="14"/>
      <c r="AK629" s="14"/>
      <c r="AL629" s="19"/>
      <c r="AM629" s="19"/>
      <c r="AN629" s="19"/>
    </row>
    <row r="630">
      <c r="I630" s="121"/>
      <c r="Q630" s="10"/>
      <c r="S630" s="14"/>
      <c r="X630" s="15"/>
      <c r="Y630" s="15"/>
      <c r="Z630" s="15"/>
      <c r="AA630" s="15"/>
      <c r="AB630" s="15"/>
      <c r="AC630" s="15"/>
      <c r="AD630" s="15"/>
      <c r="AJ630" s="14"/>
      <c r="AK630" s="14"/>
      <c r="AL630" s="19"/>
      <c r="AM630" s="19"/>
      <c r="AN630" s="19"/>
    </row>
    <row r="631">
      <c r="I631" s="121"/>
      <c r="Q631" s="10"/>
      <c r="S631" s="14"/>
      <c r="X631" s="15"/>
      <c r="Y631" s="15"/>
      <c r="Z631" s="15"/>
      <c r="AA631" s="15"/>
      <c r="AB631" s="15"/>
      <c r="AC631" s="15"/>
      <c r="AD631" s="15"/>
      <c r="AJ631" s="14"/>
      <c r="AK631" s="14"/>
      <c r="AL631" s="19"/>
      <c r="AM631" s="19"/>
      <c r="AN631" s="19"/>
    </row>
    <row r="632">
      <c r="I632" s="121"/>
      <c r="Q632" s="10"/>
      <c r="S632" s="14"/>
      <c r="X632" s="15"/>
      <c r="Y632" s="15"/>
      <c r="Z632" s="15"/>
      <c r="AA632" s="15"/>
      <c r="AB632" s="15"/>
      <c r="AC632" s="15"/>
      <c r="AD632" s="15"/>
      <c r="AJ632" s="14"/>
      <c r="AK632" s="14"/>
      <c r="AL632" s="19"/>
      <c r="AM632" s="19"/>
      <c r="AN632" s="19"/>
    </row>
    <row r="633">
      <c r="I633" s="121"/>
      <c r="Q633" s="10"/>
      <c r="S633" s="14"/>
      <c r="X633" s="15"/>
      <c r="Y633" s="15"/>
      <c r="Z633" s="15"/>
      <c r="AA633" s="15"/>
      <c r="AB633" s="15"/>
      <c r="AC633" s="15"/>
      <c r="AD633" s="15"/>
      <c r="AJ633" s="14"/>
      <c r="AK633" s="14"/>
      <c r="AL633" s="19"/>
      <c r="AM633" s="19"/>
      <c r="AN633" s="19"/>
    </row>
    <row r="634">
      <c r="I634" s="121"/>
      <c r="Q634" s="10"/>
      <c r="S634" s="14"/>
      <c r="X634" s="15"/>
      <c r="Y634" s="15"/>
      <c r="Z634" s="15"/>
      <c r="AA634" s="15"/>
      <c r="AB634" s="15"/>
      <c r="AC634" s="15"/>
      <c r="AD634" s="15"/>
      <c r="AJ634" s="14"/>
      <c r="AK634" s="14"/>
      <c r="AL634" s="19"/>
      <c r="AM634" s="19"/>
      <c r="AN634" s="19"/>
    </row>
    <row r="635">
      <c r="I635" s="121"/>
      <c r="Q635" s="10"/>
      <c r="S635" s="14"/>
      <c r="X635" s="15"/>
      <c r="Y635" s="15"/>
      <c r="Z635" s="15"/>
      <c r="AA635" s="15"/>
      <c r="AB635" s="15"/>
      <c r="AC635" s="15"/>
      <c r="AD635" s="15"/>
      <c r="AJ635" s="14"/>
      <c r="AK635" s="14"/>
      <c r="AL635" s="19"/>
      <c r="AM635" s="19"/>
      <c r="AN635" s="19"/>
    </row>
    <row r="636">
      <c r="I636" s="121"/>
      <c r="Q636" s="10"/>
      <c r="S636" s="14"/>
      <c r="X636" s="15"/>
      <c r="Y636" s="15"/>
      <c r="Z636" s="15"/>
      <c r="AA636" s="15"/>
      <c r="AB636" s="15"/>
      <c r="AC636" s="15"/>
      <c r="AD636" s="15"/>
      <c r="AJ636" s="14"/>
      <c r="AK636" s="14"/>
      <c r="AL636" s="19"/>
      <c r="AM636" s="19"/>
      <c r="AN636" s="19"/>
    </row>
    <row r="637">
      <c r="I637" s="121"/>
      <c r="Q637" s="10"/>
      <c r="S637" s="14"/>
      <c r="X637" s="15"/>
      <c r="Y637" s="15"/>
      <c r="Z637" s="15"/>
      <c r="AA637" s="15"/>
      <c r="AB637" s="15"/>
      <c r="AC637" s="15"/>
      <c r="AD637" s="15"/>
      <c r="AJ637" s="14"/>
      <c r="AK637" s="14"/>
      <c r="AL637" s="19"/>
      <c r="AM637" s="19"/>
      <c r="AN637" s="19"/>
    </row>
    <row r="638">
      <c r="I638" s="121"/>
      <c r="Q638" s="10"/>
      <c r="S638" s="14"/>
      <c r="X638" s="15"/>
      <c r="Y638" s="15"/>
      <c r="Z638" s="15"/>
      <c r="AA638" s="15"/>
      <c r="AB638" s="15"/>
      <c r="AC638" s="15"/>
      <c r="AD638" s="15"/>
      <c r="AJ638" s="14"/>
      <c r="AK638" s="14"/>
      <c r="AL638" s="19"/>
      <c r="AM638" s="19"/>
      <c r="AN638" s="19"/>
    </row>
    <row r="639">
      <c r="I639" s="121"/>
      <c r="Q639" s="10"/>
      <c r="S639" s="14"/>
      <c r="X639" s="15"/>
      <c r="Y639" s="15"/>
      <c r="Z639" s="15"/>
      <c r="AA639" s="15"/>
      <c r="AB639" s="15"/>
      <c r="AC639" s="15"/>
      <c r="AD639" s="15"/>
      <c r="AJ639" s="14"/>
      <c r="AK639" s="14"/>
      <c r="AL639" s="19"/>
      <c r="AM639" s="19"/>
      <c r="AN639" s="19"/>
    </row>
    <row r="640">
      <c r="I640" s="121"/>
      <c r="Q640" s="10"/>
      <c r="S640" s="14"/>
      <c r="X640" s="15"/>
      <c r="Y640" s="15"/>
      <c r="Z640" s="15"/>
      <c r="AA640" s="15"/>
      <c r="AB640" s="15"/>
      <c r="AC640" s="15"/>
      <c r="AD640" s="15"/>
      <c r="AJ640" s="14"/>
      <c r="AK640" s="14"/>
      <c r="AL640" s="19"/>
      <c r="AM640" s="19"/>
      <c r="AN640" s="19"/>
    </row>
    <row r="641">
      <c r="I641" s="121"/>
      <c r="Q641" s="10"/>
      <c r="S641" s="14"/>
      <c r="X641" s="15"/>
      <c r="Y641" s="15"/>
      <c r="Z641" s="15"/>
      <c r="AA641" s="15"/>
      <c r="AB641" s="15"/>
      <c r="AC641" s="15"/>
      <c r="AD641" s="15"/>
      <c r="AJ641" s="14"/>
      <c r="AK641" s="14"/>
      <c r="AL641" s="19"/>
      <c r="AM641" s="19"/>
      <c r="AN641" s="19"/>
    </row>
    <row r="642">
      <c r="I642" s="121"/>
      <c r="Q642" s="10"/>
      <c r="S642" s="14"/>
      <c r="X642" s="15"/>
      <c r="Y642" s="15"/>
      <c r="Z642" s="15"/>
      <c r="AA642" s="15"/>
      <c r="AB642" s="15"/>
      <c r="AC642" s="15"/>
      <c r="AD642" s="15"/>
      <c r="AJ642" s="14"/>
      <c r="AK642" s="14"/>
      <c r="AL642" s="19"/>
      <c r="AM642" s="19"/>
      <c r="AN642" s="19"/>
    </row>
    <row r="643">
      <c r="I643" s="121"/>
      <c r="Q643" s="10"/>
      <c r="S643" s="14"/>
      <c r="X643" s="15"/>
      <c r="Y643" s="15"/>
      <c r="Z643" s="15"/>
      <c r="AA643" s="15"/>
      <c r="AB643" s="15"/>
      <c r="AC643" s="15"/>
      <c r="AD643" s="15"/>
      <c r="AJ643" s="14"/>
      <c r="AK643" s="14"/>
      <c r="AL643" s="19"/>
      <c r="AM643" s="19"/>
      <c r="AN643" s="19"/>
    </row>
    <row r="644">
      <c r="I644" s="121"/>
      <c r="Q644" s="10"/>
      <c r="S644" s="14"/>
      <c r="X644" s="15"/>
      <c r="Y644" s="15"/>
      <c r="Z644" s="15"/>
      <c r="AA644" s="15"/>
      <c r="AB644" s="15"/>
      <c r="AC644" s="15"/>
      <c r="AD644" s="15"/>
      <c r="AJ644" s="14"/>
      <c r="AK644" s="14"/>
      <c r="AL644" s="19"/>
      <c r="AM644" s="19"/>
      <c r="AN644" s="19"/>
    </row>
    <row r="645">
      <c r="I645" s="121"/>
      <c r="Q645" s="10"/>
      <c r="S645" s="14"/>
      <c r="X645" s="15"/>
      <c r="Y645" s="15"/>
      <c r="Z645" s="15"/>
      <c r="AA645" s="15"/>
      <c r="AB645" s="15"/>
      <c r="AC645" s="15"/>
      <c r="AD645" s="15"/>
      <c r="AJ645" s="14"/>
      <c r="AK645" s="14"/>
      <c r="AL645" s="19"/>
      <c r="AM645" s="19"/>
      <c r="AN645" s="19"/>
    </row>
    <row r="646">
      <c r="I646" s="121"/>
      <c r="Q646" s="10"/>
      <c r="S646" s="14"/>
      <c r="X646" s="15"/>
      <c r="Y646" s="15"/>
      <c r="Z646" s="15"/>
      <c r="AA646" s="15"/>
      <c r="AB646" s="15"/>
      <c r="AC646" s="15"/>
      <c r="AD646" s="15"/>
      <c r="AJ646" s="14"/>
      <c r="AK646" s="14"/>
      <c r="AL646" s="19"/>
      <c r="AM646" s="19"/>
      <c r="AN646" s="19"/>
    </row>
    <row r="647">
      <c r="I647" s="121"/>
      <c r="Q647" s="10"/>
      <c r="S647" s="14"/>
      <c r="X647" s="15"/>
      <c r="Y647" s="15"/>
      <c r="Z647" s="15"/>
      <c r="AA647" s="15"/>
      <c r="AB647" s="15"/>
      <c r="AC647" s="15"/>
      <c r="AD647" s="15"/>
      <c r="AJ647" s="14"/>
      <c r="AK647" s="14"/>
      <c r="AL647" s="19"/>
      <c r="AM647" s="19"/>
      <c r="AN647" s="19"/>
    </row>
    <row r="648">
      <c r="I648" s="121"/>
      <c r="Q648" s="10"/>
      <c r="S648" s="14"/>
      <c r="X648" s="15"/>
      <c r="Y648" s="15"/>
      <c r="Z648" s="15"/>
      <c r="AA648" s="15"/>
      <c r="AB648" s="15"/>
      <c r="AC648" s="15"/>
      <c r="AD648" s="15"/>
      <c r="AJ648" s="14"/>
      <c r="AK648" s="14"/>
      <c r="AL648" s="19"/>
      <c r="AM648" s="19"/>
      <c r="AN648" s="19"/>
    </row>
    <row r="649">
      <c r="I649" s="121"/>
      <c r="Q649" s="10"/>
      <c r="S649" s="14"/>
      <c r="X649" s="15"/>
      <c r="Y649" s="15"/>
      <c r="Z649" s="15"/>
      <c r="AA649" s="15"/>
      <c r="AB649" s="15"/>
      <c r="AC649" s="15"/>
      <c r="AD649" s="15"/>
      <c r="AJ649" s="14"/>
      <c r="AK649" s="14"/>
      <c r="AL649" s="19"/>
      <c r="AM649" s="19"/>
      <c r="AN649" s="19"/>
    </row>
    <row r="650">
      <c r="I650" s="121"/>
      <c r="Q650" s="10"/>
      <c r="S650" s="14"/>
      <c r="X650" s="15"/>
      <c r="Y650" s="15"/>
      <c r="Z650" s="15"/>
      <c r="AA650" s="15"/>
      <c r="AB650" s="15"/>
      <c r="AC650" s="15"/>
      <c r="AD650" s="15"/>
      <c r="AJ650" s="14"/>
      <c r="AK650" s="14"/>
      <c r="AL650" s="19"/>
      <c r="AM650" s="19"/>
      <c r="AN650" s="19"/>
    </row>
    <row r="651">
      <c r="I651" s="121"/>
      <c r="Q651" s="10"/>
      <c r="S651" s="14"/>
      <c r="X651" s="15"/>
      <c r="Y651" s="15"/>
      <c r="Z651" s="15"/>
      <c r="AA651" s="15"/>
      <c r="AB651" s="15"/>
      <c r="AC651" s="15"/>
      <c r="AD651" s="15"/>
      <c r="AJ651" s="14"/>
      <c r="AK651" s="14"/>
      <c r="AL651" s="19"/>
      <c r="AM651" s="19"/>
      <c r="AN651" s="19"/>
    </row>
    <row r="652">
      <c r="I652" s="121"/>
      <c r="Q652" s="10"/>
      <c r="S652" s="14"/>
      <c r="X652" s="15"/>
      <c r="Y652" s="15"/>
      <c r="Z652" s="15"/>
      <c r="AA652" s="15"/>
      <c r="AB652" s="15"/>
      <c r="AC652" s="15"/>
      <c r="AD652" s="15"/>
      <c r="AJ652" s="14"/>
      <c r="AK652" s="14"/>
      <c r="AL652" s="19"/>
      <c r="AM652" s="19"/>
      <c r="AN652" s="19"/>
    </row>
    <row r="653">
      <c r="I653" s="121"/>
      <c r="Q653" s="10"/>
      <c r="S653" s="14"/>
      <c r="X653" s="15"/>
      <c r="Y653" s="15"/>
      <c r="Z653" s="15"/>
      <c r="AA653" s="15"/>
      <c r="AB653" s="15"/>
      <c r="AC653" s="15"/>
      <c r="AD653" s="15"/>
      <c r="AJ653" s="14"/>
      <c r="AK653" s="14"/>
      <c r="AL653" s="19"/>
      <c r="AM653" s="19"/>
      <c r="AN653" s="19"/>
    </row>
    <row r="654">
      <c r="I654" s="121"/>
      <c r="Q654" s="10"/>
      <c r="S654" s="14"/>
      <c r="X654" s="15"/>
      <c r="Y654" s="15"/>
      <c r="Z654" s="15"/>
      <c r="AA654" s="15"/>
      <c r="AB654" s="15"/>
      <c r="AC654" s="15"/>
      <c r="AD654" s="15"/>
      <c r="AJ654" s="14"/>
      <c r="AK654" s="14"/>
      <c r="AL654" s="19"/>
      <c r="AM654" s="19"/>
      <c r="AN654" s="19"/>
    </row>
    <row r="655">
      <c r="I655" s="121"/>
      <c r="Q655" s="10"/>
      <c r="S655" s="14"/>
      <c r="X655" s="15"/>
      <c r="Y655" s="15"/>
      <c r="Z655" s="15"/>
      <c r="AA655" s="15"/>
      <c r="AB655" s="15"/>
      <c r="AC655" s="15"/>
      <c r="AD655" s="15"/>
      <c r="AJ655" s="14"/>
      <c r="AK655" s="14"/>
      <c r="AL655" s="19"/>
      <c r="AM655" s="19"/>
      <c r="AN655" s="19"/>
    </row>
    <row r="656">
      <c r="I656" s="121"/>
      <c r="Q656" s="10"/>
      <c r="S656" s="14"/>
      <c r="X656" s="15"/>
      <c r="Y656" s="15"/>
      <c r="Z656" s="15"/>
      <c r="AA656" s="15"/>
      <c r="AB656" s="15"/>
      <c r="AC656" s="15"/>
      <c r="AD656" s="15"/>
      <c r="AJ656" s="14"/>
      <c r="AK656" s="14"/>
      <c r="AL656" s="19"/>
      <c r="AM656" s="19"/>
      <c r="AN656" s="19"/>
    </row>
    <row r="657">
      <c r="I657" s="121"/>
      <c r="Q657" s="10"/>
      <c r="S657" s="14"/>
      <c r="X657" s="15"/>
      <c r="Y657" s="15"/>
      <c r="Z657" s="15"/>
      <c r="AA657" s="15"/>
      <c r="AB657" s="15"/>
      <c r="AC657" s="15"/>
      <c r="AD657" s="15"/>
      <c r="AJ657" s="14"/>
      <c r="AK657" s="14"/>
      <c r="AL657" s="19"/>
      <c r="AM657" s="19"/>
      <c r="AN657" s="19"/>
    </row>
    <row r="658">
      <c r="I658" s="121"/>
      <c r="Q658" s="10"/>
      <c r="S658" s="14"/>
      <c r="X658" s="15"/>
      <c r="Y658" s="15"/>
      <c r="Z658" s="15"/>
      <c r="AA658" s="15"/>
      <c r="AB658" s="15"/>
      <c r="AC658" s="15"/>
      <c r="AD658" s="15"/>
      <c r="AJ658" s="14"/>
      <c r="AK658" s="14"/>
      <c r="AL658" s="19"/>
      <c r="AM658" s="19"/>
      <c r="AN658" s="19"/>
    </row>
    <row r="659">
      <c r="I659" s="121"/>
      <c r="Q659" s="10"/>
      <c r="S659" s="14"/>
      <c r="X659" s="15"/>
      <c r="Y659" s="15"/>
      <c r="Z659" s="15"/>
      <c r="AA659" s="15"/>
      <c r="AB659" s="15"/>
      <c r="AC659" s="15"/>
      <c r="AD659" s="15"/>
      <c r="AJ659" s="14"/>
      <c r="AK659" s="14"/>
      <c r="AL659" s="19"/>
      <c r="AM659" s="19"/>
      <c r="AN659" s="19"/>
    </row>
    <row r="660">
      <c r="I660" s="121"/>
      <c r="Q660" s="10"/>
      <c r="S660" s="14"/>
      <c r="X660" s="15"/>
      <c r="Y660" s="15"/>
      <c r="Z660" s="15"/>
      <c r="AA660" s="15"/>
      <c r="AB660" s="15"/>
      <c r="AC660" s="15"/>
      <c r="AD660" s="15"/>
      <c r="AJ660" s="14"/>
      <c r="AK660" s="14"/>
      <c r="AL660" s="19"/>
      <c r="AM660" s="19"/>
      <c r="AN660" s="19"/>
    </row>
    <row r="661">
      <c r="I661" s="121"/>
      <c r="Q661" s="10"/>
      <c r="S661" s="14"/>
      <c r="X661" s="15"/>
      <c r="Y661" s="15"/>
      <c r="Z661" s="15"/>
      <c r="AA661" s="15"/>
      <c r="AB661" s="15"/>
      <c r="AC661" s="15"/>
      <c r="AD661" s="15"/>
      <c r="AJ661" s="14"/>
      <c r="AK661" s="14"/>
      <c r="AL661" s="19"/>
      <c r="AM661" s="19"/>
      <c r="AN661" s="19"/>
    </row>
    <row r="662">
      <c r="I662" s="121"/>
      <c r="Q662" s="10"/>
      <c r="S662" s="14"/>
      <c r="X662" s="15"/>
      <c r="Y662" s="15"/>
      <c r="Z662" s="15"/>
      <c r="AA662" s="15"/>
      <c r="AB662" s="15"/>
      <c r="AC662" s="15"/>
      <c r="AD662" s="15"/>
      <c r="AJ662" s="14"/>
      <c r="AK662" s="14"/>
      <c r="AL662" s="19"/>
      <c r="AM662" s="19"/>
      <c r="AN662" s="19"/>
    </row>
    <row r="663">
      <c r="I663" s="121"/>
      <c r="Q663" s="10"/>
      <c r="S663" s="14"/>
      <c r="X663" s="15"/>
      <c r="Y663" s="15"/>
      <c r="Z663" s="15"/>
      <c r="AA663" s="15"/>
      <c r="AB663" s="15"/>
      <c r="AC663" s="15"/>
      <c r="AD663" s="15"/>
      <c r="AJ663" s="14"/>
      <c r="AK663" s="14"/>
      <c r="AL663" s="19"/>
      <c r="AM663" s="19"/>
      <c r="AN663" s="19"/>
    </row>
    <row r="664">
      <c r="I664" s="121"/>
      <c r="Q664" s="10"/>
      <c r="S664" s="14"/>
      <c r="X664" s="15"/>
      <c r="Y664" s="15"/>
      <c r="Z664" s="15"/>
      <c r="AA664" s="15"/>
      <c r="AB664" s="15"/>
      <c r="AC664" s="15"/>
      <c r="AD664" s="15"/>
      <c r="AJ664" s="14"/>
      <c r="AK664" s="14"/>
      <c r="AL664" s="19"/>
      <c r="AM664" s="19"/>
      <c r="AN664" s="19"/>
    </row>
    <row r="665">
      <c r="I665" s="121"/>
      <c r="Q665" s="10"/>
      <c r="S665" s="14"/>
      <c r="X665" s="15"/>
      <c r="Y665" s="15"/>
      <c r="Z665" s="15"/>
      <c r="AA665" s="15"/>
      <c r="AB665" s="15"/>
      <c r="AC665" s="15"/>
      <c r="AD665" s="15"/>
      <c r="AJ665" s="14"/>
      <c r="AK665" s="14"/>
      <c r="AL665" s="19"/>
      <c r="AM665" s="19"/>
      <c r="AN665" s="19"/>
    </row>
    <row r="666">
      <c r="I666" s="121"/>
      <c r="Q666" s="10"/>
      <c r="S666" s="14"/>
      <c r="X666" s="15"/>
      <c r="Y666" s="15"/>
      <c r="Z666" s="15"/>
      <c r="AA666" s="15"/>
      <c r="AB666" s="15"/>
      <c r="AC666" s="15"/>
      <c r="AD666" s="15"/>
      <c r="AJ666" s="14"/>
      <c r="AK666" s="14"/>
      <c r="AL666" s="19"/>
      <c r="AM666" s="19"/>
      <c r="AN666" s="19"/>
    </row>
    <row r="667">
      <c r="I667" s="121"/>
      <c r="Q667" s="10"/>
      <c r="S667" s="14"/>
      <c r="X667" s="15"/>
      <c r="Y667" s="15"/>
      <c r="Z667" s="15"/>
      <c r="AA667" s="15"/>
      <c r="AB667" s="15"/>
      <c r="AC667" s="15"/>
      <c r="AD667" s="15"/>
      <c r="AJ667" s="14"/>
      <c r="AK667" s="14"/>
      <c r="AL667" s="19"/>
      <c r="AM667" s="19"/>
      <c r="AN667" s="19"/>
    </row>
    <row r="668">
      <c r="I668" s="121"/>
      <c r="Q668" s="10"/>
      <c r="S668" s="14"/>
      <c r="X668" s="15"/>
      <c r="Y668" s="15"/>
      <c r="Z668" s="15"/>
      <c r="AA668" s="15"/>
      <c r="AB668" s="15"/>
      <c r="AC668" s="15"/>
      <c r="AD668" s="15"/>
      <c r="AJ668" s="14"/>
      <c r="AK668" s="14"/>
      <c r="AL668" s="19"/>
      <c r="AM668" s="19"/>
      <c r="AN668" s="19"/>
    </row>
    <row r="669">
      <c r="I669" s="121"/>
      <c r="Q669" s="10"/>
      <c r="S669" s="14"/>
      <c r="X669" s="15"/>
      <c r="Y669" s="15"/>
      <c r="Z669" s="15"/>
      <c r="AA669" s="15"/>
      <c r="AB669" s="15"/>
      <c r="AC669" s="15"/>
      <c r="AD669" s="15"/>
      <c r="AJ669" s="14"/>
      <c r="AK669" s="14"/>
      <c r="AL669" s="19"/>
      <c r="AM669" s="19"/>
      <c r="AN669" s="19"/>
    </row>
    <row r="670">
      <c r="I670" s="121"/>
      <c r="Q670" s="10"/>
      <c r="S670" s="14"/>
      <c r="X670" s="15"/>
      <c r="Y670" s="15"/>
      <c r="Z670" s="15"/>
      <c r="AA670" s="15"/>
      <c r="AB670" s="15"/>
      <c r="AC670" s="15"/>
      <c r="AD670" s="15"/>
      <c r="AJ670" s="14"/>
      <c r="AK670" s="14"/>
      <c r="AL670" s="19"/>
      <c r="AM670" s="19"/>
      <c r="AN670" s="19"/>
    </row>
    <row r="671">
      <c r="I671" s="121"/>
      <c r="Q671" s="10"/>
      <c r="S671" s="14"/>
      <c r="X671" s="15"/>
      <c r="Y671" s="15"/>
      <c r="Z671" s="15"/>
      <c r="AA671" s="15"/>
      <c r="AB671" s="15"/>
      <c r="AC671" s="15"/>
      <c r="AD671" s="15"/>
      <c r="AJ671" s="14"/>
      <c r="AK671" s="14"/>
      <c r="AL671" s="19"/>
      <c r="AM671" s="19"/>
      <c r="AN671" s="19"/>
    </row>
    <row r="672">
      <c r="I672" s="121"/>
      <c r="Q672" s="10"/>
      <c r="S672" s="14"/>
      <c r="X672" s="15"/>
      <c r="Y672" s="15"/>
      <c r="Z672" s="15"/>
      <c r="AA672" s="15"/>
      <c r="AB672" s="15"/>
      <c r="AC672" s="15"/>
      <c r="AD672" s="15"/>
      <c r="AJ672" s="14"/>
      <c r="AK672" s="14"/>
      <c r="AL672" s="19"/>
      <c r="AM672" s="19"/>
      <c r="AN672" s="19"/>
    </row>
    <row r="673">
      <c r="I673" s="121"/>
      <c r="Q673" s="10"/>
      <c r="S673" s="14"/>
      <c r="X673" s="15"/>
      <c r="Y673" s="15"/>
      <c r="Z673" s="15"/>
      <c r="AA673" s="15"/>
      <c r="AB673" s="15"/>
      <c r="AC673" s="15"/>
      <c r="AD673" s="15"/>
      <c r="AJ673" s="14"/>
      <c r="AK673" s="14"/>
      <c r="AL673" s="19"/>
      <c r="AM673" s="19"/>
      <c r="AN673" s="19"/>
    </row>
    <row r="674">
      <c r="I674" s="121"/>
      <c r="Q674" s="10"/>
      <c r="S674" s="14"/>
      <c r="X674" s="15"/>
      <c r="Y674" s="15"/>
      <c r="Z674" s="15"/>
      <c r="AA674" s="15"/>
      <c r="AB674" s="15"/>
      <c r="AC674" s="15"/>
      <c r="AD674" s="15"/>
      <c r="AJ674" s="14"/>
      <c r="AK674" s="14"/>
      <c r="AL674" s="19"/>
      <c r="AM674" s="19"/>
      <c r="AN674" s="19"/>
    </row>
    <row r="675">
      <c r="I675" s="121"/>
      <c r="Q675" s="10"/>
      <c r="S675" s="14"/>
      <c r="X675" s="15"/>
      <c r="Y675" s="15"/>
      <c r="Z675" s="15"/>
      <c r="AA675" s="15"/>
      <c r="AB675" s="15"/>
      <c r="AC675" s="15"/>
      <c r="AD675" s="15"/>
      <c r="AJ675" s="14"/>
      <c r="AK675" s="14"/>
      <c r="AL675" s="19"/>
      <c r="AM675" s="19"/>
      <c r="AN675" s="19"/>
    </row>
    <row r="676">
      <c r="I676" s="121"/>
      <c r="Q676" s="10"/>
      <c r="S676" s="14"/>
      <c r="X676" s="15"/>
      <c r="Y676" s="15"/>
      <c r="Z676" s="15"/>
      <c r="AA676" s="15"/>
      <c r="AB676" s="15"/>
      <c r="AC676" s="15"/>
      <c r="AD676" s="15"/>
      <c r="AJ676" s="14"/>
      <c r="AK676" s="14"/>
      <c r="AL676" s="19"/>
      <c r="AM676" s="19"/>
      <c r="AN676" s="19"/>
    </row>
    <row r="677">
      <c r="I677" s="121"/>
      <c r="Q677" s="10"/>
      <c r="S677" s="14"/>
      <c r="X677" s="15"/>
      <c r="Y677" s="15"/>
      <c r="Z677" s="15"/>
      <c r="AA677" s="15"/>
      <c r="AB677" s="15"/>
      <c r="AC677" s="15"/>
      <c r="AD677" s="15"/>
      <c r="AJ677" s="14"/>
      <c r="AK677" s="14"/>
      <c r="AL677" s="19"/>
      <c r="AM677" s="19"/>
      <c r="AN677" s="19"/>
    </row>
    <row r="678">
      <c r="I678" s="121"/>
      <c r="Q678" s="10"/>
      <c r="S678" s="14"/>
      <c r="X678" s="15"/>
      <c r="Y678" s="15"/>
      <c r="Z678" s="15"/>
      <c r="AA678" s="15"/>
      <c r="AB678" s="15"/>
      <c r="AC678" s="15"/>
      <c r="AD678" s="15"/>
      <c r="AJ678" s="14"/>
      <c r="AK678" s="14"/>
      <c r="AL678" s="19"/>
      <c r="AM678" s="19"/>
      <c r="AN678" s="19"/>
    </row>
    <row r="679">
      <c r="I679" s="121"/>
      <c r="Q679" s="10"/>
      <c r="S679" s="14"/>
      <c r="X679" s="15"/>
      <c r="Y679" s="15"/>
      <c r="Z679" s="15"/>
      <c r="AA679" s="15"/>
      <c r="AB679" s="15"/>
      <c r="AC679" s="15"/>
      <c r="AD679" s="15"/>
      <c r="AJ679" s="14"/>
      <c r="AK679" s="14"/>
      <c r="AL679" s="19"/>
      <c r="AM679" s="19"/>
      <c r="AN679" s="19"/>
    </row>
    <row r="680">
      <c r="I680" s="121"/>
      <c r="Q680" s="10"/>
      <c r="S680" s="14"/>
      <c r="X680" s="15"/>
      <c r="Y680" s="15"/>
      <c r="Z680" s="15"/>
      <c r="AA680" s="15"/>
      <c r="AB680" s="15"/>
      <c r="AC680" s="15"/>
      <c r="AD680" s="15"/>
      <c r="AJ680" s="14"/>
      <c r="AK680" s="14"/>
      <c r="AL680" s="19"/>
      <c r="AM680" s="19"/>
      <c r="AN680" s="19"/>
    </row>
    <row r="681">
      <c r="I681" s="121"/>
      <c r="Q681" s="10"/>
      <c r="S681" s="14"/>
      <c r="X681" s="15"/>
      <c r="Y681" s="15"/>
      <c r="Z681" s="15"/>
      <c r="AA681" s="15"/>
      <c r="AB681" s="15"/>
      <c r="AC681" s="15"/>
      <c r="AD681" s="15"/>
      <c r="AJ681" s="14"/>
      <c r="AK681" s="14"/>
      <c r="AL681" s="19"/>
      <c r="AM681" s="19"/>
      <c r="AN681" s="19"/>
    </row>
    <row r="682">
      <c r="I682" s="121"/>
      <c r="Q682" s="10"/>
      <c r="S682" s="14"/>
      <c r="X682" s="15"/>
      <c r="Y682" s="15"/>
      <c r="Z682" s="15"/>
      <c r="AA682" s="15"/>
      <c r="AB682" s="15"/>
      <c r="AC682" s="15"/>
      <c r="AD682" s="15"/>
      <c r="AJ682" s="14"/>
      <c r="AK682" s="14"/>
      <c r="AL682" s="19"/>
      <c r="AM682" s="19"/>
      <c r="AN682" s="19"/>
    </row>
    <row r="683">
      <c r="I683" s="121"/>
      <c r="Q683" s="10"/>
      <c r="S683" s="14"/>
      <c r="X683" s="15"/>
      <c r="Y683" s="15"/>
      <c r="Z683" s="15"/>
      <c r="AA683" s="15"/>
      <c r="AB683" s="15"/>
      <c r="AC683" s="15"/>
      <c r="AD683" s="15"/>
      <c r="AJ683" s="14"/>
      <c r="AK683" s="14"/>
      <c r="AL683" s="19"/>
      <c r="AM683" s="19"/>
      <c r="AN683" s="19"/>
    </row>
    <row r="684">
      <c r="I684" s="121"/>
      <c r="Q684" s="10"/>
      <c r="S684" s="14"/>
      <c r="X684" s="15"/>
      <c r="Y684" s="15"/>
      <c r="Z684" s="15"/>
      <c r="AA684" s="15"/>
      <c r="AB684" s="15"/>
      <c r="AC684" s="15"/>
      <c r="AD684" s="15"/>
      <c r="AJ684" s="14"/>
      <c r="AK684" s="14"/>
      <c r="AL684" s="19"/>
      <c r="AM684" s="19"/>
      <c r="AN684" s="19"/>
    </row>
    <row r="685">
      <c r="I685" s="121"/>
      <c r="Q685" s="10"/>
      <c r="S685" s="14"/>
      <c r="X685" s="15"/>
      <c r="Y685" s="15"/>
      <c r="Z685" s="15"/>
      <c r="AA685" s="15"/>
      <c r="AB685" s="15"/>
      <c r="AC685" s="15"/>
      <c r="AD685" s="15"/>
      <c r="AJ685" s="14"/>
      <c r="AK685" s="14"/>
      <c r="AL685" s="19"/>
      <c r="AM685" s="19"/>
      <c r="AN685" s="19"/>
    </row>
    <row r="686">
      <c r="I686" s="121"/>
      <c r="Q686" s="10"/>
      <c r="S686" s="14"/>
      <c r="X686" s="15"/>
      <c r="Y686" s="15"/>
      <c r="Z686" s="15"/>
      <c r="AA686" s="15"/>
      <c r="AB686" s="15"/>
      <c r="AC686" s="15"/>
      <c r="AD686" s="15"/>
      <c r="AJ686" s="14"/>
      <c r="AK686" s="14"/>
      <c r="AL686" s="19"/>
      <c r="AM686" s="19"/>
      <c r="AN686" s="19"/>
    </row>
    <row r="687">
      <c r="I687" s="121"/>
      <c r="Q687" s="10"/>
      <c r="S687" s="14"/>
      <c r="X687" s="15"/>
      <c r="Y687" s="15"/>
      <c r="Z687" s="15"/>
      <c r="AA687" s="15"/>
      <c r="AB687" s="15"/>
      <c r="AC687" s="15"/>
      <c r="AD687" s="15"/>
      <c r="AJ687" s="14"/>
      <c r="AK687" s="14"/>
      <c r="AL687" s="19"/>
      <c r="AM687" s="19"/>
      <c r="AN687" s="19"/>
    </row>
    <row r="688">
      <c r="I688" s="121"/>
      <c r="Q688" s="10"/>
      <c r="S688" s="14"/>
      <c r="X688" s="15"/>
      <c r="Y688" s="15"/>
      <c r="Z688" s="15"/>
      <c r="AA688" s="15"/>
      <c r="AB688" s="15"/>
      <c r="AC688" s="15"/>
      <c r="AD688" s="15"/>
      <c r="AJ688" s="14"/>
      <c r="AK688" s="14"/>
      <c r="AL688" s="19"/>
      <c r="AM688" s="19"/>
      <c r="AN688" s="19"/>
    </row>
    <row r="689">
      <c r="I689" s="121"/>
      <c r="Q689" s="10"/>
      <c r="S689" s="14"/>
      <c r="X689" s="15"/>
      <c r="Y689" s="15"/>
      <c r="Z689" s="15"/>
      <c r="AA689" s="15"/>
      <c r="AB689" s="15"/>
      <c r="AC689" s="15"/>
      <c r="AD689" s="15"/>
      <c r="AJ689" s="14"/>
      <c r="AK689" s="14"/>
      <c r="AL689" s="19"/>
      <c r="AM689" s="19"/>
      <c r="AN689" s="19"/>
    </row>
    <row r="690">
      <c r="I690" s="121"/>
      <c r="Q690" s="10"/>
      <c r="S690" s="14"/>
      <c r="X690" s="15"/>
      <c r="Y690" s="15"/>
      <c r="Z690" s="15"/>
      <c r="AA690" s="15"/>
      <c r="AB690" s="15"/>
      <c r="AC690" s="15"/>
      <c r="AD690" s="15"/>
      <c r="AJ690" s="14"/>
      <c r="AK690" s="14"/>
      <c r="AL690" s="19"/>
      <c r="AM690" s="19"/>
      <c r="AN690" s="19"/>
    </row>
    <row r="691">
      <c r="I691" s="121"/>
      <c r="Q691" s="10"/>
      <c r="S691" s="14"/>
      <c r="X691" s="15"/>
      <c r="Y691" s="15"/>
      <c r="Z691" s="15"/>
      <c r="AA691" s="15"/>
      <c r="AB691" s="15"/>
      <c r="AC691" s="15"/>
      <c r="AD691" s="15"/>
      <c r="AJ691" s="14"/>
      <c r="AK691" s="14"/>
      <c r="AL691" s="19"/>
      <c r="AM691" s="19"/>
      <c r="AN691" s="19"/>
    </row>
    <row r="692">
      <c r="I692" s="121"/>
      <c r="Q692" s="10"/>
      <c r="S692" s="14"/>
      <c r="X692" s="15"/>
      <c r="Y692" s="15"/>
      <c r="Z692" s="15"/>
      <c r="AA692" s="15"/>
      <c r="AB692" s="15"/>
      <c r="AC692" s="15"/>
      <c r="AD692" s="15"/>
      <c r="AJ692" s="14"/>
      <c r="AK692" s="14"/>
      <c r="AL692" s="19"/>
      <c r="AM692" s="19"/>
      <c r="AN692" s="19"/>
    </row>
    <row r="693">
      <c r="I693" s="121"/>
      <c r="Q693" s="10"/>
      <c r="S693" s="14"/>
      <c r="X693" s="15"/>
      <c r="Y693" s="15"/>
      <c r="Z693" s="15"/>
      <c r="AA693" s="15"/>
      <c r="AB693" s="15"/>
      <c r="AC693" s="15"/>
      <c r="AD693" s="15"/>
      <c r="AJ693" s="14"/>
      <c r="AK693" s="14"/>
      <c r="AL693" s="19"/>
      <c r="AM693" s="19"/>
      <c r="AN693" s="19"/>
    </row>
    <row r="694">
      <c r="I694" s="121"/>
      <c r="Q694" s="10"/>
      <c r="S694" s="14"/>
      <c r="X694" s="15"/>
      <c r="Y694" s="15"/>
      <c r="Z694" s="15"/>
      <c r="AA694" s="15"/>
      <c r="AB694" s="15"/>
      <c r="AC694" s="15"/>
      <c r="AD694" s="15"/>
      <c r="AJ694" s="14"/>
      <c r="AK694" s="14"/>
      <c r="AL694" s="19"/>
      <c r="AM694" s="19"/>
      <c r="AN694" s="19"/>
    </row>
    <row r="695">
      <c r="I695" s="121"/>
      <c r="Q695" s="10"/>
      <c r="S695" s="14"/>
      <c r="X695" s="15"/>
      <c r="Y695" s="15"/>
      <c r="Z695" s="15"/>
      <c r="AA695" s="15"/>
      <c r="AB695" s="15"/>
      <c r="AC695" s="15"/>
      <c r="AD695" s="15"/>
      <c r="AJ695" s="14"/>
      <c r="AK695" s="14"/>
      <c r="AL695" s="19"/>
      <c r="AM695" s="19"/>
      <c r="AN695" s="19"/>
    </row>
    <row r="696">
      <c r="I696" s="121"/>
      <c r="Q696" s="10"/>
      <c r="S696" s="14"/>
      <c r="X696" s="15"/>
      <c r="Y696" s="15"/>
      <c r="Z696" s="15"/>
      <c r="AA696" s="15"/>
      <c r="AB696" s="15"/>
      <c r="AC696" s="15"/>
      <c r="AD696" s="15"/>
      <c r="AJ696" s="14"/>
      <c r="AK696" s="14"/>
      <c r="AL696" s="19"/>
      <c r="AM696" s="19"/>
      <c r="AN696" s="19"/>
    </row>
    <row r="697">
      <c r="I697" s="121"/>
      <c r="Q697" s="10"/>
      <c r="S697" s="14"/>
      <c r="X697" s="15"/>
      <c r="Y697" s="15"/>
      <c r="Z697" s="15"/>
      <c r="AA697" s="15"/>
      <c r="AB697" s="15"/>
      <c r="AC697" s="15"/>
      <c r="AD697" s="15"/>
      <c r="AJ697" s="14"/>
      <c r="AK697" s="14"/>
      <c r="AL697" s="19"/>
      <c r="AM697" s="19"/>
      <c r="AN697" s="19"/>
    </row>
    <row r="698">
      <c r="I698" s="121"/>
      <c r="Q698" s="10"/>
      <c r="S698" s="14"/>
      <c r="X698" s="15"/>
      <c r="Y698" s="15"/>
      <c r="Z698" s="15"/>
      <c r="AA698" s="15"/>
      <c r="AB698" s="15"/>
      <c r="AC698" s="15"/>
      <c r="AD698" s="15"/>
      <c r="AJ698" s="14"/>
      <c r="AK698" s="14"/>
      <c r="AL698" s="19"/>
      <c r="AM698" s="19"/>
      <c r="AN698" s="19"/>
    </row>
    <row r="699">
      <c r="I699" s="121"/>
      <c r="Q699" s="10"/>
      <c r="S699" s="14"/>
      <c r="X699" s="15"/>
      <c r="Y699" s="15"/>
      <c r="Z699" s="15"/>
      <c r="AA699" s="15"/>
      <c r="AB699" s="15"/>
      <c r="AC699" s="15"/>
      <c r="AD699" s="15"/>
      <c r="AJ699" s="14"/>
      <c r="AK699" s="14"/>
      <c r="AL699" s="19"/>
      <c r="AM699" s="19"/>
      <c r="AN699" s="19"/>
    </row>
    <row r="700">
      <c r="I700" s="121"/>
      <c r="Q700" s="10"/>
      <c r="S700" s="14"/>
      <c r="X700" s="15"/>
      <c r="Y700" s="15"/>
      <c r="Z700" s="15"/>
      <c r="AA700" s="15"/>
      <c r="AB700" s="15"/>
      <c r="AC700" s="15"/>
      <c r="AD700" s="15"/>
      <c r="AJ700" s="14"/>
      <c r="AK700" s="14"/>
      <c r="AL700" s="19"/>
      <c r="AM700" s="19"/>
      <c r="AN700" s="19"/>
    </row>
    <row r="701">
      <c r="I701" s="121"/>
      <c r="Q701" s="10"/>
      <c r="S701" s="14"/>
      <c r="X701" s="15"/>
      <c r="Y701" s="15"/>
      <c r="Z701" s="15"/>
      <c r="AA701" s="15"/>
      <c r="AB701" s="15"/>
      <c r="AC701" s="15"/>
      <c r="AD701" s="15"/>
      <c r="AJ701" s="14"/>
      <c r="AK701" s="14"/>
      <c r="AL701" s="19"/>
      <c r="AM701" s="19"/>
      <c r="AN701" s="19"/>
    </row>
    <row r="702">
      <c r="I702" s="121"/>
      <c r="Q702" s="10"/>
      <c r="S702" s="14"/>
      <c r="X702" s="15"/>
      <c r="Y702" s="15"/>
      <c r="Z702" s="15"/>
      <c r="AA702" s="15"/>
      <c r="AB702" s="15"/>
      <c r="AC702" s="15"/>
      <c r="AD702" s="15"/>
      <c r="AJ702" s="14"/>
      <c r="AK702" s="14"/>
      <c r="AL702" s="19"/>
      <c r="AM702" s="19"/>
      <c r="AN702" s="19"/>
    </row>
    <row r="703">
      <c r="I703" s="121"/>
      <c r="Q703" s="10"/>
      <c r="S703" s="14"/>
      <c r="X703" s="15"/>
      <c r="Y703" s="15"/>
      <c r="Z703" s="15"/>
      <c r="AA703" s="15"/>
      <c r="AB703" s="15"/>
      <c r="AC703" s="15"/>
      <c r="AD703" s="15"/>
      <c r="AJ703" s="14"/>
      <c r="AK703" s="14"/>
      <c r="AL703" s="19"/>
      <c r="AM703" s="19"/>
      <c r="AN703" s="19"/>
    </row>
    <row r="704">
      <c r="I704" s="121"/>
      <c r="Q704" s="10"/>
      <c r="S704" s="14"/>
      <c r="X704" s="15"/>
      <c r="Y704" s="15"/>
      <c r="Z704" s="15"/>
      <c r="AA704" s="15"/>
      <c r="AB704" s="15"/>
      <c r="AC704" s="15"/>
      <c r="AD704" s="15"/>
      <c r="AJ704" s="14"/>
      <c r="AK704" s="14"/>
      <c r="AL704" s="19"/>
      <c r="AM704" s="19"/>
      <c r="AN704" s="19"/>
    </row>
    <row r="705">
      <c r="I705" s="121"/>
      <c r="Q705" s="10"/>
      <c r="S705" s="14"/>
      <c r="X705" s="15"/>
      <c r="Y705" s="15"/>
      <c r="Z705" s="15"/>
      <c r="AA705" s="15"/>
      <c r="AB705" s="15"/>
      <c r="AC705" s="15"/>
      <c r="AD705" s="15"/>
      <c r="AJ705" s="14"/>
      <c r="AK705" s="14"/>
      <c r="AL705" s="19"/>
      <c r="AM705" s="19"/>
      <c r="AN705" s="19"/>
    </row>
    <row r="706">
      <c r="I706" s="121"/>
      <c r="Q706" s="10"/>
      <c r="S706" s="14"/>
      <c r="X706" s="15"/>
      <c r="Y706" s="15"/>
      <c r="Z706" s="15"/>
      <c r="AA706" s="15"/>
      <c r="AB706" s="15"/>
      <c r="AC706" s="15"/>
      <c r="AD706" s="15"/>
      <c r="AJ706" s="14"/>
      <c r="AK706" s="14"/>
      <c r="AL706" s="19"/>
      <c r="AM706" s="19"/>
      <c r="AN706" s="19"/>
    </row>
    <row r="707">
      <c r="I707" s="121"/>
      <c r="Q707" s="10"/>
      <c r="S707" s="14"/>
      <c r="X707" s="15"/>
      <c r="Y707" s="15"/>
      <c r="Z707" s="15"/>
      <c r="AA707" s="15"/>
      <c r="AB707" s="15"/>
      <c r="AC707" s="15"/>
      <c r="AD707" s="15"/>
      <c r="AJ707" s="14"/>
      <c r="AK707" s="14"/>
      <c r="AL707" s="19"/>
      <c r="AM707" s="19"/>
      <c r="AN707" s="19"/>
    </row>
    <row r="708">
      <c r="I708" s="121"/>
      <c r="Q708" s="10"/>
      <c r="S708" s="14"/>
      <c r="X708" s="15"/>
      <c r="Y708" s="15"/>
      <c r="Z708" s="15"/>
      <c r="AA708" s="15"/>
      <c r="AB708" s="15"/>
      <c r="AC708" s="15"/>
      <c r="AD708" s="15"/>
      <c r="AJ708" s="14"/>
      <c r="AK708" s="14"/>
      <c r="AL708" s="19"/>
      <c r="AM708" s="19"/>
      <c r="AN708" s="19"/>
    </row>
    <row r="709">
      <c r="I709" s="121"/>
      <c r="Q709" s="10"/>
      <c r="S709" s="14"/>
      <c r="X709" s="15"/>
      <c r="Y709" s="15"/>
      <c r="Z709" s="15"/>
      <c r="AA709" s="15"/>
      <c r="AB709" s="15"/>
      <c r="AC709" s="15"/>
      <c r="AD709" s="15"/>
      <c r="AJ709" s="14"/>
      <c r="AK709" s="14"/>
      <c r="AL709" s="19"/>
      <c r="AM709" s="19"/>
      <c r="AN709" s="19"/>
    </row>
    <row r="710">
      <c r="I710" s="121"/>
      <c r="Q710" s="10"/>
      <c r="S710" s="14"/>
      <c r="X710" s="15"/>
      <c r="Y710" s="15"/>
      <c r="Z710" s="15"/>
      <c r="AA710" s="15"/>
      <c r="AB710" s="15"/>
      <c r="AC710" s="15"/>
      <c r="AD710" s="15"/>
      <c r="AJ710" s="14"/>
      <c r="AK710" s="14"/>
      <c r="AL710" s="19"/>
      <c r="AM710" s="19"/>
      <c r="AN710" s="19"/>
    </row>
    <row r="711">
      <c r="I711" s="121"/>
      <c r="Q711" s="10"/>
      <c r="S711" s="14"/>
      <c r="X711" s="15"/>
      <c r="Y711" s="15"/>
      <c r="Z711" s="15"/>
      <c r="AA711" s="15"/>
      <c r="AB711" s="15"/>
      <c r="AC711" s="15"/>
      <c r="AD711" s="15"/>
      <c r="AJ711" s="14"/>
      <c r="AK711" s="14"/>
      <c r="AL711" s="19"/>
      <c r="AM711" s="19"/>
      <c r="AN711" s="19"/>
    </row>
    <row r="712">
      <c r="I712" s="121"/>
      <c r="Q712" s="10"/>
      <c r="S712" s="14"/>
      <c r="X712" s="15"/>
      <c r="Y712" s="15"/>
      <c r="Z712" s="15"/>
      <c r="AA712" s="15"/>
      <c r="AB712" s="15"/>
      <c r="AC712" s="15"/>
      <c r="AD712" s="15"/>
      <c r="AJ712" s="14"/>
      <c r="AK712" s="14"/>
      <c r="AL712" s="19"/>
      <c r="AM712" s="19"/>
      <c r="AN712" s="19"/>
    </row>
    <row r="713">
      <c r="I713" s="121"/>
      <c r="Q713" s="10"/>
      <c r="S713" s="14"/>
      <c r="X713" s="15"/>
      <c r="Y713" s="15"/>
      <c r="Z713" s="15"/>
      <c r="AA713" s="15"/>
      <c r="AB713" s="15"/>
      <c r="AC713" s="15"/>
      <c r="AD713" s="15"/>
      <c r="AJ713" s="14"/>
      <c r="AK713" s="14"/>
      <c r="AL713" s="19"/>
      <c r="AM713" s="19"/>
      <c r="AN713" s="19"/>
    </row>
    <row r="714">
      <c r="I714" s="121"/>
      <c r="Q714" s="10"/>
      <c r="S714" s="14"/>
      <c r="X714" s="15"/>
      <c r="Y714" s="15"/>
      <c r="Z714" s="15"/>
      <c r="AA714" s="15"/>
      <c r="AB714" s="15"/>
      <c r="AC714" s="15"/>
      <c r="AD714" s="15"/>
      <c r="AJ714" s="14"/>
      <c r="AK714" s="14"/>
      <c r="AL714" s="19"/>
      <c r="AM714" s="19"/>
      <c r="AN714" s="19"/>
    </row>
    <row r="715">
      <c r="I715" s="121"/>
      <c r="Q715" s="10"/>
      <c r="S715" s="14"/>
      <c r="X715" s="15"/>
      <c r="Y715" s="15"/>
      <c r="Z715" s="15"/>
      <c r="AA715" s="15"/>
      <c r="AB715" s="15"/>
      <c r="AC715" s="15"/>
      <c r="AD715" s="15"/>
      <c r="AJ715" s="14"/>
      <c r="AK715" s="14"/>
      <c r="AL715" s="19"/>
      <c r="AM715" s="19"/>
      <c r="AN715" s="19"/>
    </row>
    <row r="716">
      <c r="I716" s="121"/>
      <c r="Q716" s="10"/>
      <c r="S716" s="14"/>
      <c r="X716" s="15"/>
      <c r="Y716" s="15"/>
      <c r="Z716" s="15"/>
      <c r="AA716" s="15"/>
      <c r="AB716" s="15"/>
      <c r="AC716" s="15"/>
      <c r="AD716" s="15"/>
      <c r="AJ716" s="14"/>
      <c r="AK716" s="14"/>
      <c r="AL716" s="19"/>
      <c r="AM716" s="19"/>
      <c r="AN716" s="19"/>
    </row>
    <row r="717">
      <c r="I717" s="121"/>
      <c r="Q717" s="10"/>
      <c r="S717" s="14"/>
      <c r="X717" s="15"/>
      <c r="Y717" s="15"/>
      <c r="Z717" s="15"/>
      <c r="AA717" s="15"/>
      <c r="AB717" s="15"/>
      <c r="AC717" s="15"/>
      <c r="AD717" s="15"/>
      <c r="AJ717" s="14"/>
      <c r="AK717" s="14"/>
      <c r="AL717" s="19"/>
      <c r="AM717" s="19"/>
      <c r="AN717" s="19"/>
    </row>
    <row r="718">
      <c r="I718" s="121"/>
      <c r="Q718" s="10"/>
      <c r="S718" s="14"/>
      <c r="X718" s="15"/>
      <c r="Y718" s="15"/>
      <c r="Z718" s="15"/>
      <c r="AA718" s="15"/>
      <c r="AB718" s="15"/>
      <c r="AC718" s="15"/>
      <c r="AD718" s="15"/>
      <c r="AJ718" s="14"/>
      <c r="AK718" s="14"/>
      <c r="AL718" s="19"/>
      <c r="AM718" s="19"/>
      <c r="AN718" s="19"/>
    </row>
    <row r="719">
      <c r="I719" s="121"/>
      <c r="Q719" s="10"/>
      <c r="S719" s="14"/>
      <c r="X719" s="15"/>
      <c r="Y719" s="15"/>
      <c r="Z719" s="15"/>
      <c r="AA719" s="15"/>
      <c r="AB719" s="15"/>
      <c r="AC719" s="15"/>
      <c r="AD719" s="15"/>
      <c r="AJ719" s="14"/>
      <c r="AK719" s="14"/>
      <c r="AL719" s="19"/>
      <c r="AM719" s="19"/>
      <c r="AN719" s="19"/>
    </row>
    <row r="720">
      <c r="I720" s="121"/>
      <c r="Q720" s="10"/>
      <c r="S720" s="14"/>
      <c r="X720" s="15"/>
      <c r="Y720" s="15"/>
      <c r="Z720" s="15"/>
      <c r="AA720" s="15"/>
      <c r="AB720" s="15"/>
      <c r="AC720" s="15"/>
      <c r="AD720" s="15"/>
      <c r="AJ720" s="14"/>
      <c r="AK720" s="14"/>
      <c r="AL720" s="19"/>
      <c r="AM720" s="19"/>
      <c r="AN720" s="19"/>
    </row>
    <row r="721">
      <c r="I721" s="121"/>
      <c r="Q721" s="10"/>
      <c r="S721" s="14"/>
      <c r="X721" s="15"/>
      <c r="Y721" s="15"/>
      <c r="Z721" s="15"/>
      <c r="AA721" s="15"/>
      <c r="AB721" s="15"/>
      <c r="AC721" s="15"/>
      <c r="AD721" s="15"/>
      <c r="AJ721" s="14"/>
      <c r="AK721" s="14"/>
      <c r="AL721" s="19"/>
      <c r="AM721" s="19"/>
      <c r="AN721" s="19"/>
    </row>
    <row r="722">
      <c r="I722" s="121"/>
      <c r="Q722" s="10"/>
      <c r="S722" s="14"/>
      <c r="X722" s="15"/>
      <c r="Y722" s="15"/>
      <c r="Z722" s="15"/>
      <c r="AA722" s="15"/>
      <c r="AB722" s="15"/>
      <c r="AC722" s="15"/>
      <c r="AD722" s="15"/>
      <c r="AJ722" s="14"/>
      <c r="AK722" s="14"/>
      <c r="AL722" s="19"/>
      <c r="AM722" s="19"/>
      <c r="AN722" s="19"/>
    </row>
    <row r="723">
      <c r="I723" s="121"/>
      <c r="Q723" s="10"/>
      <c r="S723" s="14"/>
      <c r="X723" s="15"/>
      <c r="Y723" s="15"/>
      <c r="Z723" s="15"/>
      <c r="AA723" s="15"/>
      <c r="AB723" s="15"/>
      <c r="AC723" s="15"/>
      <c r="AD723" s="15"/>
      <c r="AJ723" s="14"/>
      <c r="AK723" s="14"/>
      <c r="AL723" s="19"/>
      <c r="AM723" s="19"/>
      <c r="AN723" s="19"/>
    </row>
    <row r="724">
      <c r="I724" s="121"/>
      <c r="Q724" s="10"/>
      <c r="S724" s="14"/>
      <c r="X724" s="15"/>
      <c r="Y724" s="15"/>
      <c r="Z724" s="15"/>
      <c r="AA724" s="15"/>
      <c r="AB724" s="15"/>
      <c r="AC724" s="15"/>
      <c r="AD724" s="15"/>
      <c r="AJ724" s="14"/>
      <c r="AK724" s="14"/>
      <c r="AL724" s="19"/>
      <c r="AM724" s="19"/>
      <c r="AN724" s="19"/>
    </row>
    <row r="725">
      <c r="I725" s="121"/>
      <c r="Q725" s="10"/>
      <c r="S725" s="14"/>
      <c r="X725" s="15"/>
      <c r="Y725" s="15"/>
      <c r="Z725" s="15"/>
      <c r="AA725" s="15"/>
      <c r="AB725" s="15"/>
      <c r="AC725" s="15"/>
      <c r="AD725" s="15"/>
      <c r="AJ725" s="14"/>
      <c r="AK725" s="14"/>
      <c r="AL725" s="19"/>
      <c r="AM725" s="19"/>
      <c r="AN725" s="19"/>
    </row>
    <row r="726">
      <c r="I726" s="121"/>
      <c r="Q726" s="10"/>
      <c r="S726" s="14"/>
      <c r="X726" s="15"/>
      <c r="Y726" s="15"/>
      <c r="Z726" s="15"/>
      <c r="AA726" s="15"/>
      <c r="AB726" s="15"/>
      <c r="AC726" s="15"/>
      <c r="AD726" s="15"/>
      <c r="AJ726" s="14"/>
      <c r="AK726" s="14"/>
      <c r="AL726" s="19"/>
      <c r="AM726" s="19"/>
      <c r="AN726" s="19"/>
    </row>
    <row r="727">
      <c r="I727" s="121"/>
      <c r="Q727" s="10"/>
      <c r="S727" s="14"/>
      <c r="X727" s="15"/>
      <c r="Y727" s="15"/>
      <c r="Z727" s="15"/>
      <c r="AA727" s="15"/>
      <c r="AB727" s="15"/>
      <c r="AC727" s="15"/>
      <c r="AD727" s="15"/>
      <c r="AJ727" s="14"/>
      <c r="AK727" s="14"/>
      <c r="AL727" s="19"/>
      <c r="AM727" s="19"/>
      <c r="AN727" s="19"/>
    </row>
    <row r="728">
      <c r="I728" s="121"/>
      <c r="Q728" s="10"/>
      <c r="S728" s="14"/>
      <c r="X728" s="15"/>
      <c r="Y728" s="15"/>
      <c r="Z728" s="15"/>
      <c r="AA728" s="15"/>
      <c r="AB728" s="15"/>
      <c r="AC728" s="15"/>
      <c r="AD728" s="15"/>
      <c r="AJ728" s="14"/>
      <c r="AK728" s="14"/>
      <c r="AL728" s="19"/>
      <c r="AM728" s="19"/>
      <c r="AN728" s="19"/>
    </row>
    <row r="729">
      <c r="I729" s="121"/>
      <c r="Q729" s="10"/>
      <c r="S729" s="14"/>
      <c r="X729" s="15"/>
      <c r="Y729" s="15"/>
      <c r="Z729" s="15"/>
      <c r="AA729" s="15"/>
      <c r="AB729" s="15"/>
      <c r="AC729" s="15"/>
      <c r="AD729" s="15"/>
      <c r="AJ729" s="14"/>
      <c r="AK729" s="14"/>
      <c r="AL729" s="19"/>
      <c r="AM729" s="19"/>
      <c r="AN729" s="19"/>
    </row>
    <row r="730">
      <c r="I730" s="121"/>
      <c r="Q730" s="10"/>
      <c r="S730" s="14"/>
      <c r="X730" s="15"/>
      <c r="Y730" s="15"/>
      <c r="Z730" s="15"/>
      <c r="AA730" s="15"/>
      <c r="AB730" s="15"/>
      <c r="AC730" s="15"/>
      <c r="AD730" s="15"/>
      <c r="AJ730" s="14"/>
      <c r="AK730" s="14"/>
      <c r="AL730" s="19"/>
      <c r="AM730" s="19"/>
      <c r="AN730" s="19"/>
    </row>
    <row r="731">
      <c r="I731" s="121"/>
      <c r="Q731" s="10"/>
      <c r="S731" s="14"/>
      <c r="X731" s="15"/>
      <c r="Y731" s="15"/>
      <c r="Z731" s="15"/>
      <c r="AA731" s="15"/>
      <c r="AB731" s="15"/>
      <c r="AC731" s="15"/>
      <c r="AD731" s="15"/>
      <c r="AJ731" s="14"/>
      <c r="AK731" s="14"/>
      <c r="AL731" s="19"/>
      <c r="AM731" s="19"/>
      <c r="AN731" s="19"/>
    </row>
    <row r="732">
      <c r="I732" s="121"/>
      <c r="Q732" s="10"/>
      <c r="S732" s="14"/>
      <c r="X732" s="15"/>
      <c r="Y732" s="15"/>
      <c r="Z732" s="15"/>
      <c r="AA732" s="15"/>
      <c r="AB732" s="15"/>
      <c r="AC732" s="15"/>
      <c r="AD732" s="15"/>
      <c r="AJ732" s="14"/>
      <c r="AK732" s="14"/>
      <c r="AL732" s="19"/>
      <c r="AM732" s="19"/>
      <c r="AN732" s="19"/>
    </row>
    <row r="733">
      <c r="I733" s="121"/>
      <c r="Q733" s="10"/>
      <c r="S733" s="14"/>
      <c r="X733" s="15"/>
      <c r="Y733" s="15"/>
      <c r="Z733" s="15"/>
      <c r="AA733" s="15"/>
      <c r="AB733" s="15"/>
      <c r="AC733" s="15"/>
      <c r="AD733" s="15"/>
      <c r="AJ733" s="14"/>
      <c r="AK733" s="14"/>
      <c r="AL733" s="19"/>
      <c r="AM733" s="19"/>
      <c r="AN733" s="19"/>
    </row>
    <row r="734">
      <c r="I734" s="121"/>
      <c r="Q734" s="10"/>
      <c r="S734" s="14"/>
      <c r="X734" s="15"/>
      <c r="Y734" s="15"/>
      <c r="Z734" s="15"/>
      <c r="AA734" s="15"/>
      <c r="AB734" s="15"/>
      <c r="AC734" s="15"/>
      <c r="AD734" s="15"/>
      <c r="AJ734" s="14"/>
      <c r="AK734" s="14"/>
      <c r="AL734" s="19"/>
      <c r="AM734" s="19"/>
      <c r="AN734" s="19"/>
    </row>
    <row r="735">
      <c r="I735" s="121"/>
      <c r="Q735" s="10"/>
      <c r="S735" s="14"/>
      <c r="X735" s="15"/>
      <c r="Y735" s="15"/>
      <c r="Z735" s="15"/>
      <c r="AA735" s="15"/>
      <c r="AB735" s="15"/>
      <c r="AC735" s="15"/>
      <c r="AD735" s="15"/>
      <c r="AJ735" s="14"/>
      <c r="AK735" s="14"/>
      <c r="AL735" s="19"/>
      <c r="AM735" s="19"/>
      <c r="AN735" s="19"/>
    </row>
    <row r="736">
      <c r="I736" s="121"/>
      <c r="Q736" s="10"/>
      <c r="S736" s="14"/>
      <c r="X736" s="15"/>
      <c r="Y736" s="15"/>
      <c r="Z736" s="15"/>
      <c r="AA736" s="15"/>
      <c r="AB736" s="15"/>
      <c r="AC736" s="15"/>
      <c r="AD736" s="15"/>
      <c r="AJ736" s="14"/>
      <c r="AK736" s="14"/>
      <c r="AL736" s="19"/>
      <c r="AM736" s="19"/>
      <c r="AN736" s="19"/>
    </row>
    <row r="737">
      <c r="I737" s="121"/>
      <c r="Q737" s="10"/>
      <c r="S737" s="14"/>
      <c r="X737" s="15"/>
      <c r="Y737" s="15"/>
      <c r="Z737" s="15"/>
      <c r="AA737" s="15"/>
      <c r="AB737" s="15"/>
      <c r="AC737" s="15"/>
      <c r="AD737" s="15"/>
      <c r="AJ737" s="14"/>
      <c r="AK737" s="14"/>
      <c r="AL737" s="19"/>
      <c r="AM737" s="19"/>
      <c r="AN737" s="19"/>
    </row>
    <row r="738">
      <c r="I738" s="121"/>
      <c r="Q738" s="10"/>
      <c r="S738" s="14"/>
      <c r="X738" s="15"/>
      <c r="Y738" s="15"/>
      <c r="Z738" s="15"/>
      <c r="AA738" s="15"/>
      <c r="AB738" s="15"/>
      <c r="AC738" s="15"/>
      <c r="AD738" s="15"/>
      <c r="AJ738" s="14"/>
      <c r="AK738" s="14"/>
      <c r="AL738" s="19"/>
      <c r="AM738" s="19"/>
      <c r="AN738" s="19"/>
    </row>
    <row r="739">
      <c r="I739" s="121"/>
      <c r="Q739" s="10"/>
      <c r="S739" s="14"/>
      <c r="X739" s="15"/>
      <c r="Y739" s="15"/>
      <c r="Z739" s="15"/>
      <c r="AA739" s="15"/>
      <c r="AB739" s="15"/>
      <c r="AC739" s="15"/>
      <c r="AD739" s="15"/>
      <c r="AJ739" s="14"/>
      <c r="AK739" s="14"/>
      <c r="AL739" s="19"/>
      <c r="AM739" s="19"/>
      <c r="AN739" s="19"/>
    </row>
    <row r="740">
      <c r="I740" s="121"/>
      <c r="Q740" s="10"/>
      <c r="S740" s="14"/>
      <c r="X740" s="15"/>
      <c r="Y740" s="15"/>
      <c r="Z740" s="15"/>
      <c r="AA740" s="15"/>
      <c r="AB740" s="15"/>
      <c r="AC740" s="15"/>
      <c r="AD740" s="15"/>
      <c r="AJ740" s="14"/>
      <c r="AK740" s="14"/>
      <c r="AL740" s="19"/>
      <c r="AM740" s="19"/>
      <c r="AN740" s="19"/>
    </row>
    <row r="741">
      <c r="I741" s="121"/>
      <c r="Q741" s="10"/>
      <c r="S741" s="14"/>
      <c r="X741" s="15"/>
      <c r="Y741" s="15"/>
      <c r="Z741" s="15"/>
      <c r="AA741" s="15"/>
      <c r="AB741" s="15"/>
      <c r="AC741" s="15"/>
      <c r="AD741" s="15"/>
      <c r="AJ741" s="14"/>
      <c r="AK741" s="14"/>
      <c r="AL741" s="19"/>
      <c r="AM741" s="19"/>
      <c r="AN741" s="19"/>
    </row>
    <row r="742">
      <c r="I742" s="121"/>
      <c r="Q742" s="10"/>
      <c r="S742" s="14"/>
      <c r="X742" s="15"/>
      <c r="Y742" s="15"/>
      <c r="Z742" s="15"/>
      <c r="AA742" s="15"/>
      <c r="AB742" s="15"/>
      <c r="AC742" s="15"/>
      <c r="AD742" s="15"/>
      <c r="AJ742" s="14"/>
      <c r="AK742" s="14"/>
      <c r="AL742" s="19"/>
      <c r="AM742" s="19"/>
      <c r="AN742" s="19"/>
    </row>
    <row r="743">
      <c r="I743" s="121"/>
      <c r="Q743" s="10"/>
      <c r="S743" s="14"/>
      <c r="X743" s="15"/>
      <c r="Y743" s="15"/>
      <c r="Z743" s="15"/>
      <c r="AA743" s="15"/>
      <c r="AB743" s="15"/>
      <c r="AC743" s="15"/>
      <c r="AD743" s="15"/>
      <c r="AJ743" s="14"/>
      <c r="AK743" s="14"/>
      <c r="AL743" s="19"/>
      <c r="AM743" s="19"/>
      <c r="AN743" s="19"/>
    </row>
    <row r="744">
      <c r="I744" s="121"/>
      <c r="Q744" s="10"/>
      <c r="S744" s="14"/>
      <c r="X744" s="15"/>
      <c r="Y744" s="15"/>
      <c r="Z744" s="15"/>
      <c r="AA744" s="15"/>
      <c r="AB744" s="15"/>
      <c r="AC744" s="15"/>
      <c r="AD744" s="15"/>
      <c r="AJ744" s="14"/>
      <c r="AK744" s="14"/>
      <c r="AL744" s="19"/>
      <c r="AM744" s="19"/>
      <c r="AN744" s="19"/>
    </row>
    <row r="745">
      <c r="I745" s="121"/>
      <c r="Q745" s="10"/>
      <c r="S745" s="14"/>
      <c r="X745" s="15"/>
      <c r="Y745" s="15"/>
      <c r="Z745" s="15"/>
      <c r="AA745" s="15"/>
      <c r="AB745" s="15"/>
      <c r="AC745" s="15"/>
      <c r="AD745" s="15"/>
      <c r="AJ745" s="14"/>
      <c r="AK745" s="14"/>
      <c r="AL745" s="19"/>
      <c r="AM745" s="19"/>
      <c r="AN745" s="19"/>
    </row>
    <row r="746">
      <c r="I746" s="121"/>
      <c r="Q746" s="10"/>
      <c r="S746" s="14"/>
      <c r="X746" s="15"/>
      <c r="Y746" s="15"/>
      <c r="Z746" s="15"/>
      <c r="AA746" s="15"/>
      <c r="AB746" s="15"/>
      <c r="AC746" s="15"/>
      <c r="AD746" s="15"/>
      <c r="AJ746" s="14"/>
      <c r="AK746" s="14"/>
      <c r="AL746" s="19"/>
      <c r="AM746" s="19"/>
      <c r="AN746" s="19"/>
    </row>
    <row r="747">
      <c r="I747" s="121"/>
      <c r="Q747" s="10"/>
      <c r="S747" s="14"/>
      <c r="X747" s="15"/>
      <c r="Y747" s="15"/>
      <c r="Z747" s="15"/>
      <c r="AA747" s="15"/>
      <c r="AB747" s="15"/>
      <c r="AC747" s="15"/>
      <c r="AD747" s="15"/>
      <c r="AJ747" s="14"/>
      <c r="AK747" s="14"/>
      <c r="AL747" s="19"/>
      <c r="AM747" s="19"/>
      <c r="AN747" s="19"/>
    </row>
    <row r="748">
      <c r="I748" s="121"/>
      <c r="Q748" s="10"/>
      <c r="S748" s="14"/>
      <c r="X748" s="15"/>
      <c r="Y748" s="15"/>
      <c r="Z748" s="15"/>
      <c r="AA748" s="15"/>
      <c r="AB748" s="15"/>
      <c r="AC748" s="15"/>
      <c r="AD748" s="15"/>
      <c r="AJ748" s="14"/>
      <c r="AK748" s="14"/>
      <c r="AL748" s="19"/>
      <c r="AM748" s="19"/>
      <c r="AN748" s="19"/>
    </row>
    <row r="749">
      <c r="I749" s="121"/>
      <c r="Q749" s="10"/>
      <c r="S749" s="14"/>
      <c r="X749" s="15"/>
      <c r="Y749" s="15"/>
      <c r="Z749" s="15"/>
      <c r="AA749" s="15"/>
      <c r="AB749" s="15"/>
      <c r="AC749" s="15"/>
      <c r="AD749" s="15"/>
      <c r="AJ749" s="14"/>
      <c r="AK749" s="14"/>
      <c r="AL749" s="19"/>
      <c r="AM749" s="19"/>
      <c r="AN749" s="19"/>
    </row>
    <row r="750">
      <c r="I750" s="121"/>
      <c r="Q750" s="10"/>
      <c r="S750" s="14"/>
      <c r="X750" s="15"/>
      <c r="Y750" s="15"/>
      <c r="Z750" s="15"/>
      <c r="AA750" s="15"/>
      <c r="AB750" s="15"/>
      <c r="AC750" s="15"/>
      <c r="AD750" s="15"/>
      <c r="AJ750" s="14"/>
      <c r="AK750" s="14"/>
      <c r="AL750" s="19"/>
      <c r="AM750" s="19"/>
      <c r="AN750" s="19"/>
    </row>
    <row r="751">
      <c r="I751" s="121"/>
      <c r="Q751" s="10"/>
      <c r="S751" s="14"/>
      <c r="X751" s="15"/>
      <c r="Y751" s="15"/>
      <c r="Z751" s="15"/>
      <c r="AA751" s="15"/>
      <c r="AB751" s="15"/>
      <c r="AC751" s="15"/>
      <c r="AD751" s="15"/>
      <c r="AJ751" s="14"/>
      <c r="AK751" s="14"/>
      <c r="AL751" s="19"/>
      <c r="AM751" s="19"/>
      <c r="AN751" s="19"/>
    </row>
    <row r="752">
      <c r="I752" s="121"/>
      <c r="Q752" s="10"/>
      <c r="S752" s="14"/>
      <c r="X752" s="15"/>
      <c r="Y752" s="15"/>
      <c r="Z752" s="15"/>
      <c r="AA752" s="15"/>
      <c r="AB752" s="15"/>
      <c r="AC752" s="15"/>
      <c r="AD752" s="15"/>
      <c r="AJ752" s="14"/>
      <c r="AK752" s="14"/>
      <c r="AL752" s="19"/>
      <c r="AM752" s="19"/>
      <c r="AN752" s="19"/>
    </row>
    <row r="753">
      <c r="I753" s="121"/>
      <c r="Q753" s="10"/>
      <c r="S753" s="14"/>
      <c r="X753" s="15"/>
      <c r="Y753" s="15"/>
      <c r="Z753" s="15"/>
      <c r="AA753" s="15"/>
      <c r="AB753" s="15"/>
      <c r="AC753" s="15"/>
      <c r="AD753" s="15"/>
      <c r="AJ753" s="14"/>
      <c r="AK753" s="14"/>
      <c r="AL753" s="19"/>
      <c r="AM753" s="19"/>
      <c r="AN753" s="19"/>
    </row>
    <row r="754">
      <c r="I754" s="121"/>
      <c r="Q754" s="10"/>
      <c r="S754" s="14"/>
      <c r="X754" s="15"/>
      <c r="Y754" s="15"/>
      <c r="Z754" s="15"/>
      <c r="AA754" s="15"/>
      <c r="AB754" s="15"/>
      <c r="AC754" s="15"/>
      <c r="AD754" s="15"/>
      <c r="AJ754" s="14"/>
      <c r="AK754" s="14"/>
      <c r="AL754" s="19"/>
      <c r="AM754" s="19"/>
      <c r="AN754" s="19"/>
    </row>
    <row r="755">
      <c r="I755" s="121"/>
      <c r="Q755" s="10"/>
      <c r="S755" s="14"/>
      <c r="X755" s="15"/>
      <c r="Y755" s="15"/>
      <c r="Z755" s="15"/>
      <c r="AA755" s="15"/>
      <c r="AB755" s="15"/>
      <c r="AC755" s="15"/>
      <c r="AD755" s="15"/>
      <c r="AJ755" s="14"/>
      <c r="AK755" s="14"/>
      <c r="AL755" s="19"/>
      <c r="AM755" s="19"/>
      <c r="AN755" s="19"/>
    </row>
    <row r="756">
      <c r="I756" s="121"/>
      <c r="Q756" s="10"/>
      <c r="S756" s="14"/>
      <c r="X756" s="15"/>
      <c r="Y756" s="15"/>
      <c r="Z756" s="15"/>
      <c r="AA756" s="15"/>
      <c r="AB756" s="15"/>
      <c r="AC756" s="15"/>
      <c r="AD756" s="15"/>
      <c r="AJ756" s="14"/>
      <c r="AK756" s="14"/>
      <c r="AL756" s="19"/>
      <c r="AM756" s="19"/>
      <c r="AN756" s="19"/>
    </row>
    <row r="757">
      <c r="I757" s="121"/>
      <c r="Q757" s="10"/>
      <c r="S757" s="14"/>
      <c r="X757" s="15"/>
      <c r="Y757" s="15"/>
      <c r="Z757" s="15"/>
      <c r="AA757" s="15"/>
      <c r="AB757" s="15"/>
      <c r="AC757" s="15"/>
      <c r="AD757" s="15"/>
      <c r="AJ757" s="14"/>
      <c r="AK757" s="14"/>
      <c r="AL757" s="19"/>
      <c r="AM757" s="19"/>
      <c r="AN757" s="19"/>
    </row>
    <row r="758">
      <c r="I758" s="121"/>
      <c r="Q758" s="10"/>
      <c r="S758" s="14"/>
      <c r="X758" s="15"/>
      <c r="Y758" s="15"/>
      <c r="Z758" s="15"/>
      <c r="AA758" s="15"/>
      <c r="AB758" s="15"/>
      <c r="AC758" s="15"/>
      <c r="AD758" s="15"/>
      <c r="AJ758" s="14"/>
      <c r="AK758" s="14"/>
      <c r="AL758" s="19"/>
      <c r="AM758" s="19"/>
      <c r="AN758" s="19"/>
    </row>
    <row r="759">
      <c r="I759" s="121"/>
      <c r="Q759" s="10"/>
      <c r="S759" s="14"/>
      <c r="X759" s="15"/>
      <c r="Y759" s="15"/>
      <c r="Z759" s="15"/>
      <c r="AA759" s="15"/>
      <c r="AB759" s="15"/>
      <c r="AC759" s="15"/>
      <c r="AD759" s="15"/>
      <c r="AJ759" s="14"/>
      <c r="AK759" s="14"/>
      <c r="AL759" s="19"/>
      <c r="AM759" s="19"/>
      <c r="AN759" s="19"/>
    </row>
    <row r="760">
      <c r="I760" s="121"/>
      <c r="Q760" s="10"/>
      <c r="S760" s="14"/>
      <c r="X760" s="15"/>
      <c r="Y760" s="15"/>
      <c r="Z760" s="15"/>
      <c r="AA760" s="15"/>
      <c r="AB760" s="15"/>
      <c r="AC760" s="15"/>
      <c r="AD760" s="15"/>
      <c r="AJ760" s="14"/>
      <c r="AK760" s="14"/>
      <c r="AL760" s="19"/>
      <c r="AM760" s="19"/>
      <c r="AN760" s="19"/>
    </row>
    <row r="761">
      <c r="I761" s="121"/>
      <c r="Q761" s="10"/>
      <c r="S761" s="14"/>
      <c r="X761" s="15"/>
      <c r="Y761" s="15"/>
      <c r="Z761" s="15"/>
      <c r="AA761" s="15"/>
      <c r="AB761" s="15"/>
      <c r="AC761" s="15"/>
      <c r="AD761" s="15"/>
      <c r="AJ761" s="14"/>
      <c r="AK761" s="14"/>
      <c r="AL761" s="19"/>
      <c r="AM761" s="19"/>
      <c r="AN761" s="19"/>
    </row>
    <row r="762">
      <c r="I762" s="121"/>
      <c r="Q762" s="10"/>
      <c r="S762" s="14"/>
      <c r="X762" s="15"/>
      <c r="Y762" s="15"/>
      <c r="Z762" s="15"/>
      <c r="AA762" s="15"/>
      <c r="AB762" s="15"/>
      <c r="AC762" s="15"/>
      <c r="AD762" s="15"/>
      <c r="AJ762" s="14"/>
      <c r="AK762" s="14"/>
      <c r="AL762" s="19"/>
      <c r="AM762" s="19"/>
      <c r="AN762" s="19"/>
    </row>
    <row r="763">
      <c r="I763" s="121"/>
      <c r="Q763" s="10"/>
      <c r="S763" s="14"/>
      <c r="X763" s="15"/>
      <c r="Y763" s="15"/>
      <c r="Z763" s="15"/>
      <c r="AA763" s="15"/>
      <c r="AB763" s="15"/>
      <c r="AC763" s="15"/>
      <c r="AD763" s="15"/>
      <c r="AJ763" s="14"/>
      <c r="AK763" s="14"/>
      <c r="AL763" s="19"/>
      <c r="AM763" s="19"/>
      <c r="AN763" s="19"/>
    </row>
    <row r="764">
      <c r="I764" s="121"/>
      <c r="Q764" s="10"/>
      <c r="S764" s="14"/>
      <c r="X764" s="15"/>
      <c r="Y764" s="15"/>
      <c r="Z764" s="15"/>
      <c r="AA764" s="15"/>
      <c r="AB764" s="15"/>
      <c r="AC764" s="15"/>
      <c r="AD764" s="15"/>
      <c r="AJ764" s="14"/>
      <c r="AK764" s="14"/>
      <c r="AL764" s="19"/>
      <c r="AM764" s="19"/>
      <c r="AN764" s="19"/>
    </row>
    <row r="765">
      <c r="I765" s="121"/>
      <c r="Q765" s="10"/>
      <c r="S765" s="14"/>
      <c r="X765" s="15"/>
      <c r="Y765" s="15"/>
      <c r="Z765" s="15"/>
      <c r="AA765" s="15"/>
      <c r="AB765" s="15"/>
      <c r="AC765" s="15"/>
      <c r="AD765" s="15"/>
      <c r="AJ765" s="14"/>
      <c r="AK765" s="14"/>
      <c r="AL765" s="19"/>
      <c r="AM765" s="19"/>
      <c r="AN765" s="19"/>
    </row>
    <row r="766">
      <c r="I766" s="121"/>
      <c r="Q766" s="10"/>
      <c r="S766" s="14"/>
      <c r="X766" s="15"/>
      <c r="Y766" s="15"/>
      <c r="Z766" s="15"/>
      <c r="AA766" s="15"/>
      <c r="AB766" s="15"/>
      <c r="AC766" s="15"/>
      <c r="AD766" s="15"/>
      <c r="AJ766" s="14"/>
      <c r="AK766" s="14"/>
      <c r="AL766" s="19"/>
      <c r="AM766" s="19"/>
      <c r="AN766" s="19"/>
    </row>
    <row r="767">
      <c r="I767" s="121"/>
      <c r="Q767" s="10"/>
      <c r="S767" s="14"/>
      <c r="X767" s="15"/>
      <c r="Y767" s="15"/>
      <c r="Z767" s="15"/>
      <c r="AA767" s="15"/>
      <c r="AB767" s="15"/>
      <c r="AC767" s="15"/>
      <c r="AD767" s="15"/>
      <c r="AJ767" s="14"/>
      <c r="AK767" s="14"/>
      <c r="AL767" s="19"/>
      <c r="AM767" s="19"/>
      <c r="AN767" s="19"/>
    </row>
    <row r="768">
      <c r="I768" s="121"/>
      <c r="Q768" s="10"/>
      <c r="S768" s="14"/>
      <c r="X768" s="15"/>
      <c r="Y768" s="15"/>
      <c r="Z768" s="15"/>
      <c r="AA768" s="15"/>
      <c r="AB768" s="15"/>
      <c r="AC768" s="15"/>
      <c r="AD768" s="15"/>
      <c r="AJ768" s="14"/>
      <c r="AK768" s="14"/>
      <c r="AL768" s="19"/>
      <c r="AM768" s="19"/>
      <c r="AN768" s="19"/>
    </row>
    <row r="769">
      <c r="I769" s="121"/>
      <c r="Q769" s="10"/>
      <c r="S769" s="14"/>
      <c r="X769" s="15"/>
      <c r="Y769" s="15"/>
      <c r="Z769" s="15"/>
      <c r="AA769" s="15"/>
      <c r="AB769" s="15"/>
      <c r="AC769" s="15"/>
      <c r="AD769" s="15"/>
      <c r="AJ769" s="14"/>
      <c r="AK769" s="14"/>
      <c r="AL769" s="19"/>
      <c r="AM769" s="19"/>
      <c r="AN769" s="19"/>
    </row>
    <row r="770">
      <c r="I770" s="121"/>
      <c r="Q770" s="10"/>
      <c r="S770" s="14"/>
      <c r="X770" s="15"/>
      <c r="Y770" s="15"/>
      <c r="Z770" s="15"/>
      <c r="AA770" s="15"/>
      <c r="AB770" s="15"/>
      <c r="AC770" s="15"/>
      <c r="AD770" s="15"/>
      <c r="AJ770" s="14"/>
      <c r="AK770" s="14"/>
      <c r="AL770" s="19"/>
      <c r="AM770" s="19"/>
      <c r="AN770" s="19"/>
    </row>
    <row r="771">
      <c r="I771" s="121"/>
      <c r="Q771" s="10"/>
      <c r="S771" s="14"/>
      <c r="X771" s="15"/>
      <c r="Y771" s="15"/>
      <c r="Z771" s="15"/>
      <c r="AA771" s="15"/>
      <c r="AB771" s="15"/>
      <c r="AC771" s="15"/>
      <c r="AD771" s="15"/>
      <c r="AJ771" s="14"/>
      <c r="AK771" s="14"/>
      <c r="AL771" s="19"/>
      <c r="AM771" s="19"/>
      <c r="AN771" s="19"/>
    </row>
    <row r="772">
      <c r="I772" s="121"/>
      <c r="Q772" s="10"/>
      <c r="S772" s="14"/>
      <c r="X772" s="15"/>
      <c r="Y772" s="15"/>
      <c r="Z772" s="15"/>
      <c r="AA772" s="15"/>
      <c r="AB772" s="15"/>
      <c r="AC772" s="15"/>
      <c r="AD772" s="15"/>
      <c r="AJ772" s="14"/>
      <c r="AK772" s="14"/>
      <c r="AL772" s="19"/>
      <c r="AM772" s="19"/>
      <c r="AN772" s="19"/>
    </row>
    <row r="773">
      <c r="I773" s="121"/>
      <c r="Q773" s="10"/>
      <c r="S773" s="14"/>
      <c r="X773" s="15"/>
      <c r="Y773" s="15"/>
      <c r="Z773" s="15"/>
      <c r="AA773" s="15"/>
      <c r="AB773" s="15"/>
      <c r="AC773" s="15"/>
      <c r="AD773" s="15"/>
      <c r="AJ773" s="14"/>
      <c r="AK773" s="14"/>
      <c r="AL773" s="19"/>
      <c r="AM773" s="19"/>
      <c r="AN773" s="19"/>
    </row>
    <row r="774">
      <c r="I774" s="121"/>
      <c r="Q774" s="10"/>
      <c r="S774" s="14"/>
      <c r="X774" s="15"/>
      <c r="Y774" s="15"/>
      <c r="Z774" s="15"/>
      <c r="AA774" s="15"/>
      <c r="AB774" s="15"/>
      <c r="AC774" s="15"/>
      <c r="AD774" s="15"/>
      <c r="AJ774" s="14"/>
      <c r="AK774" s="14"/>
      <c r="AL774" s="19"/>
      <c r="AM774" s="19"/>
      <c r="AN774" s="19"/>
    </row>
    <row r="775">
      <c r="I775" s="121"/>
      <c r="Q775" s="10"/>
      <c r="S775" s="14"/>
      <c r="X775" s="15"/>
      <c r="Y775" s="15"/>
      <c r="Z775" s="15"/>
      <c r="AA775" s="15"/>
      <c r="AB775" s="15"/>
      <c r="AC775" s="15"/>
      <c r="AD775" s="15"/>
      <c r="AJ775" s="14"/>
      <c r="AK775" s="14"/>
      <c r="AL775" s="19"/>
      <c r="AM775" s="19"/>
      <c r="AN775" s="19"/>
    </row>
    <row r="776">
      <c r="I776" s="121"/>
      <c r="Q776" s="10"/>
      <c r="S776" s="14"/>
      <c r="X776" s="15"/>
      <c r="Y776" s="15"/>
      <c r="Z776" s="15"/>
      <c r="AA776" s="15"/>
      <c r="AB776" s="15"/>
      <c r="AC776" s="15"/>
      <c r="AD776" s="15"/>
      <c r="AJ776" s="14"/>
      <c r="AK776" s="14"/>
      <c r="AL776" s="19"/>
      <c r="AM776" s="19"/>
      <c r="AN776" s="19"/>
    </row>
    <row r="777">
      <c r="I777" s="121"/>
      <c r="Q777" s="10"/>
      <c r="S777" s="14"/>
      <c r="X777" s="15"/>
      <c r="Y777" s="15"/>
      <c r="Z777" s="15"/>
      <c r="AA777" s="15"/>
      <c r="AB777" s="15"/>
      <c r="AC777" s="15"/>
      <c r="AD777" s="15"/>
      <c r="AJ777" s="14"/>
      <c r="AK777" s="14"/>
      <c r="AL777" s="19"/>
      <c r="AM777" s="19"/>
      <c r="AN777" s="19"/>
    </row>
    <row r="778">
      <c r="I778" s="121"/>
      <c r="Q778" s="10"/>
      <c r="S778" s="14"/>
      <c r="X778" s="15"/>
      <c r="Y778" s="15"/>
      <c r="Z778" s="15"/>
      <c r="AA778" s="15"/>
      <c r="AB778" s="15"/>
      <c r="AC778" s="15"/>
      <c r="AD778" s="15"/>
      <c r="AJ778" s="14"/>
      <c r="AK778" s="14"/>
      <c r="AL778" s="19"/>
      <c r="AM778" s="19"/>
      <c r="AN778" s="19"/>
    </row>
    <row r="779">
      <c r="I779" s="121"/>
      <c r="Q779" s="10"/>
      <c r="S779" s="14"/>
      <c r="X779" s="15"/>
      <c r="Y779" s="15"/>
      <c r="Z779" s="15"/>
      <c r="AA779" s="15"/>
      <c r="AB779" s="15"/>
      <c r="AC779" s="15"/>
      <c r="AD779" s="15"/>
      <c r="AJ779" s="14"/>
      <c r="AK779" s="14"/>
      <c r="AL779" s="19"/>
      <c r="AM779" s="19"/>
      <c r="AN779" s="19"/>
    </row>
    <row r="780">
      <c r="I780" s="121"/>
      <c r="Q780" s="10"/>
      <c r="S780" s="14"/>
      <c r="X780" s="15"/>
      <c r="Y780" s="15"/>
      <c r="Z780" s="15"/>
      <c r="AA780" s="15"/>
      <c r="AB780" s="15"/>
      <c r="AC780" s="15"/>
      <c r="AD780" s="15"/>
      <c r="AJ780" s="14"/>
      <c r="AK780" s="14"/>
      <c r="AL780" s="19"/>
      <c r="AM780" s="19"/>
      <c r="AN780" s="19"/>
    </row>
    <row r="781">
      <c r="I781" s="121"/>
      <c r="Q781" s="10"/>
      <c r="S781" s="14"/>
      <c r="X781" s="15"/>
      <c r="Y781" s="15"/>
      <c r="Z781" s="15"/>
      <c r="AA781" s="15"/>
      <c r="AB781" s="15"/>
      <c r="AC781" s="15"/>
      <c r="AD781" s="15"/>
      <c r="AJ781" s="14"/>
      <c r="AK781" s="14"/>
      <c r="AL781" s="19"/>
      <c r="AM781" s="19"/>
      <c r="AN781" s="19"/>
    </row>
    <row r="782">
      <c r="I782" s="121"/>
      <c r="Q782" s="10"/>
      <c r="S782" s="14"/>
      <c r="X782" s="15"/>
      <c r="Y782" s="15"/>
      <c r="Z782" s="15"/>
      <c r="AA782" s="15"/>
      <c r="AB782" s="15"/>
      <c r="AC782" s="15"/>
      <c r="AD782" s="15"/>
      <c r="AJ782" s="14"/>
      <c r="AK782" s="14"/>
      <c r="AL782" s="19"/>
      <c r="AM782" s="19"/>
      <c r="AN782" s="19"/>
    </row>
    <row r="783">
      <c r="I783" s="121"/>
      <c r="Q783" s="10"/>
      <c r="S783" s="14"/>
      <c r="X783" s="15"/>
      <c r="Y783" s="15"/>
      <c r="Z783" s="15"/>
      <c r="AA783" s="15"/>
      <c r="AB783" s="15"/>
      <c r="AC783" s="15"/>
      <c r="AD783" s="15"/>
      <c r="AJ783" s="14"/>
      <c r="AK783" s="14"/>
      <c r="AL783" s="19"/>
      <c r="AM783" s="19"/>
      <c r="AN783" s="19"/>
    </row>
    <row r="784">
      <c r="I784" s="121"/>
      <c r="Q784" s="10"/>
      <c r="S784" s="14"/>
      <c r="X784" s="15"/>
      <c r="Y784" s="15"/>
      <c r="Z784" s="15"/>
      <c r="AA784" s="15"/>
      <c r="AB784" s="15"/>
      <c r="AC784" s="15"/>
      <c r="AD784" s="15"/>
      <c r="AJ784" s="14"/>
      <c r="AK784" s="14"/>
      <c r="AL784" s="19"/>
      <c r="AM784" s="19"/>
      <c r="AN784" s="19"/>
    </row>
    <row r="785">
      <c r="I785" s="121"/>
      <c r="Q785" s="10"/>
      <c r="S785" s="14"/>
      <c r="X785" s="15"/>
      <c r="Y785" s="15"/>
      <c r="Z785" s="15"/>
      <c r="AA785" s="15"/>
      <c r="AB785" s="15"/>
      <c r="AC785" s="15"/>
      <c r="AD785" s="15"/>
      <c r="AJ785" s="14"/>
      <c r="AK785" s="14"/>
      <c r="AL785" s="19"/>
      <c r="AM785" s="19"/>
      <c r="AN785" s="19"/>
    </row>
    <row r="786">
      <c r="I786" s="121"/>
      <c r="Q786" s="10"/>
      <c r="S786" s="14"/>
      <c r="X786" s="15"/>
      <c r="Y786" s="15"/>
      <c r="Z786" s="15"/>
      <c r="AA786" s="15"/>
      <c r="AB786" s="15"/>
      <c r="AC786" s="15"/>
      <c r="AD786" s="15"/>
      <c r="AJ786" s="14"/>
      <c r="AK786" s="14"/>
      <c r="AL786" s="19"/>
      <c r="AM786" s="19"/>
      <c r="AN786" s="19"/>
    </row>
    <row r="787">
      <c r="I787" s="121"/>
      <c r="Q787" s="10"/>
      <c r="S787" s="14"/>
      <c r="X787" s="15"/>
      <c r="Y787" s="15"/>
      <c r="Z787" s="15"/>
      <c r="AA787" s="15"/>
      <c r="AB787" s="15"/>
      <c r="AC787" s="15"/>
      <c r="AD787" s="15"/>
      <c r="AJ787" s="14"/>
      <c r="AK787" s="14"/>
      <c r="AL787" s="19"/>
      <c r="AM787" s="19"/>
      <c r="AN787" s="19"/>
    </row>
    <row r="788">
      <c r="I788" s="121"/>
      <c r="Q788" s="10"/>
      <c r="S788" s="14"/>
      <c r="X788" s="15"/>
      <c r="Y788" s="15"/>
      <c r="Z788" s="15"/>
      <c r="AA788" s="15"/>
      <c r="AB788" s="15"/>
      <c r="AC788" s="15"/>
      <c r="AD788" s="15"/>
      <c r="AJ788" s="14"/>
      <c r="AK788" s="14"/>
      <c r="AL788" s="19"/>
      <c r="AM788" s="19"/>
      <c r="AN788" s="19"/>
    </row>
    <row r="789">
      <c r="I789" s="121"/>
      <c r="Q789" s="10"/>
      <c r="S789" s="14"/>
      <c r="X789" s="15"/>
      <c r="Y789" s="15"/>
      <c r="Z789" s="15"/>
      <c r="AA789" s="15"/>
      <c r="AB789" s="15"/>
      <c r="AC789" s="15"/>
      <c r="AD789" s="15"/>
      <c r="AJ789" s="14"/>
      <c r="AK789" s="14"/>
      <c r="AL789" s="19"/>
      <c r="AM789" s="19"/>
      <c r="AN789" s="19"/>
    </row>
    <row r="790">
      <c r="I790" s="121"/>
      <c r="Q790" s="10"/>
      <c r="S790" s="14"/>
      <c r="X790" s="15"/>
      <c r="Y790" s="15"/>
      <c r="Z790" s="15"/>
      <c r="AA790" s="15"/>
      <c r="AB790" s="15"/>
      <c r="AC790" s="15"/>
      <c r="AD790" s="15"/>
      <c r="AJ790" s="14"/>
      <c r="AK790" s="14"/>
      <c r="AL790" s="19"/>
      <c r="AM790" s="19"/>
      <c r="AN790" s="19"/>
    </row>
    <row r="791">
      <c r="I791" s="121"/>
      <c r="Q791" s="10"/>
      <c r="S791" s="14"/>
      <c r="X791" s="15"/>
      <c r="Y791" s="15"/>
      <c r="Z791" s="15"/>
      <c r="AA791" s="15"/>
      <c r="AB791" s="15"/>
      <c r="AC791" s="15"/>
      <c r="AD791" s="15"/>
      <c r="AJ791" s="14"/>
      <c r="AK791" s="14"/>
      <c r="AL791" s="19"/>
      <c r="AM791" s="19"/>
      <c r="AN791" s="19"/>
    </row>
    <row r="792">
      <c r="I792" s="121"/>
      <c r="Q792" s="10"/>
      <c r="S792" s="14"/>
      <c r="X792" s="15"/>
      <c r="Y792" s="15"/>
      <c r="Z792" s="15"/>
      <c r="AA792" s="15"/>
      <c r="AB792" s="15"/>
      <c r="AC792" s="15"/>
      <c r="AD792" s="15"/>
      <c r="AJ792" s="14"/>
      <c r="AK792" s="14"/>
      <c r="AL792" s="19"/>
      <c r="AM792" s="19"/>
      <c r="AN792" s="19"/>
    </row>
    <row r="793">
      <c r="I793" s="121"/>
      <c r="Q793" s="10"/>
      <c r="S793" s="14"/>
      <c r="X793" s="15"/>
      <c r="Y793" s="15"/>
      <c r="Z793" s="15"/>
      <c r="AA793" s="15"/>
      <c r="AB793" s="15"/>
      <c r="AC793" s="15"/>
      <c r="AD793" s="15"/>
      <c r="AJ793" s="14"/>
      <c r="AK793" s="14"/>
      <c r="AL793" s="19"/>
      <c r="AM793" s="19"/>
      <c r="AN793" s="19"/>
    </row>
    <row r="794">
      <c r="I794" s="121"/>
      <c r="Q794" s="10"/>
      <c r="S794" s="14"/>
      <c r="X794" s="15"/>
      <c r="Y794" s="15"/>
      <c r="Z794" s="15"/>
      <c r="AA794" s="15"/>
      <c r="AB794" s="15"/>
      <c r="AC794" s="15"/>
      <c r="AD794" s="15"/>
      <c r="AJ794" s="14"/>
      <c r="AK794" s="14"/>
      <c r="AL794" s="19"/>
      <c r="AM794" s="19"/>
      <c r="AN794" s="19"/>
    </row>
    <row r="795">
      <c r="I795" s="121"/>
      <c r="Q795" s="10"/>
      <c r="S795" s="14"/>
      <c r="X795" s="15"/>
      <c r="Y795" s="15"/>
      <c r="Z795" s="15"/>
      <c r="AA795" s="15"/>
      <c r="AB795" s="15"/>
      <c r="AC795" s="15"/>
      <c r="AD795" s="15"/>
      <c r="AJ795" s="14"/>
      <c r="AK795" s="14"/>
      <c r="AL795" s="19"/>
      <c r="AM795" s="19"/>
      <c r="AN795" s="19"/>
    </row>
    <row r="796">
      <c r="I796" s="121"/>
      <c r="Q796" s="10"/>
      <c r="S796" s="14"/>
      <c r="X796" s="15"/>
      <c r="Y796" s="15"/>
      <c r="Z796" s="15"/>
      <c r="AA796" s="15"/>
      <c r="AB796" s="15"/>
      <c r="AC796" s="15"/>
      <c r="AD796" s="15"/>
      <c r="AJ796" s="14"/>
      <c r="AK796" s="14"/>
      <c r="AL796" s="19"/>
      <c r="AM796" s="19"/>
      <c r="AN796" s="19"/>
    </row>
    <row r="797">
      <c r="I797" s="121"/>
      <c r="Q797" s="10"/>
      <c r="S797" s="14"/>
      <c r="X797" s="15"/>
      <c r="Y797" s="15"/>
      <c r="Z797" s="15"/>
      <c r="AA797" s="15"/>
      <c r="AB797" s="15"/>
      <c r="AC797" s="15"/>
      <c r="AD797" s="15"/>
      <c r="AJ797" s="14"/>
      <c r="AK797" s="14"/>
      <c r="AL797" s="19"/>
      <c r="AM797" s="19"/>
      <c r="AN797" s="19"/>
    </row>
    <row r="798">
      <c r="I798" s="121"/>
      <c r="Q798" s="10"/>
      <c r="S798" s="14"/>
      <c r="X798" s="15"/>
      <c r="Y798" s="15"/>
      <c r="Z798" s="15"/>
      <c r="AA798" s="15"/>
      <c r="AB798" s="15"/>
      <c r="AC798" s="15"/>
      <c r="AD798" s="15"/>
      <c r="AJ798" s="14"/>
      <c r="AK798" s="14"/>
      <c r="AL798" s="19"/>
      <c r="AM798" s="19"/>
      <c r="AN798" s="19"/>
    </row>
    <row r="799">
      <c r="I799" s="121"/>
      <c r="Q799" s="10"/>
      <c r="S799" s="14"/>
      <c r="X799" s="15"/>
      <c r="Y799" s="15"/>
      <c r="Z799" s="15"/>
      <c r="AA799" s="15"/>
      <c r="AB799" s="15"/>
      <c r="AC799" s="15"/>
      <c r="AD799" s="15"/>
      <c r="AJ799" s="14"/>
      <c r="AK799" s="14"/>
      <c r="AL799" s="19"/>
      <c r="AM799" s="19"/>
      <c r="AN799" s="19"/>
    </row>
    <row r="800">
      <c r="I800" s="121"/>
      <c r="Q800" s="10"/>
      <c r="S800" s="14"/>
      <c r="X800" s="15"/>
      <c r="Y800" s="15"/>
      <c r="Z800" s="15"/>
      <c r="AA800" s="15"/>
      <c r="AB800" s="15"/>
      <c r="AC800" s="15"/>
      <c r="AD800" s="15"/>
      <c r="AJ800" s="14"/>
      <c r="AK800" s="14"/>
      <c r="AL800" s="19"/>
      <c r="AM800" s="19"/>
      <c r="AN800" s="19"/>
    </row>
    <row r="801">
      <c r="I801" s="121"/>
      <c r="Q801" s="10"/>
      <c r="S801" s="14"/>
      <c r="X801" s="15"/>
      <c r="Y801" s="15"/>
      <c r="Z801" s="15"/>
      <c r="AA801" s="15"/>
      <c r="AB801" s="15"/>
      <c r="AC801" s="15"/>
      <c r="AD801" s="15"/>
      <c r="AJ801" s="14"/>
      <c r="AK801" s="14"/>
      <c r="AL801" s="19"/>
      <c r="AM801" s="19"/>
      <c r="AN801" s="19"/>
    </row>
    <row r="802">
      <c r="I802" s="121"/>
      <c r="Q802" s="10"/>
      <c r="S802" s="14"/>
      <c r="X802" s="15"/>
      <c r="Y802" s="15"/>
      <c r="Z802" s="15"/>
      <c r="AA802" s="15"/>
      <c r="AB802" s="15"/>
      <c r="AC802" s="15"/>
      <c r="AD802" s="15"/>
      <c r="AJ802" s="14"/>
      <c r="AK802" s="14"/>
      <c r="AL802" s="19"/>
      <c r="AM802" s="19"/>
      <c r="AN802" s="19"/>
    </row>
    <row r="803">
      <c r="I803" s="121"/>
      <c r="Q803" s="10"/>
      <c r="S803" s="14"/>
      <c r="X803" s="15"/>
      <c r="Y803" s="15"/>
      <c r="Z803" s="15"/>
      <c r="AA803" s="15"/>
      <c r="AB803" s="15"/>
      <c r="AC803" s="15"/>
      <c r="AD803" s="15"/>
      <c r="AJ803" s="14"/>
      <c r="AK803" s="14"/>
      <c r="AL803" s="19"/>
      <c r="AM803" s="19"/>
      <c r="AN803" s="19"/>
    </row>
    <row r="804">
      <c r="I804" s="121"/>
      <c r="Q804" s="10"/>
      <c r="S804" s="14"/>
      <c r="X804" s="15"/>
      <c r="Y804" s="15"/>
      <c r="Z804" s="15"/>
      <c r="AA804" s="15"/>
      <c r="AB804" s="15"/>
      <c r="AC804" s="15"/>
      <c r="AD804" s="15"/>
      <c r="AJ804" s="14"/>
      <c r="AK804" s="14"/>
      <c r="AL804" s="19"/>
      <c r="AM804" s="19"/>
      <c r="AN804" s="19"/>
    </row>
    <row r="805">
      <c r="I805" s="121"/>
      <c r="Q805" s="10"/>
      <c r="S805" s="14"/>
      <c r="X805" s="15"/>
      <c r="Y805" s="15"/>
      <c r="Z805" s="15"/>
      <c r="AA805" s="15"/>
      <c r="AB805" s="15"/>
      <c r="AC805" s="15"/>
      <c r="AD805" s="15"/>
      <c r="AJ805" s="14"/>
      <c r="AK805" s="14"/>
      <c r="AL805" s="19"/>
      <c r="AM805" s="19"/>
      <c r="AN805" s="19"/>
    </row>
    <row r="806">
      <c r="I806" s="121"/>
      <c r="Q806" s="10"/>
      <c r="S806" s="14"/>
      <c r="X806" s="15"/>
      <c r="Y806" s="15"/>
      <c r="Z806" s="15"/>
      <c r="AA806" s="15"/>
      <c r="AB806" s="15"/>
      <c r="AC806" s="15"/>
      <c r="AD806" s="15"/>
      <c r="AJ806" s="14"/>
      <c r="AK806" s="14"/>
      <c r="AL806" s="19"/>
      <c r="AM806" s="19"/>
      <c r="AN806" s="19"/>
    </row>
    <row r="807">
      <c r="I807" s="121"/>
      <c r="Q807" s="10"/>
      <c r="S807" s="14"/>
      <c r="X807" s="15"/>
      <c r="Y807" s="15"/>
      <c r="Z807" s="15"/>
      <c r="AA807" s="15"/>
      <c r="AB807" s="15"/>
      <c r="AC807" s="15"/>
      <c r="AD807" s="15"/>
      <c r="AJ807" s="14"/>
      <c r="AK807" s="14"/>
      <c r="AL807" s="19"/>
      <c r="AM807" s="19"/>
      <c r="AN807" s="19"/>
    </row>
    <row r="808">
      <c r="I808" s="121"/>
      <c r="Q808" s="10"/>
      <c r="S808" s="14"/>
      <c r="X808" s="15"/>
      <c r="Y808" s="15"/>
      <c r="Z808" s="15"/>
      <c r="AA808" s="15"/>
      <c r="AB808" s="15"/>
      <c r="AC808" s="15"/>
      <c r="AD808" s="15"/>
      <c r="AJ808" s="14"/>
      <c r="AK808" s="14"/>
      <c r="AL808" s="19"/>
      <c r="AM808" s="19"/>
      <c r="AN808" s="19"/>
    </row>
    <row r="809">
      <c r="I809" s="121"/>
      <c r="Q809" s="10"/>
      <c r="S809" s="14"/>
      <c r="X809" s="15"/>
      <c r="Y809" s="15"/>
      <c r="Z809" s="15"/>
      <c r="AA809" s="15"/>
      <c r="AB809" s="15"/>
      <c r="AC809" s="15"/>
      <c r="AD809" s="15"/>
      <c r="AJ809" s="14"/>
      <c r="AK809" s="14"/>
      <c r="AL809" s="19"/>
      <c r="AM809" s="19"/>
      <c r="AN809" s="19"/>
    </row>
    <row r="810">
      <c r="I810" s="121"/>
      <c r="Q810" s="10"/>
      <c r="S810" s="14"/>
      <c r="X810" s="15"/>
      <c r="Y810" s="15"/>
      <c r="Z810" s="15"/>
      <c r="AA810" s="15"/>
      <c r="AB810" s="15"/>
      <c r="AC810" s="15"/>
      <c r="AD810" s="15"/>
      <c r="AJ810" s="14"/>
      <c r="AK810" s="14"/>
      <c r="AL810" s="19"/>
      <c r="AM810" s="19"/>
      <c r="AN810" s="19"/>
    </row>
    <row r="811">
      <c r="I811" s="121"/>
      <c r="Q811" s="10"/>
      <c r="S811" s="14"/>
      <c r="X811" s="15"/>
      <c r="Y811" s="15"/>
      <c r="Z811" s="15"/>
      <c r="AA811" s="15"/>
      <c r="AB811" s="15"/>
      <c r="AC811" s="15"/>
      <c r="AD811" s="15"/>
      <c r="AJ811" s="14"/>
      <c r="AK811" s="14"/>
      <c r="AL811" s="19"/>
      <c r="AM811" s="19"/>
      <c r="AN811" s="19"/>
    </row>
    <row r="812">
      <c r="I812" s="121"/>
      <c r="Q812" s="10"/>
      <c r="S812" s="14"/>
      <c r="X812" s="15"/>
      <c r="Y812" s="15"/>
      <c r="Z812" s="15"/>
      <c r="AA812" s="15"/>
      <c r="AB812" s="15"/>
      <c r="AC812" s="15"/>
      <c r="AD812" s="15"/>
      <c r="AJ812" s="14"/>
      <c r="AK812" s="14"/>
      <c r="AL812" s="19"/>
      <c r="AM812" s="19"/>
      <c r="AN812" s="19"/>
    </row>
    <row r="813">
      <c r="I813" s="121"/>
      <c r="Q813" s="10"/>
      <c r="S813" s="14"/>
      <c r="X813" s="15"/>
      <c r="Y813" s="15"/>
      <c r="Z813" s="15"/>
      <c r="AA813" s="15"/>
      <c r="AB813" s="15"/>
      <c r="AC813" s="15"/>
      <c r="AD813" s="15"/>
      <c r="AJ813" s="14"/>
      <c r="AK813" s="14"/>
      <c r="AL813" s="19"/>
      <c r="AM813" s="19"/>
      <c r="AN813" s="19"/>
    </row>
    <row r="814">
      <c r="I814" s="121"/>
      <c r="Q814" s="10"/>
      <c r="S814" s="14"/>
      <c r="X814" s="15"/>
      <c r="Y814" s="15"/>
      <c r="Z814" s="15"/>
      <c r="AA814" s="15"/>
      <c r="AB814" s="15"/>
      <c r="AC814" s="15"/>
      <c r="AD814" s="15"/>
      <c r="AJ814" s="14"/>
      <c r="AK814" s="14"/>
      <c r="AL814" s="19"/>
      <c r="AM814" s="19"/>
      <c r="AN814" s="19"/>
    </row>
    <row r="815">
      <c r="I815" s="121"/>
      <c r="Q815" s="10"/>
      <c r="S815" s="14"/>
      <c r="X815" s="15"/>
      <c r="Y815" s="15"/>
      <c r="Z815" s="15"/>
      <c r="AA815" s="15"/>
      <c r="AB815" s="15"/>
      <c r="AC815" s="15"/>
      <c r="AD815" s="15"/>
      <c r="AJ815" s="14"/>
      <c r="AK815" s="14"/>
      <c r="AL815" s="19"/>
      <c r="AM815" s="19"/>
      <c r="AN815" s="19"/>
    </row>
    <row r="816">
      <c r="I816" s="121"/>
      <c r="Q816" s="10"/>
      <c r="S816" s="14"/>
      <c r="X816" s="15"/>
      <c r="Y816" s="15"/>
      <c r="Z816" s="15"/>
      <c r="AA816" s="15"/>
      <c r="AB816" s="15"/>
      <c r="AC816" s="15"/>
      <c r="AD816" s="15"/>
      <c r="AJ816" s="14"/>
      <c r="AK816" s="14"/>
      <c r="AL816" s="19"/>
      <c r="AM816" s="19"/>
      <c r="AN816" s="19"/>
    </row>
    <row r="817">
      <c r="I817" s="121"/>
      <c r="Q817" s="10"/>
      <c r="S817" s="14"/>
      <c r="X817" s="15"/>
      <c r="Y817" s="15"/>
      <c r="Z817" s="15"/>
      <c r="AA817" s="15"/>
      <c r="AB817" s="15"/>
      <c r="AC817" s="15"/>
      <c r="AD817" s="15"/>
      <c r="AJ817" s="14"/>
      <c r="AK817" s="14"/>
      <c r="AL817" s="19"/>
      <c r="AM817" s="19"/>
      <c r="AN817" s="19"/>
    </row>
    <row r="818">
      <c r="I818" s="121"/>
      <c r="Q818" s="10"/>
      <c r="S818" s="14"/>
      <c r="X818" s="15"/>
      <c r="Y818" s="15"/>
      <c r="Z818" s="15"/>
      <c r="AA818" s="15"/>
      <c r="AB818" s="15"/>
      <c r="AC818" s="15"/>
      <c r="AD818" s="15"/>
      <c r="AJ818" s="14"/>
      <c r="AK818" s="14"/>
      <c r="AL818" s="19"/>
      <c r="AM818" s="19"/>
      <c r="AN818" s="19"/>
    </row>
    <row r="819">
      <c r="I819" s="121"/>
      <c r="Q819" s="10"/>
      <c r="S819" s="14"/>
      <c r="X819" s="15"/>
      <c r="Y819" s="15"/>
      <c r="Z819" s="15"/>
      <c r="AA819" s="15"/>
      <c r="AB819" s="15"/>
      <c r="AC819" s="15"/>
      <c r="AD819" s="15"/>
      <c r="AJ819" s="14"/>
      <c r="AK819" s="14"/>
      <c r="AL819" s="19"/>
      <c r="AM819" s="19"/>
      <c r="AN819" s="19"/>
    </row>
    <row r="820">
      <c r="I820" s="121"/>
      <c r="Q820" s="10"/>
      <c r="S820" s="14"/>
      <c r="X820" s="15"/>
      <c r="Y820" s="15"/>
      <c r="Z820" s="15"/>
      <c r="AA820" s="15"/>
      <c r="AB820" s="15"/>
      <c r="AC820" s="15"/>
      <c r="AD820" s="15"/>
      <c r="AJ820" s="14"/>
      <c r="AK820" s="14"/>
      <c r="AL820" s="19"/>
      <c r="AM820" s="19"/>
      <c r="AN820" s="19"/>
    </row>
    <row r="821">
      <c r="I821" s="121"/>
      <c r="Q821" s="10"/>
      <c r="S821" s="14"/>
      <c r="X821" s="15"/>
      <c r="Y821" s="15"/>
      <c r="Z821" s="15"/>
      <c r="AA821" s="15"/>
      <c r="AB821" s="15"/>
      <c r="AC821" s="15"/>
      <c r="AD821" s="15"/>
      <c r="AJ821" s="14"/>
      <c r="AK821" s="14"/>
      <c r="AL821" s="19"/>
      <c r="AM821" s="19"/>
      <c r="AN821" s="19"/>
    </row>
    <row r="822">
      <c r="I822" s="121"/>
      <c r="Q822" s="10"/>
      <c r="S822" s="14"/>
      <c r="X822" s="15"/>
      <c r="Y822" s="15"/>
      <c r="Z822" s="15"/>
      <c r="AA822" s="15"/>
      <c r="AB822" s="15"/>
      <c r="AC822" s="15"/>
      <c r="AD822" s="15"/>
      <c r="AJ822" s="14"/>
      <c r="AK822" s="14"/>
      <c r="AL822" s="19"/>
      <c r="AM822" s="19"/>
      <c r="AN822" s="19"/>
    </row>
    <row r="823">
      <c r="I823" s="121"/>
      <c r="Q823" s="10"/>
      <c r="S823" s="14"/>
      <c r="X823" s="15"/>
      <c r="Y823" s="15"/>
      <c r="Z823" s="15"/>
      <c r="AA823" s="15"/>
      <c r="AB823" s="15"/>
      <c r="AC823" s="15"/>
      <c r="AD823" s="15"/>
      <c r="AJ823" s="14"/>
      <c r="AK823" s="14"/>
      <c r="AL823" s="19"/>
      <c r="AM823" s="19"/>
      <c r="AN823" s="19"/>
    </row>
    <row r="824">
      <c r="I824" s="121"/>
      <c r="Q824" s="10"/>
      <c r="S824" s="14"/>
      <c r="X824" s="15"/>
      <c r="Y824" s="15"/>
      <c r="Z824" s="15"/>
      <c r="AA824" s="15"/>
      <c r="AB824" s="15"/>
      <c r="AC824" s="15"/>
      <c r="AD824" s="15"/>
      <c r="AJ824" s="14"/>
      <c r="AK824" s="14"/>
      <c r="AL824" s="19"/>
      <c r="AM824" s="19"/>
      <c r="AN824" s="19"/>
    </row>
    <row r="825">
      <c r="I825" s="121"/>
      <c r="Q825" s="10"/>
      <c r="S825" s="14"/>
      <c r="X825" s="15"/>
      <c r="Y825" s="15"/>
      <c r="Z825" s="15"/>
      <c r="AA825" s="15"/>
      <c r="AB825" s="15"/>
      <c r="AC825" s="15"/>
      <c r="AD825" s="15"/>
      <c r="AJ825" s="14"/>
      <c r="AK825" s="14"/>
      <c r="AL825" s="19"/>
      <c r="AM825" s="19"/>
      <c r="AN825" s="19"/>
    </row>
    <row r="826">
      <c r="I826" s="121"/>
      <c r="Q826" s="10"/>
      <c r="S826" s="14"/>
      <c r="X826" s="15"/>
      <c r="Y826" s="15"/>
      <c r="Z826" s="15"/>
      <c r="AA826" s="15"/>
      <c r="AB826" s="15"/>
      <c r="AC826" s="15"/>
      <c r="AD826" s="15"/>
      <c r="AJ826" s="14"/>
      <c r="AK826" s="14"/>
      <c r="AL826" s="19"/>
      <c r="AM826" s="19"/>
      <c r="AN826" s="19"/>
    </row>
    <row r="827">
      <c r="I827" s="121"/>
      <c r="Q827" s="10"/>
      <c r="S827" s="14"/>
      <c r="X827" s="15"/>
      <c r="Y827" s="15"/>
      <c r="Z827" s="15"/>
      <c r="AA827" s="15"/>
      <c r="AB827" s="15"/>
      <c r="AC827" s="15"/>
      <c r="AD827" s="15"/>
      <c r="AJ827" s="14"/>
      <c r="AK827" s="14"/>
      <c r="AL827" s="19"/>
      <c r="AM827" s="19"/>
      <c r="AN827" s="19"/>
    </row>
    <row r="828">
      <c r="I828" s="121"/>
      <c r="Q828" s="10"/>
      <c r="S828" s="14"/>
      <c r="X828" s="15"/>
      <c r="Y828" s="15"/>
      <c r="Z828" s="15"/>
      <c r="AA828" s="15"/>
      <c r="AB828" s="15"/>
      <c r="AC828" s="15"/>
      <c r="AD828" s="15"/>
      <c r="AJ828" s="14"/>
      <c r="AK828" s="14"/>
      <c r="AL828" s="19"/>
      <c r="AM828" s="19"/>
      <c r="AN828" s="19"/>
    </row>
    <row r="829">
      <c r="I829" s="121"/>
      <c r="Q829" s="10"/>
      <c r="S829" s="14"/>
      <c r="X829" s="15"/>
      <c r="Y829" s="15"/>
      <c r="Z829" s="15"/>
      <c r="AA829" s="15"/>
      <c r="AB829" s="15"/>
      <c r="AC829" s="15"/>
      <c r="AD829" s="15"/>
      <c r="AJ829" s="14"/>
      <c r="AK829" s="14"/>
      <c r="AL829" s="19"/>
      <c r="AM829" s="19"/>
      <c r="AN829" s="19"/>
    </row>
    <row r="830">
      <c r="I830" s="121"/>
      <c r="Q830" s="10"/>
      <c r="S830" s="14"/>
      <c r="X830" s="15"/>
      <c r="Y830" s="15"/>
      <c r="Z830" s="15"/>
      <c r="AA830" s="15"/>
      <c r="AB830" s="15"/>
      <c r="AC830" s="15"/>
      <c r="AD830" s="15"/>
      <c r="AJ830" s="14"/>
      <c r="AK830" s="14"/>
      <c r="AL830" s="19"/>
      <c r="AM830" s="19"/>
      <c r="AN830" s="19"/>
    </row>
    <row r="831">
      <c r="I831" s="121"/>
      <c r="Q831" s="10"/>
      <c r="S831" s="14"/>
      <c r="X831" s="15"/>
      <c r="Y831" s="15"/>
      <c r="Z831" s="15"/>
      <c r="AA831" s="15"/>
      <c r="AB831" s="15"/>
      <c r="AC831" s="15"/>
      <c r="AD831" s="15"/>
      <c r="AJ831" s="14"/>
      <c r="AK831" s="14"/>
      <c r="AL831" s="19"/>
      <c r="AM831" s="19"/>
      <c r="AN831" s="19"/>
    </row>
    <row r="832">
      <c r="I832" s="121"/>
      <c r="Q832" s="10"/>
      <c r="S832" s="14"/>
      <c r="X832" s="15"/>
      <c r="Y832" s="15"/>
      <c r="Z832" s="15"/>
      <c r="AA832" s="15"/>
      <c r="AB832" s="15"/>
      <c r="AC832" s="15"/>
      <c r="AD832" s="15"/>
      <c r="AJ832" s="14"/>
      <c r="AK832" s="14"/>
      <c r="AL832" s="19"/>
      <c r="AM832" s="19"/>
      <c r="AN832" s="19"/>
    </row>
    <row r="833">
      <c r="I833" s="121"/>
      <c r="Q833" s="10"/>
      <c r="S833" s="14"/>
      <c r="X833" s="15"/>
      <c r="Y833" s="15"/>
      <c r="Z833" s="15"/>
      <c r="AA833" s="15"/>
      <c r="AB833" s="15"/>
      <c r="AC833" s="15"/>
      <c r="AD833" s="15"/>
      <c r="AJ833" s="14"/>
      <c r="AK833" s="14"/>
      <c r="AL833" s="19"/>
      <c r="AM833" s="19"/>
      <c r="AN833" s="19"/>
    </row>
    <row r="834">
      <c r="I834" s="121"/>
      <c r="Q834" s="10"/>
      <c r="S834" s="14"/>
      <c r="X834" s="15"/>
      <c r="Y834" s="15"/>
      <c r="Z834" s="15"/>
      <c r="AA834" s="15"/>
      <c r="AB834" s="15"/>
      <c r="AC834" s="15"/>
      <c r="AD834" s="15"/>
      <c r="AJ834" s="14"/>
      <c r="AK834" s="14"/>
      <c r="AL834" s="19"/>
      <c r="AM834" s="19"/>
      <c r="AN834" s="19"/>
    </row>
    <row r="835">
      <c r="I835" s="121"/>
      <c r="Q835" s="10"/>
      <c r="S835" s="14"/>
      <c r="X835" s="15"/>
      <c r="Y835" s="15"/>
      <c r="Z835" s="15"/>
      <c r="AA835" s="15"/>
      <c r="AB835" s="15"/>
      <c r="AC835" s="15"/>
      <c r="AD835" s="15"/>
      <c r="AJ835" s="14"/>
      <c r="AK835" s="14"/>
      <c r="AL835" s="19"/>
      <c r="AM835" s="19"/>
      <c r="AN835" s="19"/>
    </row>
    <row r="836">
      <c r="I836" s="121"/>
      <c r="Q836" s="10"/>
      <c r="S836" s="14"/>
      <c r="X836" s="15"/>
      <c r="Y836" s="15"/>
      <c r="Z836" s="15"/>
      <c r="AA836" s="15"/>
      <c r="AB836" s="15"/>
      <c r="AC836" s="15"/>
      <c r="AD836" s="15"/>
      <c r="AJ836" s="14"/>
      <c r="AK836" s="14"/>
      <c r="AL836" s="19"/>
      <c r="AM836" s="19"/>
      <c r="AN836" s="19"/>
    </row>
    <row r="837">
      <c r="I837" s="121"/>
      <c r="Q837" s="10"/>
      <c r="S837" s="14"/>
      <c r="X837" s="15"/>
      <c r="Y837" s="15"/>
      <c r="Z837" s="15"/>
      <c r="AA837" s="15"/>
      <c r="AB837" s="15"/>
      <c r="AC837" s="15"/>
      <c r="AD837" s="15"/>
      <c r="AJ837" s="14"/>
      <c r="AK837" s="14"/>
      <c r="AL837" s="19"/>
      <c r="AM837" s="19"/>
      <c r="AN837" s="19"/>
    </row>
    <row r="838">
      <c r="I838" s="121"/>
      <c r="Q838" s="10"/>
      <c r="S838" s="14"/>
      <c r="X838" s="15"/>
      <c r="Y838" s="15"/>
      <c r="Z838" s="15"/>
      <c r="AA838" s="15"/>
      <c r="AB838" s="15"/>
      <c r="AC838" s="15"/>
      <c r="AD838" s="15"/>
      <c r="AJ838" s="14"/>
      <c r="AK838" s="14"/>
      <c r="AL838" s="19"/>
      <c r="AM838" s="19"/>
      <c r="AN838" s="19"/>
    </row>
    <row r="839">
      <c r="I839" s="121"/>
      <c r="Q839" s="10"/>
      <c r="S839" s="14"/>
      <c r="X839" s="15"/>
      <c r="Y839" s="15"/>
      <c r="Z839" s="15"/>
      <c r="AA839" s="15"/>
      <c r="AB839" s="15"/>
      <c r="AC839" s="15"/>
      <c r="AD839" s="15"/>
      <c r="AJ839" s="14"/>
      <c r="AK839" s="14"/>
      <c r="AL839" s="19"/>
      <c r="AM839" s="19"/>
      <c r="AN839" s="19"/>
    </row>
    <row r="840">
      <c r="I840" s="121"/>
      <c r="Q840" s="10"/>
      <c r="S840" s="14"/>
      <c r="X840" s="15"/>
      <c r="Y840" s="15"/>
      <c r="Z840" s="15"/>
      <c r="AA840" s="15"/>
      <c r="AB840" s="15"/>
      <c r="AC840" s="15"/>
      <c r="AD840" s="15"/>
      <c r="AJ840" s="14"/>
      <c r="AK840" s="14"/>
      <c r="AL840" s="19"/>
      <c r="AM840" s="19"/>
      <c r="AN840" s="19"/>
    </row>
    <row r="841">
      <c r="I841" s="121"/>
      <c r="Q841" s="10"/>
      <c r="S841" s="14"/>
      <c r="X841" s="15"/>
      <c r="Y841" s="15"/>
      <c r="Z841" s="15"/>
      <c r="AA841" s="15"/>
      <c r="AB841" s="15"/>
      <c r="AC841" s="15"/>
      <c r="AD841" s="15"/>
      <c r="AJ841" s="14"/>
      <c r="AK841" s="14"/>
      <c r="AL841" s="19"/>
      <c r="AM841" s="19"/>
      <c r="AN841" s="19"/>
    </row>
    <row r="842">
      <c r="I842" s="121"/>
      <c r="Q842" s="10"/>
      <c r="S842" s="14"/>
      <c r="X842" s="15"/>
      <c r="Y842" s="15"/>
      <c r="Z842" s="15"/>
      <c r="AA842" s="15"/>
      <c r="AB842" s="15"/>
      <c r="AC842" s="15"/>
      <c r="AD842" s="15"/>
      <c r="AJ842" s="14"/>
      <c r="AK842" s="14"/>
      <c r="AL842" s="19"/>
      <c r="AM842" s="19"/>
      <c r="AN842" s="19"/>
    </row>
    <row r="843">
      <c r="I843" s="121"/>
      <c r="Q843" s="10"/>
      <c r="S843" s="14"/>
      <c r="X843" s="15"/>
      <c r="Y843" s="15"/>
      <c r="Z843" s="15"/>
      <c r="AA843" s="15"/>
      <c r="AB843" s="15"/>
      <c r="AC843" s="15"/>
      <c r="AD843" s="15"/>
      <c r="AJ843" s="14"/>
      <c r="AK843" s="14"/>
      <c r="AL843" s="19"/>
      <c r="AM843" s="19"/>
      <c r="AN843" s="19"/>
    </row>
    <row r="844">
      <c r="I844" s="121"/>
      <c r="Q844" s="10"/>
      <c r="S844" s="14"/>
      <c r="X844" s="15"/>
      <c r="Y844" s="15"/>
      <c r="Z844" s="15"/>
      <c r="AA844" s="15"/>
      <c r="AB844" s="15"/>
      <c r="AC844" s="15"/>
      <c r="AD844" s="15"/>
      <c r="AJ844" s="14"/>
      <c r="AK844" s="14"/>
      <c r="AL844" s="19"/>
      <c r="AM844" s="19"/>
      <c r="AN844" s="19"/>
    </row>
    <row r="845">
      <c r="I845" s="121"/>
      <c r="Q845" s="10"/>
      <c r="S845" s="14"/>
      <c r="X845" s="15"/>
      <c r="Y845" s="15"/>
      <c r="Z845" s="15"/>
      <c r="AA845" s="15"/>
      <c r="AB845" s="15"/>
      <c r="AC845" s="15"/>
      <c r="AD845" s="15"/>
      <c r="AJ845" s="14"/>
      <c r="AK845" s="14"/>
      <c r="AL845" s="19"/>
      <c r="AM845" s="19"/>
      <c r="AN845" s="19"/>
    </row>
    <row r="846">
      <c r="I846" s="121"/>
      <c r="Q846" s="10"/>
      <c r="S846" s="14"/>
      <c r="X846" s="15"/>
      <c r="Y846" s="15"/>
      <c r="Z846" s="15"/>
      <c r="AA846" s="15"/>
      <c r="AB846" s="15"/>
      <c r="AC846" s="15"/>
      <c r="AD846" s="15"/>
      <c r="AJ846" s="14"/>
      <c r="AK846" s="14"/>
      <c r="AL846" s="19"/>
      <c r="AM846" s="19"/>
      <c r="AN846" s="19"/>
    </row>
    <row r="847">
      <c r="I847" s="121"/>
      <c r="Q847" s="10"/>
      <c r="S847" s="14"/>
      <c r="X847" s="15"/>
      <c r="Y847" s="15"/>
      <c r="Z847" s="15"/>
      <c r="AA847" s="15"/>
      <c r="AB847" s="15"/>
      <c r="AC847" s="15"/>
      <c r="AD847" s="15"/>
      <c r="AJ847" s="14"/>
      <c r="AK847" s="14"/>
      <c r="AL847" s="19"/>
      <c r="AM847" s="19"/>
      <c r="AN847" s="19"/>
    </row>
    <row r="848">
      <c r="I848" s="121"/>
      <c r="Q848" s="10"/>
      <c r="S848" s="14"/>
      <c r="X848" s="15"/>
      <c r="Y848" s="15"/>
      <c r="Z848" s="15"/>
      <c r="AA848" s="15"/>
      <c r="AB848" s="15"/>
      <c r="AC848" s="15"/>
      <c r="AD848" s="15"/>
      <c r="AJ848" s="14"/>
      <c r="AK848" s="14"/>
      <c r="AL848" s="19"/>
      <c r="AM848" s="19"/>
      <c r="AN848" s="19"/>
    </row>
    <row r="849">
      <c r="I849" s="121"/>
      <c r="Q849" s="10"/>
      <c r="S849" s="14"/>
      <c r="X849" s="15"/>
      <c r="Y849" s="15"/>
      <c r="Z849" s="15"/>
      <c r="AA849" s="15"/>
      <c r="AB849" s="15"/>
      <c r="AC849" s="15"/>
      <c r="AD849" s="15"/>
      <c r="AJ849" s="14"/>
      <c r="AK849" s="14"/>
      <c r="AL849" s="19"/>
      <c r="AM849" s="19"/>
      <c r="AN849" s="19"/>
    </row>
    <row r="850">
      <c r="I850" s="121"/>
      <c r="Q850" s="10"/>
      <c r="S850" s="14"/>
      <c r="X850" s="15"/>
      <c r="Y850" s="15"/>
      <c r="Z850" s="15"/>
      <c r="AA850" s="15"/>
      <c r="AB850" s="15"/>
      <c r="AC850" s="15"/>
      <c r="AD850" s="15"/>
      <c r="AJ850" s="14"/>
      <c r="AK850" s="14"/>
      <c r="AL850" s="19"/>
      <c r="AM850" s="19"/>
      <c r="AN850" s="19"/>
    </row>
    <row r="851">
      <c r="I851" s="121"/>
      <c r="Q851" s="10"/>
      <c r="S851" s="14"/>
      <c r="X851" s="15"/>
      <c r="Y851" s="15"/>
      <c r="Z851" s="15"/>
      <c r="AA851" s="15"/>
      <c r="AB851" s="15"/>
      <c r="AC851" s="15"/>
      <c r="AD851" s="15"/>
      <c r="AJ851" s="14"/>
      <c r="AK851" s="14"/>
      <c r="AL851" s="19"/>
      <c r="AM851" s="19"/>
      <c r="AN851" s="19"/>
    </row>
    <row r="852">
      <c r="I852" s="121"/>
      <c r="Q852" s="10"/>
      <c r="S852" s="14"/>
      <c r="X852" s="15"/>
      <c r="Y852" s="15"/>
      <c r="Z852" s="15"/>
      <c r="AA852" s="15"/>
      <c r="AB852" s="15"/>
      <c r="AC852" s="15"/>
      <c r="AD852" s="15"/>
      <c r="AJ852" s="14"/>
      <c r="AK852" s="14"/>
      <c r="AL852" s="19"/>
      <c r="AM852" s="19"/>
      <c r="AN852" s="19"/>
    </row>
    <row r="853">
      <c r="I853" s="121"/>
      <c r="Q853" s="10"/>
      <c r="S853" s="14"/>
      <c r="X853" s="15"/>
      <c r="Y853" s="15"/>
      <c r="Z853" s="15"/>
      <c r="AA853" s="15"/>
      <c r="AB853" s="15"/>
      <c r="AC853" s="15"/>
      <c r="AD853" s="15"/>
      <c r="AJ853" s="14"/>
      <c r="AK853" s="14"/>
      <c r="AL853" s="19"/>
      <c r="AM853" s="19"/>
      <c r="AN853" s="19"/>
    </row>
    <row r="854">
      <c r="I854" s="121"/>
      <c r="Q854" s="10"/>
      <c r="S854" s="14"/>
      <c r="X854" s="15"/>
      <c r="Y854" s="15"/>
      <c r="Z854" s="15"/>
      <c r="AA854" s="15"/>
      <c r="AB854" s="15"/>
      <c r="AC854" s="15"/>
      <c r="AD854" s="15"/>
      <c r="AJ854" s="14"/>
      <c r="AK854" s="14"/>
      <c r="AL854" s="19"/>
      <c r="AM854" s="19"/>
      <c r="AN854" s="19"/>
    </row>
    <row r="855">
      <c r="I855" s="121"/>
      <c r="Q855" s="10"/>
      <c r="S855" s="14"/>
      <c r="X855" s="15"/>
      <c r="Y855" s="15"/>
      <c r="Z855" s="15"/>
      <c r="AA855" s="15"/>
      <c r="AB855" s="15"/>
      <c r="AC855" s="15"/>
      <c r="AD855" s="15"/>
      <c r="AJ855" s="14"/>
      <c r="AK855" s="14"/>
      <c r="AL855" s="19"/>
      <c r="AM855" s="19"/>
      <c r="AN855" s="19"/>
    </row>
    <row r="856">
      <c r="I856" s="121"/>
      <c r="Q856" s="10"/>
      <c r="S856" s="14"/>
      <c r="X856" s="15"/>
      <c r="Y856" s="15"/>
      <c r="Z856" s="15"/>
      <c r="AA856" s="15"/>
      <c r="AB856" s="15"/>
      <c r="AC856" s="15"/>
      <c r="AD856" s="15"/>
      <c r="AJ856" s="14"/>
      <c r="AK856" s="14"/>
      <c r="AL856" s="19"/>
      <c r="AM856" s="19"/>
      <c r="AN856" s="19"/>
    </row>
    <row r="857">
      <c r="I857" s="121"/>
      <c r="Q857" s="10"/>
      <c r="S857" s="14"/>
      <c r="X857" s="15"/>
      <c r="Y857" s="15"/>
      <c r="Z857" s="15"/>
      <c r="AA857" s="15"/>
      <c r="AB857" s="15"/>
      <c r="AC857" s="15"/>
      <c r="AD857" s="15"/>
      <c r="AJ857" s="14"/>
      <c r="AK857" s="14"/>
      <c r="AL857" s="19"/>
      <c r="AM857" s="19"/>
      <c r="AN857" s="19"/>
    </row>
    <row r="858">
      <c r="I858" s="121"/>
      <c r="Q858" s="10"/>
      <c r="S858" s="14"/>
      <c r="X858" s="15"/>
      <c r="Y858" s="15"/>
      <c r="Z858" s="15"/>
      <c r="AA858" s="15"/>
      <c r="AB858" s="15"/>
      <c r="AC858" s="15"/>
      <c r="AD858" s="15"/>
      <c r="AJ858" s="14"/>
      <c r="AK858" s="14"/>
      <c r="AL858" s="19"/>
      <c r="AM858" s="19"/>
      <c r="AN858" s="19"/>
    </row>
    <row r="859">
      <c r="I859" s="121"/>
      <c r="Q859" s="10"/>
      <c r="S859" s="14"/>
      <c r="X859" s="15"/>
      <c r="Y859" s="15"/>
      <c r="Z859" s="15"/>
      <c r="AA859" s="15"/>
      <c r="AB859" s="15"/>
      <c r="AC859" s="15"/>
      <c r="AD859" s="15"/>
      <c r="AJ859" s="14"/>
      <c r="AK859" s="14"/>
      <c r="AL859" s="19"/>
      <c r="AM859" s="19"/>
      <c r="AN859" s="19"/>
    </row>
    <row r="860">
      <c r="I860" s="121"/>
      <c r="Q860" s="10"/>
      <c r="S860" s="14"/>
      <c r="X860" s="15"/>
      <c r="Y860" s="15"/>
      <c r="Z860" s="15"/>
      <c r="AA860" s="15"/>
      <c r="AB860" s="15"/>
      <c r="AC860" s="15"/>
      <c r="AD860" s="15"/>
      <c r="AJ860" s="14"/>
      <c r="AK860" s="14"/>
      <c r="AL860" s="19"/>
      <c r="AM860" s="19"/>
      <c r="AN860" s="19"/>
    </row>
    <row r="861">
      <c r="I861" s="121"/>
      <c r="Q861" s="10"/>
      <c r="S861" s="14"/>
      <c r="X861" s="15"/>
      <c r="Y861" s="15"/>
      <c r="Z861" s="15"/>
      <c r="AA861" s="15"/>
      <c r="AB861" s="15"/>
      <c r="AC861" s="15"/>
      <c r="AD861" s="15"/>
      <c r="AJ861" s="14"/>
      <c r="AK861" s="14"/>
      <c r="AL861" s="19"/>
      <c r="AM861" s="19"/>
      <c r="AN861" s="19"/>
    </row>
    <row r="862">
      <c r="I862" s="121"/>
      <c r="Q862" s="10"/>
      <c r="S862" s="14"/>
      <c r="X862" s="15"/>
      <c r="Y862" s="15"/>
      <c r="Z862" s="15"/>
      <c r="AA862" s="15"/>
      <c r="AB862" s="15"/>
      <c r="AC862" s="15"/>
      <c r="AD862" s="15"/>
      <c r="AJ862" s="14"/>
      <c r="AK862" s="14"/>
      <c r="AL862" s="19"/>
      <c r="AM862" s="19"/>
      <c r="AN862" s="19"/>
    </row>
    <row r="863">
      <c r="I863" s="121"/>
      <c r="Q863" s="10"/>
      <c r="S863" s="14"/>
      <c r="X863" s="15"/>
      <c r="Y863" s="15"/>
      <c r="Z863" s="15"/>
      <c r="AA863" s="15"/>
      <c r="AB863" s="15"/>
      <c r="AC863" s="15"/>
      <c r="AD863" s="15"/>
      <c r="AJ863" s="14"/>
      <c r="AK863" s="14"/>
      <c r="AL863" s="19"/>
      <c r="AM863" s="19"/>
      <c r="AN863" s="19"/>
    </row>
    <row r="864">
      <c r="I864" s="121"/>
      <c r="Q864" s="10"/>
      <c r="S864" s="14"/>
      <c r="X864" s="15"/>
      <c r="Y864" s="15"/>
      <c r="Z864" s="15"/>
      <c r="AA864" s="15"/>
      <c r="AB864" s="15"/>
      <c r="AC864" s="15"/>
      <c r="AD864" s="15"/>
      <c r="AJ864" s="14"/>
      <c r="AK864" s="14"/>
      <c r="AL864" s="19"/>
      <c r="AM864" s="19"/>
      <c r="AN864" s="19"/>
    </row>
    <row r="865">
      <c r="I865" s="121"/>
      <c r="Q865" s="10"/>
      <c r="S865" s="14"/>
      <c r="X865" s="15"/>
      <c r="Y865" s="15"/>
      <c r="Z865" s="15"/>
      <c r="AA865" s="15"/>
      <c r="AB865" s="15"/>
      <c r="AC865" s="15"/>
      <c r="AD865" s="15"/>
      <c r="AJ865" s="14"/>
      <c r="AK865" s="14"/>
      <c r="AL865" s="19"/>
      <c r="AM865" s="19"/>
      <c r="AN865" s="19"/>
    </row>
    <row r="866">
      <c r="I866" s="121"/>
      <c r="Q866" s="10"/>
      <c r="S866" s="14"/>
      <c r="X866" s="15"/>
      <c r="Y866" s="15"/>
      <c r="Z866" s="15"/>
      <c r="AA866" s="15"/>
      <c r="AB866" s="15"/>
      <c r="AC866" s="15"/>
      <c r="AD866" s="15"/>
      <c r="AJ866" s="14"/>
      <c r="AK866" s="14"/>
      <c r="AL866" s="19"/>
      <c r="AM866" s="19"/>
      <c r="AN866" s="19"/>
    </row>
    <row r="867">
      <c r="I867" s="121"/>
      <c r="Q867" s="10"/>
      <c r="S867" s="14"/>
      <c r="X867" s="15"/>
      <c r="Y867" s="15"/>
      <c r="Z867" s="15"/>
      <c r="AA867" s="15"/>
      <c r="AB867" s="15"/>
      <c r="AC867" s="15"/>
      <c r="AD867" s="15"/>
      <c r="AJ867" s="14"/>
      <c r="AK867" s="14"/>
      <c r="AL867" s="19"/>
      <c r="AM867" s="19"/>
      <c r="AN867" s="19"/>
    </row>
    <row r="868">
      <c r="I868" s="121"/>
      <c r="Q868" s="10"/>
      <c r="S868" s="14"/>
      <c r="X868" s="15"/>
      <c r="Y868" s="15"/>
      <c r="Z868" s="15"/>
      <c r="AA868" s="15"/>
      <c r="AB868" s="15"/>
      <c r="AC868" s="15"/>
      <c r="AD868" s="15"/>
      <c r="AJ868" s="14"/>
      <c r="AK868" s="14"/>
      <c r="AL868" s="19"/>
      <c r="AM868" s="19"/>
      <c r="AN868" s="19"/>
    </row>
    <row r="869">
      <c r="I869" s="121"/>
      <c r="Q869" s="10"/>
      <c r="S869" s="14"/>
      <c r="X869" s="15"/>
      <c r="Y869" s="15"/>
      <c r="Z869" s="15"/>
      <c r="AA869" s="15"/>
      <c r="AB869" s="15"/>
      <c r="AC869" s="15"/>
      <c r="AD869" s="15"/>
      <c r="AJ869" s="14"/>
      <c r="AK869" s="14"/>
      <c r="AL869" s="19"/>
      <c r="AM869" s="19"/>
      <c r="AN869" s="19"/>
    </row>
    <row r="870">
      <c r="I870" s="121"/>
      <c r="Q870" s="10"/>
      <c r="S870" s="14"/>
      <c r="X870" s="15"/>
      <c r="Y870" s="15"/>
      <c r="Z870" s="15"/>
      <c r="AA870" s="15"/>
      <c r="AB870" s="15"/>
      <c r="AC870" s="15"/>
      <c r="AD870" s="15"/>
      <c r="AJ870" s="14"/>
      <c r="AK870" s="14"/>
      <c r="AL870" s="19"/>
      <c r="AM870" s="19"/>
      <c r="AN870" s="19"/>
    </row>
    <row r="871">
      <c r="I871" s="121"/>
      <c r="Q871" s="10"/>
      <c r="S871" s="14"/>
      <c r="X871" s="15"/>
      <c r="Y871" s="15"/>
      <c r="Z871" s="15"/>
      <c r="AA871" s="15"/>
      <c r="AB871" s="15"/>
      <c r="AC871" s="15"/>
      <c r="AD871" s="15"/>
      <c r="AJ871" s="14"/>
      <c r="AK871" s="14"/>
      <c r="AL871" s="19"/>
      <c r="AM871" s="19"/>
      <c r="AN871" s="19"/>
    </row>
    <row r="872">
      <c r="I872" s="121"/>
      <c r="Q872" s="10"/>
      <c r="S872" s="14"/>
      <c r="X872" s="15"/>
      <c r="Y872" s="15"/>
      <c r="Z872" s="15"/>
      <c r="AA872" s="15"/>
      <c r="AB872" s="15"/>
      <c r="AC872" s="15"/>
      <c r="AD872" s="15"/>
      <c r="AJ872" s="14"/>
      <c r="AK872" s="14"/>
      <c r="AL872" s="19"/>
      <c r="AM872" s="19"/>
      <c r="AN872" s="19"/>
    </row>
    <row r="873">
      <c r="I873" s="121"/>
      <c r="Q873" s="10"/>
      <c r="S873" s="14"/>
      <c r="X873" s="15"/>
      <c r="Y873" s="15"/>
      <c r="Z873" s="15"/>
      <c r="AA873" s="15"/>
      <c r="AB873" s="15"/>
      <c r="AC873" s="15"/>
      <c r="AD873" s="15"/>
      <c r="AJ873" s="14"/>
      <c r="AK873" s="14"/>
      <c r="AL873" s="19"/>
      <c r="AM873" s="19"/>
      <c r="AN873" s="19"/>
    </row>
    <row r="874">
      <c r="I874" s="121"/>
      <c r="Q874" s="10"/>
      <c r="S874" s="14"/>
      <c r="X874" s="15"/>
      <c r="Y874" s="15"/>
      <c r="Z874" s="15"/>
      <c r="AA874" s="15"/>
      <c r="AB874" s="15"/>
      <c r="AC874" s="15"/>
      <c r="AD874" s="15"/>
      <c r="AJ874" s="14"/>
      <c r="AK874" s="14"/>
      <c r="AL874" s="19"/>
      <c r="AM874" s="19"/>
      <c r="AN874" s="19"/>
    </row>
    <row r="875">
      <c r="I875" s="121"/>
      <c r="Q875" s="10"/>
      <c r="S875" s="14"/>
      <c r="X875" s="15"/>
      <c r="Y875" s="15"/>
      <c r="Z875" s="15"/>
      <c r="AA875" s="15"/>
      <c r="AB875" s="15"/>
      <c r="AC875" s="15"/>
      <c r="AD875" s="15"/>
      <c r="AJ875" s="14"/>
      <c r="AK875" s="14"/>
      <c r="AL875" s="19"/>
      <c r="AM875" s="19"/>
      <c r="AN875" s="19"/>
    </row>
    <row r="876">
      <c r="I876" s="121"/>
      <c r="Q876" s="10"/>
      <c r="S876" s="14"/>
      <c r="X876" s="15"/>
      <c r="Y876" s="15"/>
      <c r="Z876" s="15"/>
      <c r="AA876" s="15"/>
      <c r="AB876" s="15"/>
      <c r="AC876" s="15"/>
      <c r="AD876" s="15"/>
      <c r="AJ876" s="14"/>
      <c r="AK876" s="14"/>
      <c r="AL876" s="19"/>
      <c r="AM876" s="19"/>
      <c r="AN876" s="19"/>
    </row>
    <row r="877">
      <c r="I877" s="121"/>
      <c r="Q877" s="10"/>
      <c r="S877" s="14"/>
      <c r="X877" s="15"/>
      <c r="Y877" s="15"/>
      <c r="Z877" s="15"/>
      <c r="AA877" s="15"/>
      <c r="AB877" s="15"/>
      <c r="AC877" s="15"/>
      <c r="AD877" s="15"/>
      <c r="AJ877" s="14"/>
      <c r="AK877" s="14"/>
      <c r="AL877" s="19"/>
      <c r="AM877" s="19"/>
      <c r="AN877" s="19"/>
    </row>
    <row r="878">
      <c r="I878" s="121"/>
      <c r="Q878" s="10"/>
      <c r="S878" s="14"/>
      <c r="X878" s="15"/>
      <c r="Y878" s="15"/>
      <c r="Z878" s="15"/>
      <c r="AA878" s="15"/>
      <c r="AB878" s="15"/>
      <c r="AC878" s="15"/>
      <c r="AD878" s="15"/>
      <c r="AJ878" s="14"/>
      <c r="AK878" s="14"/>
      <c r="AL878" s="19"/>
      <c r="AM878" s="19"/>
      <c r="AN878" s="19"/>
    </row>
    <row r="879">
      <c r="I879" s="121"/>
      <c r="Q879" s="10"/>
      <c r="S879" s="14"/>
      <c r="X879" s="15"/>
      <c r="Y879" s="15"/>
      <c r="Z879" s="15"/>
      <c r="AA879" s="15"/>
      <c r="AB879" s="15"/>
      <c r="AC879" s="15"/>
      <c r="AD879" s="15"/>
      <c r="AJ879" s="14"/>
      <c r="AK879" s="14"/>
      <c r="AL879" s="19"/>
      <c r="AM879" s="19"/>
      <c r="AN879" s="19"/>
    </row>
    <row r="880">
      <c r="I880" s="121"/>
      <c r="Q880" s="10"/>
      <c r="S880" s="14"/>
      <c r="X880" s="15"/>
      <c r="Y880" s="15"/>
      <c r="Z880" s="15"/>
      <c r="AA880" s="15"/>
      <c r="AB880" s="15"/>
      <c r="AC880" s="15"/>
      <c r="AD880" s="15"/>
      <c r="AJ880" s="14"/>
      <c r="AK880" s="14"/>
      <c r="AL880" s="19"/>
      <c r="AM880" s="19"/>
      <c r="AN880" s="19"/>
    </row>
    <row r="881">
      <c r="I881" s="121"/>
      <c r="Q881" s="10"/>
      <c r="S881" s="14"/>
      <c r="X881" s="15"/>
      <c r="Y881" s="15"/>
      <c r="Z881" s="15"/>
      <c r="AA881" s="15"/>
      <c r="AB881" s="15"/>
      <c r="AC881" s="15"/>
      <c r="AD881" s="15"/>
      <c r="AJ881" s="14"/>
      <c r="AK881" s="14"/>
      <c r="AL881" s="19"/>
      <c r="AM881" s="19"/>
      <c r="AN881" s="19"/>
    </row>
    <row r="882">
      <c r="I882" s="121"/>
      <c r="Q882" s="10"/>
      <c r="S882" s="14"/>
      <c r="X882" s="15"/>
      <c r="Y882" s="15"/>
      <c r="Z882" s="15"/>
      <c r="AA882" s="15"/>
      <c r="AB882" s="15"/>
      <c r="AC882" s="15"/>
      <c r="AD882" s="15"/>
      <c r="AJ882" s="14"/>
      <c r="AK882" s="14"/>
      <c r="AL882" s="19"/>
      <c r="AM882" s="19"/>
      <c r="AN882" s="19"/>
    </row>
    <row r="883">
      <c r="I883" s="121"/>
      <c r="Q883" s="10"/>
      <c r="S883" s="14"/>
      <c r="X883" s="15"/>
      <c r="Y883" s="15"/>
      <c r="Z883" s="15"/>
      <c r="AA883" s="15"/>
      <c r="AB883" s="15"/>
      <c r="AC883" s="15"/>
      <c r="AD883" s="15"/>
      <c r="AJ883" s="14"/>
      <c r="AK883" s="14"/>
      <c r="AL883" s="19"/>
      <c r="AM883" s="19"/>
      <c r="AN883" s="19"/>
    </row>
    <row r="884">
      <c r="I884" s="121"/>
      <c r="Q884" s="10"/>
      <c r="S884" s="14"/>
      <c r="X884" s="15"/>
      <c r="Y884" s="15"/>
      <c r="Z884" s="15"/>
      <c r="AA884" s="15"/>
      <c r="AB884" s="15"/>
      <c r="AC884" s="15"/>
      <c r="AD884" s="15"/>
      <c r="AJ884" s="14"/>
      <c r="AK884" s="14"/>
      <c r="AL884" s="19"/>
      <c r="AM884" s="19"/>
      <c r="AN884" s="19"/>
    </row>
    <row r="885">
      <c r="I885" s="121"/>
      <c r="Q885" s="10"/>
      <c r="S885" s="14"/>
      <c r="X885" s="15"/>
      <c r="Y885" s="15"/>
      <c r="Z885" s="15"/>
      <c r="AA885" s="15"/>
      <c r="AB885" s="15"/>
      <c r="AC885" s="15"/>
      <c r="AD885" s="15"/>
      <c r="AJ885" s="14"/>
      <c r="AK885" s="14"/>
      <c r="AL885" s="19"/>
      <c r="AM885" s="19"/>
      <c r="AN885" s="19"/>
    </row>
    <row r="886">
      <c r="I886" s="121"/>
      <c r="Q886" s="10"/>
      <c r="S886" s="14"/>
      <c r="X886" s="15"/>
      <c r="Y886" s="15"/>
      <c r="Z886" s="15"/>
      <c r="AA886" s="15"/>
      <c r="AB886" s="15"/>
      <c r="AC886" s="15"/>
      <c r="AD886" s="15"/>
      <c r="AJ886" s="14"/>
      <c r="AK886" s="14"/>
      <c r="AL886" s="19"/>
      <c r="AM886" s="19"/>
      <c r="AN886" s="19"/>
    </row>
    <row r="887">
      <c r="I887" s="121"/>
      <c r="Q887" s="10"/>
      <c r="S887" s="14"/>
      <c r="X887" s="15"/>
      <c r="Y887" s="15"/>
      <c r="Z887" s="15"/>
      <c r="AA887" s="15"/>
      <c r="AB887" s="15"/>
      <c r="AC887" s="15"/>
      <c r="AD887" s="15"/>
      <c r="AJ887" s="14"/>
      <c r="AK887" s="14"/>
      <c r="AL887" s="19"/>
      <c r="AM887" s="19"/>
      <c r="AN887" s="19"/>
    </row>
    <row r="888">
      <c r="I888" s="121"/>
      <c r="Q888" s="10"/>
      <c r="S888" s="14"/>
      <c r="X888" s="15"/>
      <c r="Y888" s="15"/>
      <c r="Z888" s="15"/>
      <c r="AA888" s="15"/>
      <c r="AB888" s="15"/>
      <c r="AC888" s="15"/>
      <c r="AD888" s="15"/>
      <c r="AJ888" s="14"/>
      <c r="AK888" s="14"/>
      <c r="AL888" s="19"/>
      <c r="AM888" s="19"/>
      <c r="AN888" s="19"/>
    </row>
    <row r="889">
      <c r="I889" s="121"/>
      <c r="Q889" s="10"/>
      <c r="S889" s="14"/>
      <c r="X889" s="15"/>
      <c r="Y889" s="15"/>
      <c r="Z889" s="15"/>
      <c r="AA889" s="15"/>
      <c r="AB889" s="15"/>
      <c r="AC889" s="15"/>
      <c r="AD889" s="15"/>
      <c r="AJ889" s="14"/>
      <c r="AK889" s="14"/>
      <c r="AL889" s="19"/>
      <c r="AM889" s="19"/>
      <c r="AN889" s="19"/>
    </row>
    <row r="890">
      <c r="I890" s="121"/>
      <c r="Q890" s="10"/>
      <c r="S890" s="14"/>
      <c r="X890" s="15"/>
      <c r="Y890" s="15"/>
      <c r="Z890" s="15"/>
      <c r="AA890" s="15"/>
      <c r="AB890" s="15"/>
      <c r="AC890" s="15"/>
      <c r="AD890" s="15"/>
      <c r="AJ890" s="14"/>
      <c r="AK890" s="14"/>
      <c r="AL890" s="19"/>
      <c r="AM890" s="19"/>
      <c r="AN890" s="19"/>
    </row>
    <row r="891">
      <c r="I891" s="121"/>
      <c r="Q891" s="10"/>
      <c r="S891" s="14"/>
      <c r="X891" s="15"/>
      <c r="Y891" s="15"/>
      <c r="Z891" s="15"/>
      <c r="AA891" s="15"/>
      <c r="AB891" s="15"/>
      <c r="AC891" s="15"/>
      <c r="AD891" s="15"/>
      <c r="AJ891" s="14"/>
      <c r="AK891" s="14"/>
      <c r="AL891" s="19"/>
      <c r="AM891" s="19"/>
      <c r="AN891" s="19"/>
    </row>
    <row r="892">
      <c r="I892" s="121"/>
      <c r="Q892" s="10"/>
      <c r="S892" s="14"/>
      <c r="X892" s="15"/>
      <c r="Y892" s="15"/>
      <c r="Z892" s="15"/>
      <c r="AA892" s="15"/>
      <c r="AB892" s="15"/>
      <c r="AC892" s="15"/>
      <c r="AD892" s="15"/>
      <c r="AJ892" s="14"/>
      <c r="AK892" s="14"/>
      <c r="AL892" s="19"/>
      <c r="AM892" s="19"/>
      <c r="AN892" s="19"/>
    </row>
    <row r="893">
      <c r="I893" s="121"/>
      <c r="Q893" s="10"/>
      <c r="S893" s="14"/>
      <c r="X893" s="15"/>
      <c r="Y893" s="15"/>
      <c r="Z893" s="15"/>
      <c r="AA893" s="15"/>
      <c r="AB893" s="15"/>
      <c r="AC893" s="15"/>
      <c r="AD893" s="15"/>
      <c r="AJ893" s="14"/>
      <c r="AK893" s="14"/>
      <c r="AL893" s="19"/>
      <c r="AM893" s="19"/>
      <c r="AN893" s="19"/>
    </row>
    <row r="894">
      <c r="I894" s="121"/>
      <c r="Q894" s="10"/>
      <c r="S894" s="14"/>
      <c r="X894" s="15"/>
      <c r="Y894" s="15"/>
      <c r="Z894" s="15"/>
      <c r="AA894" s="15"/>
      <c r="AB894" s="15"/>
      <c r="AC894" s="15"/>
      <c r="AD894" s="15"/>
      <c r="AJ894" s="14"/>
      <c r="AK894" s="14"/>
      <c r="AL894" s="19"/>
      <c r="AM894" s="19"/>
      <c r="AN894" s="19"/>
    </row>
    <row r="895">
      <c r="I895" s="121"/>
      <c r="Q895" s="10"/>
      <c r="S895" s="14"/>
      <c r="X895" s="15"/>
      <c r="Y895" s="15"/>
      <c r="Z895" s="15"/>
      <c r="AA895" s="15"/>
      <c r="AB895" s="15"/>
      <c r="AC895" s="15"/>
      <c r="AD895" s="15"/>
      <c r="AJ895" s="14"/>
      <c r="AK895" s="14"/>
      <c r="AL895" s="19"/>
      <c r="AM895" s="19"/>
      <c r="AN895" s="19"/>
    </row>
    <row r="896">
      <c r="I896" s="121"/>
      <c r="Q896" s="10"/>
      <c r="S896" s="14"/>
      <c r="X896" s="15"/>
      <c r="Y896" s="15"/>
      <c r="Z896" s="15"/>
      <c r="AA896" s="15"/>
      <c r="AB896" s="15"/>
      <c r="AC896" s="15"/>
      <c r="AD896" s="15"/>
      <c r="AJ896" s="14"/>
      <c r="AK896" s="14"/>
      <c r="AL896" s="19"/>
      <c r="AM896" s="19"/>
      <c r="AN896" s="19"/>
    </row>
    <row r="897">
      <c r="I897" s="121"/>
      <c r="Q897" s="10"/>
      <c r="S897" s="14"/>
      <c r="X897" s="15"/>
      <c r="Y897" s="15"/>
      <c r="Z897" s="15"/>
      <c r="AA897" s="15"/>
      <c r="AB897" s="15"/>
      <c r="AC897" s="15"/>
      <c r="AD897" s="15"/>
      <c r="AJ897" s="14"/>
      <c r="AK897" s="14"/>
      <c r="AL897" s="19"/>
      <c r="AM897" s="19"/>
      <c r="AN897" s="19"/>
    </row>
    <row r="898">
      <c r="I898" s="121"/>
      <c r="Q898" s="10"/>
      <c r="S898" s="14"/>
      <c r="X898" s="15"/>
      <c r="Y898" s="15"/>
      <c r="Z898" s="15"/>
      <c r="AA898" s="15"/>
      <c r="AB898" s="15"/>
      <c r="AC898" s="15"/>
      <c r="AD898" s="15"/>
      <c r="AJ898" s="14"/>
      <c r="AK898" s="14"/>
      <c r="AL898" s="19"/>
      <c r="AM898" s="19"/>
      <c r="AN898" s="19"/>
    </row>
    <row r="899">
      <c r="I899" s="121"/>
      <c r="Q899" s="10"/>
      <c r="S899" s="14"/>
      <c r="X899" s="15"/>
      <c r="Y899" s="15"/>
      <c r="Z899" s="15"/>
      <c r="AA899" s="15"/>
      <c r="AB899" s="15"/>
      <c r="AC899" s="15"/>
      <c r="AD899" s="15"/>
      <c r="AJ899" s="14"/>
      <c r="AK899" s="14"/>
      <c r="AL899" s="19"/>
      <c r="AM899" s="19"/>
      <c r="AN899" s="19"/>
    </row>
  </sheetData>
  <autoFilter ref="$A$1:$AH$899">
    <sortState ref="A1:AH899">
      <sortCondition ref="I1:I899"/>
      <sortCondition ref="H1:H899"/>
      <sortCondition ref="A1:A899"/>
      <sortCondition ref="E1:E899"/>
      <sortCondition descending="1" ref="V1:V899"/>
    </sortState>
  </autoFilter>
  <customSheetViews>
    <customSheetView guid="{77046688-CB6F-4144-89CF-57142D72622A}" filter="1" showAutoFilter="1">
      <autoFilter ref="$C$1:$U$899">
        <filterColumn colId="2">
          <filters>
            <filter val="Napa"/>
            <filter val="Alameda"/>
            <filter val="San Bernardino"/>
            <filter val="Solano"/>
            <filter val="Sonoma"/>
            <filter val="Marin"/>
            <filter val="Santa Barbara"/>
            <filter val="Contra Costa"/>
            <filter val="Santa Clara"/>
            <filter val="San Francisco"/>
            <filter val="Santa Cruz"/>
            <filter val="San Mateo"/>
          </filters>
        </filterColumn>
        <filterColumn colId="5">
          <filters blank="1">
            <filter val="24-252"/>
            <filter val="24-253"/>
            <filter val="24-254"/>
            <filter val="25-219"/>
            <filter val="24-410"/>
            <filter val="24-411"/>
            <filter val="24-379"/>
            <filter val="24-412"/>
            <filter val="24-413"/>
            <filter val="25-291"/>
            <filter val="25-451"/>
            <filter val="25-572"/>
            <filter val="25-452"/>
            <filter val="25-570"/>
            <filter val="25-450"/>
            <filter val="25-571"/>
            <filter val="25-455"/>
            <filter val="25-456"/>
            <filter val="25-453"/>
            <filter val="25-454"/>
            <filter val="23-204"/>
            <filter val="25-459"/>
            <filter val="25-457"/>
            <filter val="25-458"/>
            <filter val="24-384"/>
            <filter val="24-380"/>
            <filter val="24-381"/>
            <filter val="24-382"/>
            <filter val="24-383"/>
            <filter val="24-427"/>
            <filter val="Proposed"/>
            <filter val="24-428"/>
            <filter val="23-275"/>
            <filter val="24-429"/>
            <filter val="25-462"/>
            <filter val="25-463"/>
            <filter val="25-460"/>
            <filter val="25-065"/>
            <filter val="25-461"/>
            <filter val="25-103"/>
            <filter val="25-104"/>
            <filter val="25-464"/>
            <filter val="25-102"/>
            <filter val="25-349"/>
            <filter val="Application"/>
            <filter val="25-347"/>
            <filter val="25-348"/>
            <filter val="24-076"/>
            <filter val="24-472"/>
            <filter val="24-473"/>
            <filter val="24-199"/>
            <filter val="24-074"/>
            <filter val="24-470"/>
            <filter val="CSCDA"/>
            <filter val="24-471"/>
            <filter val="23-222"/>
            <filter val="23-223"/>
            <filter val="25-551"/>
            <filter val="25-554"/>
            <filter val="25-555"/>
            <filter val="25-552"/>
            <filter val="25-553"/>
            <filter val="23-224"/>
            <filter val="25-556"/>
            <filter val="25-557"/>
            <filter val="24-363"/>
            <filter val="25-208"/>
            <filter val="25-209"/>
            <filter val="24-361"/>
            <filter val="26-110"/>
            <filter val="25-290"/>
            <filter val="25-282"/>
            <filter val="25-283"/>
            <filter val="25-281"/>
            <filter val="25-286"/>
            <filter val="25-287"/>
            <filter val="25-562"/>
            <filter val="25-284"/>
            <filter val="25-285"/>
            <filter val="25-565"/>
            <filter val="25-566"/>
            <filter val="25-288"/>
            <filter val="25-563"/>
            <filter val="25-289"/>
            <filter val="25-564"/>
            <filter val="25-448"/>
            <filter val="25-569"/>
            <filter val="25-207"/>
            <filter val="25-449"/>
            <filter val="25-567"/>
            <filter val="25-568"/>
            <filter val="24-178"/>
            <filter val="24-052"/>
            <filter val="24-053"/>
            <filter val="24-219"/>
            <filter val="25-491"/>
            <filter val="26-108"/>
            <filter val="25-492"/>
            <filter val="26-109"/>
            <filter val="25-490"/>
            <filter val="25-495"/>
            <filter val="25-496"/>
            <filter val="25-493"/>
            <filter val="25-494"/>
            <filter val="26H-[_]"/>
            <filter val="24-220"/>
            <filter val="24-221"/>
            <filter val="24-222"/>
            <filter val="25-308"/>
            <filter val="26-176"/>
            <filter val="24-223"/>
            <filter val="25-144"/>
            <filter val="25-423"/>
            <filter val="25-145"/>
            <filter val="25-305"/>
            <filter val="25-426"/>
            <filter val="25-306"/>
            <filter val="25-427"/>
            <filter val="25-424"/>
            <filter val="25-304"/>
            <filter val="25-425"/>
            <filter val="24-430"/>
            <filter val="24-277"/>
            <filter val="24-278"/>
            <filter val="24-399"/>
            <filter val="25-080"/>
            <filter val="24-279"/>
            <filter val="25-081"/>
            <filter val="25-352"/>
            <filter val="25-353"/>
            <filter val="25-350"/>
            <filter val="25-351"/>
            <filter val="23-307"/>
            <filter val="25-510"/>
            <filter val="24-280"/>
            <filter val="25-116"/>
            <filter val="25-512"/>
            <filter val="25-117"/>
            <filter val="25-513"/>
            <filter val="24-285"/>
            <filter val="24-286"/>
            <filter val="24-200"/>
            <filter val="24-442"/>
            <filter val="24-281"/>
            <filter val="24-282"/>
            <filter val="24-041"/>
            <filter val="24-283"/>
            <filter val="24-284"/>
            <filter val="24-443"/>
            <filter val="25-084"/>
            <filter val="25-082"/>
            <filter val="23-372"/>
            <filter val="25-484"/>
            <filter val="25-485"/>
            <filter val="23-370"/>
            <filter val="23-371"/>
            <filter val="25-488"/>
            <filter val="25-489"/>
            <filter val="25-486"/>
            <filter val="25-487"/>
          </filters>
        </filterColumn>
      </autoFilter>
    </customSheetView>
    <customSheetView guid="{06009BB2-BAEE-4962-99C6-961CE7DA6E4D}" filter="1" showAutoFilter="1">
      <autoFilter ref="$C$1:$I$899">
        <filterColumn colId="2">
          <filters>
            <filter val="Alameda"/>
            <filter val="San Bernardino"/>
            <filter val="Solano"/>
            <filter val="Santa Barbara"/>
            <filter val="Contra Costa"/>
            <filter val="Santa Clara"/>
            <filter val="San Francisco"/>
            <filter val="Fresno"/>
            <filter val="Santa Cruz"/>
            <filter val="San Mateo"/>
          </filters>
        </filterColumn>
        <filterColumn colId="5">
          <filters blank="1">
            <filter val="24-252"/>
            <filter val="24-253"/>
            <filter val="24-254"/>
            <filter val="25-219"/>
            <filter val="24-410"/>
            <filter val="24-411"/>
            <filter val="24-379"/>
            <filter val="24-412"/>
            <filter val="24-413"/>
            <filter val="25-291"/>
            <filter val="25-451"/>
            <filter val="25-572"/>
            <filter val="25-452"/>
            <filter val="25-570"/>
            <filter val="25-450"/>
            <filter val="25-571"/>
            <filter val="25-455"/>
            <filter val="25-456"/>
            <filter val="25-453"/>
            <filter val="25-454"/>
            <filter val="23-204"/>
            <filter val="25-459"/>
            <filter val="25-457"/>
            <filter val="25-458"/>
            <filter val="24-384"/>
            <filter val="24-380"/>
            <filter val="24-381"/>
            <filter val="24-382"/>
            <filter val="24-383"/>
            <filter val="24-427"/>
            <filter val="Proposed"/>
            <filter val="24-428"/>
            <filter val="23-275"/>
            <filter val="24-429"/>
            <filter val="25-462"/>
            <filter val="25-463"/>
            <filter val="25-460"/>
            <filter val="25-065"/>
            <filter val="25-461"/>
            <filter val="25-103"/>
            <filter val="25-104"/>
            <filter val="25-464"/>
            <filter val="25-102"/>
            <filter val="25-349"/>
            <filter val="Application"/>
            <filter val="25-347"/>
            <filter val="25-348"/>
            <filter val="24-076"/>
            <filter val="24-472"/>
            <filter val="24-473"/>
            <filter val="24-199"/>
            <filter val="24-074"/>
            <filter val="24-470"/>
            <filter val="CSCDA"/>
            <filter val="24-471"/>
            <filter val="23-222"/>
            <filter val="23-223"/>
            <filter val="25-551"/>
            <filter val="25-554"/>
            <filter val="25-555"/>
            <filter val="25-552"/>
            <filter val="25-553"/>
            <filter val="23-224"/>
            <filter val="25-556"/>
            <filter val="25-557"/>
            <filter val="24-363"/>
            <filter val="25-208"/>
            <filter val="25-209"/>
            <filter val="24-361"/>
            <filter val="26-110"/>
            <filter val="25-290"/>
            <filter val="25-282"/>
            <filter val="25-283"/>
            <filter val="25-281"/>
            <filter val="25-286"/>
            <filter val="25-287"/>
            <filter val="25-562"/>
            <filter val="25-284"/>
            <filter val="25-285"/>
            <filter val="25-565"/>
            <filter val="25-566"/>
            <filter val="25-288"/>
            <filter val="25-563"/>
            <filter val="25-289"/>
            <filter val="25-564"/>
            <filter val="25-448"/>
            <filter val="25-569"/>
            <filter val="25-207"/>
            <filter val="25-449"/>
            <filter val="25-567"/>
            <filter val="25-568"/>
            <filter val="24-178"/>
            <filter val="24-052"/>
            <filter val="24-053"/>
            <filter val="24-219"/>
            <filter val="25-491"/>
            <filter val="26-108"/>
            <filter val="25-492"/>
            <filter val="26-109"/>
            <filter val="25-490"/>
            <filter val="25-495"/>
            <filter val="25-496"/>
            <filter val="25-493"/>
            <filter val="25-494"/>
            <filter val="26H-[_]"/>
            <filter val="24-220"/>
            <filter val="24-221"/>
            <filter val="24-222"/>
            <filter val="25-308"/>
            <filter val="26-176"/>
            <filter val="24-223"/>
            <filter val="25-144"/>
            <filter val="25-423"/>
            <filter val="25-145"/>
            <filter val="25-305"/>
            <filter val="25-426"/>
            <filter val="25-306"/>
            <filter val="25-427"/>
            <filter val="25-424"/>
            <filter val="25-304"/>
            <filter val="25-425"/>
            <filter val="24-430"/>
            <filter val="24-277"/>
            <filter val="24-278"/>
            <filter val="24-399"/>
            <filter val="25-080"/>
            <filter val="24-279"/>
            <filter val="25-081"/>
            <filter val="25-352"/>
            <filter val="25-353"/>
            <filter val="25-350"/>
            <filter val="25-351"/>
            <filter val="23-307"/>
            <filter val="25-510"/>
            <filter val="24-280"/>
            <filter val="25-116"/>
            <filter val="25-512"/>
            <filter val="25-117"/>
            <filter val="25-513"/>
            <filter val="24-285"/>
            <filter val="24-286"/>
            <filter val="24-200"/>
            <filter val="24-442"/>
            <filter val="24-281"/>
            <filter val="24-282"/>
            <filter val="24-041"/>
            <filter val="24-283"/>
            <filter val="24-284"/>
            <filter val="24-443"/>
            <filter val="25-084"/>
            <filter val="25-082"/>
            <filter val="23-372"/>
            <filter val="25-484"/>
            <filter val="25-485"/>
            <filter val="23-370"/>
            <filter val="23-371"/>
            <filter val="25-488"/>
            <filter val="25-489"/>
            <filter val="25-486"/>
            <filter val="25-487"/>
          </filters>
        </filterColumn>
      </autoFilter>
    </customSheetView>
    <customSheetView guid="{2D20E6CD-A120-4B22-8E93-216155B26B58}" filter="1" showAutoFilter="1">
      <autoFilter ref="$C$1:$I$899">
        <filterColumn colId="5">
          <filters>
            <filter val="24-252"/>
            <filter val="24-253"/>
            <filter val="24-254"/>
            <filter val="25-219"/>
            <filter val="24-410"/>
            <filter val="24-411"/>
            <filter val="24-379"/>
            <filter val="24-412"/>
            <filter val="24-413"/>
            <filter val="25-291"/>
            <filter val="25-451"/>
            <filter val="25-572"/>
            <filter val="25-452"/>
            <filter val="25-570"/>
            <filter val="25-450"/>
            <filter val="25-571"/>
            <filter val="25-455"/>
            <filter val="25-456"/>
            <filter val="25-453"/>
            <filter val="25-454"/>
            <filter val="23-204"/>
            <filter val="25-459"/>
            <filter val="25-457"/>
            <filter val="25-458"/>
            <filter val="24-384"/>
            <filter val="24-380"/>
            <filter val="24-381"/>
            <filter val="24-382"/>
            <filter val="24-383"/>
            <filter val="24-427"/>
            <filter val="Proposed"/>
            <filter val="24-428"/>
            <filter val="23-275"/>
            <filter val="24-429"/>
            <filter val="25-462"/>
            <filter val="25-463"/>
            <filter val="25-460"/>
            <filter val="25-065"/>
            <filter val="25-461"/>
            <filter val="25-103"/>
            <filter val="25-104"/>
            <filter val="25-464"/>
            <filter val="25-102"/>
            <filter val="25-349"/>
            <filter val="Application"/>
            <filter val="25-347"/>
            <filter val="25-348"/>
            <filter val="24-076"/>
            <filter val="24-472"/>
            <filter val="24-473"/>
            <filter val="24-199"/>
            <filter val="24-074"/>
            <filter val="24-470"/>
            <filter val="CSCDA"/>
            <filter val="24-471"/>
            <filter val="23-222"/>
            <filter val="23-223"/>
            <filter val="25-551"/>
            <filter val="25-554"/>
            <filter val="25-555"/>
            <filter val="25-552"/>
            <filter val="25-553"/>
            <filter val="23-224"/>
            <filter val="25-556"/>
            <filter val="25-557"/>
            <filter val="24-363"/>
            <filter val="25-208"/>
            <filter val="25-209"/>
            <filter val="24-361"/>
            <filter val="26-110"/>
            <filter val="25-290"/>
            <filter val="25-282"/>
            <filter val="25-283"/>
            <filter val="25-281"/>
            <filter val="25-286"/>
            <filter val="25-287"/>
            <filter val="25-562"/>
            <filter val="25-284"/>
            <filter val="25-285"/>
            <filter val="25-565"/>
            <filter val="25-566"/>
            <filter val="25-288"/>
            <filter val="25-563"/>
            <filter val="25-289"/>
            <filter val="25-564"/>
            <filter val="25-448"/>
            <filter val="25-569"/>
            <filter val="25-207"/>
            <filter val="25-449"/>
            <filter val="25-567"/>
            <filter val="25-568"/>
            <filter val="24-178"/>
            <filter val="24-052"/>
            <filter val="24-053"/>
            <filter val="24-219"/>
            <filter val="25-491"/>
            <filter val="26-108"/>
            <filter val="25-492"/>
            <filter val="26-109"/>
            <filter val="25-490"/>
            <filter val="25-495"/>
            <filter val="25-496"/>
            <filter val="25-493"/>
            <filter val="25-494"/>
            <filter val="26H-[_]"/>
            <filter val="24-220"/>
            <filter val="24-221"/>
            <filter val="24-222"/>
            <filter val="25-308"/>
            <filter val="26-176"/>
            <filter val="24-223"/>
            <filter val="25-144"/>
            <filter val="25-423"/>
            <filter val="25-145"/>
            <filter val="25-305"/>
            <filter val="25-426"/>
            <filter val="25-306"/>
            <filter val="25-427"/>
            <filter val="25-424"/>
            <filter val="25-304"/>
            <filter val="25-425"/>
            <filter val="24-430"/>
            <filter val="24-277"/>
            <filter val="24-278"/>
            <filter val="24-399"/>
            <filter val="25-080"/>
            <filter val="24-279"/>
            <filter val="25-081"/>
            <filter val="25-352"/>
            <filter val="25-353"/>
            <filter val="25-350"/>
            <filter val="25-351"/>
            <filter val="23-307"/>
            <filter val="25-510"/>
            <filter val="24-280"/>
            <filter val="25-116"/>
            <filter val="25-512"/>
            <filter val="25-117"/>
            <filter val="25-513"/>
            <filter val="24-285"/>
            <filter val="24-286"/>
            <filter val="24-200"/>
            <filter val="24-442"/>
            <filter val="24-281"/>
            <filter val="24-282"/>
            <filter val="24-041"/>
            <filter val="24-283"/>
            <filter val="24-284"/>
            <filter val="24-443"/>
            <filter val="25-084"/>
            <filter val="25-082"/>
            <filter val="23-372"/>
            <filter val="25-484"/>
            <filter val="25-485"/>
            <filter val="23-370"/>
            <filter val="23-371"/>
            <filter val="25-488"/>
            <filter val="25-489"/>
            <filter val="25-486"/>
            <filter val="25-487"/>
          </filters>
        </filterColumn>
      </autoFilter>
    </customSheetView>
    <customSheetView guid="{E2AEFD14-570D-489C-8B7C-185EE4937C80}" filter="1" showAutoFilter="1">
      <autoFilter ref="$C$1:$I$899">
        <filterColumn colId="2">
          <filters blank="1">
            <filter val="Alameda"/>
            <filter val="San Bernardino"/>
            <filter val="Santa Barbara"/>
            <filter val="Fresno"/>
            <filter val="Santa Cruz"/>
          </filters>
        </filterColumn>
        <filterColumn colId="5">
          <filters>
            <filter val="24-252"/>
            <filter val="24-253"/>
            <filter val="24-254"/>
            <filter val="25-219"/>
            <filter val="24-410"/>
            <filter val="24-411"/>
            <filter val="24-379"/>
            <filter val="24-412"/>
            <filter val="24-413"/>
            <filter val="25-291"/>
            <filter val="25-451"/>
            <filter val="25-572"/>
            <filter val="25-452"/>
            <filter val="25-570"/>
            <filter val="25-450"/>
            <filter val="25-571"/>
            <filter val="25-455"/>
            <filter val="25-456"/>
            <filter val="25-453"/>
            <filter val="25-454"/>
            <filter val="23-204"/>
            <filter val="25-459"/>
            <filter val="25-457"/>
            <filter val="25-458"/>
            <filter val="24-384"/>
            <filter val="24-380"/>
            <filter val="24-381"/>
            <filter val="24-382"/>
            <filter val="24-383"/>
            <filter val="24-427"/>
            <filter val="Proposed"/>
            <filter val="24-428"/>
            <filter val="23-275"/>
            <filter val="24-429"/>
            <filter val="25-462"/>
            <filter val="25-463"/>
            <filter val="25-460"/>
            <filter val="25-065"/>
            <filter val="25-461"/>
            <filter val="25-103"/>
            <filter val="25-104"/>
            <filter val="25-464"/>
            <filter val="25-102"/>
            <filter val="25-349"/>
            <filter val="Application"/>
            <filter val="25-347"/>
            <filter val="25-348"/>
            <filter val="24-076"/>
            <filter val="24-472"/>
            <filter val="24-473"/>
            <filter val="24-199"/>
            <filter val="24-074"/>
            <filter val="24-470"/>
            <filter val="CSCDA"/>
            <filter val="24-471"/>
            <filter val="23-222"/>
            <filter val="23-223"/>
            <filter val="25-551"/>
            <filter val="25-554"/>
            <filter val="25-555"/>
            <filter val="25-552"/>
            <filter val="25-553"/>
            <filter val="23-224"/>
            <filter val="25-556"/>
            <filter val="25-557"/>
            <filter val="24-363"/>
            <filter val="25-208"/>
            <filter val="25-209"/>
            <filter val="24-361"/>
            <filter val="26-110"/>
            <filter val="25-290"/>
            <filter val="25-282"/>
            <filter val="25-283"/>
            <filter val="25-281"/>
            <filter val="25-286"/>
            <filter val="25-287"/>
            <filter val="25-562"/>
            <filter val="25-284"/>
            <filter val="25-285"/>
            <filter val="25-565"/>
            <filter val="25-566"/>
            <filter val="25-288"/>
            <filter val="25-563"/>
            <filter val="25-289"/>
            <filter val="25-564"/>
            <filter val="25-448"/>
            <filter val="25-569"/>
            <filter val="25-207"/>
            <filter val="25-449"/>
            <filter val="25-567"/>
            <filter val="25-568"/>
            <filter val="24-178"/>
            <filter val="24-052"/>
            <filter val="24-053"/>
            <filter val="24-219"/>
            <filter val="25-491"/>
            <filter val="26-108"/>
            <filter val="25-492"/>
            <filter val="26-109"/>
            <filter val="25-490"/>
            <filter val="25-495"/>
            <filter val="25-496"/>
            <filter val="25-493"/>
            <filter val="25-494"/>
            <filter val="26H-[_]"/>
            <filter val="24-220"/>
            <filter val="24-221"/>
            <filter val="24-222"/>
            <filter val="25-308"/>
            <filter val="26-176"/>
            <filter val="24-223"/>
            <filter val="25-144"/>
            <filter val="25-423"/>
            <filter val="25-145"/>
            <filter val="25-305"/>
            <filter val="25-426"/>
            <filter val="25-306"/>
            <filter val="25-427"/>
            <filter val="25-424"/>
            <filter val="25-304"/>
            <filter val="25-425"/>
            <filter val="24-430"/>
            <filter val="24-277"/>
            <filter val="24-278"/>
            <filter val="24-399"/>
            <filter val="25-080"/>
            <filter val="24-279"/>
            <filter val="25-081"/>
            <filter val="25-352"/>
            <filter val="25-353"/>
            <filter val="25-350"/>
            <filter val="25-351"/>
            <filter val="23-307"/>
            <filter val="25-510"/>
            <filter val="24-280"/>
            <filter val="25-116"/>
            <filter val="25-512"/>
            <filter val="25-117"/>
            <filter val="25-513"/>
            <filter val="24-285"/>
            <filter val="24-286"/>
            <filter val="24-200"/>
            <filter val="24-442"/>
            <filter val="24-281"/>
            <filter val="24-282"/>
            <filter val="24-041"/>
            <filter val="24-283"/>
            <filter val="24-284"/>
            <filter val="24-443"/>
            <filter val="25-084"/>
            <filter val="25-082"/>
            <filter val="23-372"/>
            <filter val="25-484"/>
            <filter val="25-485"/>
            <filter val="23-370"/>
            <filter val="23-371"/>
            <filter val="25-488"/>
            <filter val="25-489"/>
            <filter val="25-486"/>
            <filter val="25-487"/>
          </filters>
        </filterColumn>
      </autoFilter>
    </customSheetView>
  </customSheetViews>
  <conditionalFormatting sqref="A2:AN899">
    <cfRule type="expression" dxfId="0" priority="1">
      <formula>$U2=TRUE</formula>
    </cfRule>
  </conditionalFormatting>
  <dataValidations>
    <dataValidation type="list" allowBlank="1" showErrorMessage="1" sqref="F2:F238">
      <formula1>"CMFA,CSCDA"</formula1>
    </dataValidation>
  </dataValidations>
  <hyperlinks>
    <hyperlink r:id="rId4" ref="I3"/>
    <hyperlink r:id="rId5" ref="I4"/>
    <hyperlink r:id="rId6" ref="I5"/>
    <hyperlink r:id="rId7" ref="I6"/>
    <hyperlink r:id="rId8" ref="I7"/>
    <hyperlink r:id="rId9" ref="I8"/>
    <hyperlink r:id="rId10" ref="I9"/>
    <hyperlink r:id="rId11" ref="I10"/>
    <hyperlink r:id="rId12" ref="I11"/>
    <hyperlink r:id="rId13" ref="AD11"/>
    <hyperlink r:id="rId14" ref="I12"/>
    <hyperlink r:id="rId15" ref="I13"/>
    <hyperlink r:id="rId16" ref="I14"/>
    <hyperlink r:id="rId17" ref="I15"/>
    <hyperlink r:id="rId18" ref="I16"/>
    <hyperlink r:id="rId19" ref="I17"/>
    <hyperlink r:id="rId20" ref="AD17"/>
    <hyperlink r:id="rId21" ref="I18"/>
    <hyperlink r:id="rId22" ref="I19"/>
    <hyperlink r:id="rId23" ref="I20"/>
    <hyperlink r:id="rId24" ref="I21"/>
    <hyperlink r:id="rId25" ref="I22"/>
    <hyperlink r:id="rId26" ref="I23"/>
    <hyperlink r:id="rId27" ref="I24"/>
    <hyperlink r:id="rId28" ref="I25"/>
    <hyperlink r:id="rId29" ref="I26"/>
    <hyperlink r:id="rId30" ref="I27"/>
    <hyperlink r:id="rId31" ref="I28"/>
    <hyperlink r:id="rId32" ref="I29"/>
    <hyperlink r:id="rId33" ref="I30"/>
    <hyperlink r:id="rId34" ref="I31"/>
    <hyperlink r:id="rId35" ref="I32"/>
    <hyperlink r:id="rId36" ref="I33"/>
    <hyperlink r:id="rId37" ref="AC33"/>
    <hyperlink r:id="rId38" ref="I34"/>
    <hyperlink r:id="rId39" ref="I35"/>
    <hyperlink r:id="rId40" ref="I36"/>
    <hyperlink r:id="rId41" ref="I37"/>
    <hyperlink r:id="rId42" ref="I38"/>
    <hyperlink r:id="rId43" ref="I39"/>
    <hyperlink r:id="rId44" ref="I40"/>
    <hyperlink r:id="rId45" ref="I41"/>
    <hyperlink r:id="rId46" ref="I42"/>
    <hyperlink r:id="rId47" ref="I43"/>
    <hyperlink r:id="rId48" ref="I44"/>
    <hyperlink r:id="rId49" ref="I45"/>
    <hyperlink r:id="rId50" ref="I46"/>
    <hyperlink r:id="rId51" ref="I47"/>
    <hyperlink r:id="rId52" ref="I48"/>
    <hyperlink r:id="rId53" ref="I49"/>
    <hyperlink r:id="rId54" ref="I50"/>
    <hyperlink r:id="rId55" ref="I51"/>
    <hyperlink r:id="rId56" ref="I52"/>
    <hyperlink r:id="rId57" ref="I53"/>
    <hyperlink r:id="rId58" ref="I54"/>
    <hyperlink r:id="rId59" ref="I55"/>
    <hyperlink r:id="rId60" ref="I56"/>
    <hyperlink r:id="rId61" ref="I57"/>
    <hyperlink r:id="rId62" ref="I58"/>
    <hyperlink r:id="rId63" ref="I59"/>
    <hyperlink r:id="rId64" ref="AD59"/>
    <hyperlink r:id="rId65" ref="I60"/>
    <hyperlink r:id="rId66" ref="I61"/>
    <hyperlink r:id="rId67" ref="AC61"/>
    <hyperlink r:id="rId68" ref="AD61"/>
    <hyperlink r:id="rId69" ref="I62"/>
    <hyperlink r:id="rId70" ref="I63"/>
    <hyperlink r:id="rId71" ref="I64"/>
    <hyperlink r:id="rId72" ref="I65"/>
    <hyperlink r:id="rId73" ref="I66"/>
    <hyperlink r:id="rId74" ref="I67"/>
    <hyperlink r:id="rId75" ref="I68"/>
    <hyperlink r:id="rId76" ref="I69"/>
    <hyperlink r:id="rId77" ref="I70"/>
    <hyperlink r:id="rId78" ref="I71"/>
    <hyperlink r:id="rId79" ref="I72"/>
    <hyperlink r:id="rId80" ref="I73"/>
    <hyperlink r:id="rId81" ref="I74"/>
    <hyperlink r:id="rId82" ref="AD74"/>
    <hyperlink r:id="rId83" ref="I75"/>
    <hyperlink r:id="rId84" ref="I76"/>
    <hyperlink r:id="rId85" ref="I77"/>
    <hyperlink r:id="rId86" ref="I78"/>
    <hyperlink r:id="rId87" ref="I79"/>
    <hyperlink r:id="rId88" ref="I80"/>
    <hyperlink r:id="rId89" ref="AC80"/>
    <hyperlink r:id="rId90" ref="I81"/>
    <hyperlink r:id="rId91" ref="I82"/>
    <hyperlink r:id="rId92" ref="I83"/>
    <hyperlink r:id="rId93" ref="I84"/>
    <hyperlink r:id="rId94" ref="I85"/>
    <hyperlink r:id="rId95" ref="I86"/>
    <hyperlink r:id="rId96" ref="I87"/>
    <hyperlink r:id="rId97" ref="I88"/>
    <hyperlink r:id="rId98" ref="I89"/>
    <hyperlink r:id="rId99" ref="I90"/>
    <hyperlink r:id="rId100" ref="I91"/>
    <hyperlink r:id="rId101" ref="I92"/>
    <hyperlink r:id="rId102" ref="I93"/>
    <hyperlink r:id="rId103" ref="I94"/>
    <hyperlink r:id="rId104" ref="I95"/>
    <hyperlink r:id="rId105" ref="I96"/>
    <hyperlink r:id="rId106" ref="I97"/>
    <hyperlink r:id="rId107" ref="AC97"/>
    <hyperlink r:id="rId108" ref="I98"/>
    <hyperlink r:id="rId109" ref="I99"/>
    <hyperlink r:id="rId110" ref="I100"/>
    <hyperlink r:id="rId111" ref="I101"/>
    <hyperlink r:id="rId112" ref="I102"/>
    <hyperlink r:id="rId113" ref="AD102"/>
    <hyperlink r:id="rId114" ref="I103"/>
    <hyperlink r:id="rId115" ref="I104"/>
    <hyperlink r:id="rId116" ref="I105"/>
    <hyperlink r:id="rId117" ref="I106"/>
    <hyperlink r:id="rId118" ref="I107"/>
    <hyperlink r:id="rId119" ref="I108"/>
    <hyperlink r:id="rId120" ref="I109"/>
    <hyperlink r:id="rId121" ref="I110"/>
    <hyperlink r:id="rId122" ref="I111"/>
    <hyperlink r:id="rId123" ref="I112"/>
    <hyperlink r:id="rId124" ref="I113"/>
    <hyperlink r:id="rId125" ref="I114"/>
    <hyperlink r:id="rId126" ref="I115"/>
    <hyperlink r:id="rId127" ref="I116"/>
    <hyperlink r:id="rId128" ref="I117"/>
    <hyperlink r:id="rId129" ref="I118"/>
    <hyperlink r:id="rId130" ref="I119"/>
    <hyperlink r:id="rId131" ref="I120"/>
    <hyperlink r:id="rId132" ref="I121"/>
    <hyperlink r:id="rId133" ref="I122"/>
    <hyperlink r:id="rId134" ref="I123"/>
    <hyperlink r:id="rId135" ref="I124"/>
    <hyperlink r:id="rId136" ref="I125"/>
    <hyperlink r:id="rId137" ref="I126"/>
    <hyperlink r:id="rId138" ref="I127"/>
    <hyperlink r:id="rId139" ref="I128"/>
    <hyperlink r:id="rId140" ref="I129"/>
    <hyperlink r:id="rId141" ref="I130"/>
    <hyperlink r:id="rId142" ref="I131"/>
    <hyperlink r:id="rId143" ref="I132"/>
    <hyperlink r:id="rId144" ref="I133"/>
    <hyperlink r:id="rId145" ref="I134"/>
    <hyperlink r:id="rId146" ref="I135"/>
    <hyperlink r:id="rId147" ref="I136"/>
    <hyperlink r:id="rId148" ref="I137"/>
    <hyperlink r:id="rId149" ref="I138"/>
    <hyperlink r:id="rId150" ref="I139"/>
    <hyperlink r:id="rId151" ref="I140"/>
    <hyperlink r:id="rId152" ref="I141"/>
    <hyperlink r:id="rId153" ref="I142"/>
    <hyperlink r:id="rId154" ref="I143"/>
    <hyperlink r:id="rId155" ref="I144"/>
    <hyperlink r:id="rId156" ref="I145"/>
    <hyperlink r:id="rId157" ref="I146"/>
    <hyperlink r:id="rId158" ref="I147"/>
    <hyperlink r:id="rId159" ref="I148"/>
    <hyperlink r:id="rId160" ref="I149"/>
    <hyperlink r:id="rId161" ref="I150"/>
    <hyperlink r:id="rId162" ref="I151"/>
    <hyperlink r:id="rId163" ref="I152"/>
    <hyperlink r:id="rId164" ref="I153"/>
    <hyperlink r:id="rId165" ref="I154"/>
    <hyperlink r:id="rId166" ref="I155"/>
    <hyperlink r:id="rId167" ref="I156"/>
    <hyperlink r:id="rId168" ref="I157"/>
    <hyperlink r:id="rId169" ref="I158"/>
    <hyperlink r:id="rId170" ref="I159"/>
    <hyperlink r:id="rId171" ref="I160"/>
    <hyperlink r:id="rId172" ref="I161"/>
    <hyperlink r:id="rId173" ref="I162"/>
    <hyperlink r:id="rId174" ref="I163"/>
    <hyperlink r:id="rId175" ref="I164"/>
    <hyperlink r:id="rId176" ref="I165"/>
    <hyperlink r:id="rId177" ref="I166"/>
    <hyperlink r:id="rId178" ref="I167"/>
    <hyperlink r:id="rId179" ref="I168"/>
    <hyperlink r:id="rId180" ref="I169"/>
    <hyperlink r:id="rId181" ref="I170"/>
    <hyperlink r:id="rId182" ref="I171"/>
    <hyperlink r:id="rId183" ref="I172"/>
    <hyperlink r:id="rId184" ref="I173"/>
    <hyperlink r:id="rId185" ref="I174"/>
    <hyperlink r:id="rId186" ref="I175"/>
    <hyperlink r:id="rId187" ref="I176"/>
    <hyperlink r:id="rId188" ref="I177"/>
    <hyperlink r:id="rId189" ref="I178"/>
    <hyperlink r:id="rId190" ref="I179"/>
    <hyperlink r:id="rId191" ref="I180"/>
    <hyperlink r:id="rId192" ref="I181"/>
    <hyperlink r:id="rId193" ref="I182"/>
    <hyperlink r:id="rId194" ref="I183"/>
    <hyperlink r:id="rId195" ref="I184"/>
    <hyperlink r:id="rId196" ref="I185"/>
    <hyperlink r:id="rId197" ref="I186"/>
    <hyperlink r:id="rId198" ref="I187"/>
    <hyperlink r:id="rId199" ref="I188"/>
    <hyperlink r:id="rId200" ref="I189"/>
    <hyperlink r:id="rId201" ref="I190"/>
    <hyperlink r:id="rId202" ref="I195"/>
    <hyperlink r:id="rId203" ref="I196"/>
    <hyperlink r:id="rId204" ref="I197"/>
    <hyperlink r:id="rId205" ref="I198"/>
    <hyperlink r:id="rId206" ref="I199"/>
    <hyperlink r:id="rId207" ref="I200"/>
    <hyperlink r:id="rId208" ref="I201"/>
    <hyperlink r:id="rId209" ref="I202"/>
    <hyperlink r:id="rId210" ref="I203"/>
    <hyperlink r:id="rId211" ref="I204"/>
    <hyperlink r:id="rId212" ref="I205"/>
    <hyperlink r:id="rId213" ref="I206"/>
    <hyperlink r:id="rId214" ref="I207"/>
    <hyperlink r:id="rId215" ref="I208"/>
    <hyperlink r:id="rId216" ref="I209"/>
    <hyperlink r:id="rId217" ref="I211"/>
    <hyperlink r:id="rId218" ref="I212"/>
    <hyperlink r:id="rId219" ref="I213"/>
    <hyperlink r:id="rId220" ref="I214"/>
    <hyperlink r:id="rId221" ref="I215"/>
    <hyperlink r:id="rId222" ref="I216"/>
    <hyperlink r:id="rId223" ref="AC216"/>
    <hyperlink r:id="rId224" ref="I218"/>
    <hyperlink r:id="rId225" ref="I219"/>
    <hyperlink r:id="rId226" ref="I220"/>
    <hyperlink r:id="rId227" ref="AC220"/>
    <hyperlink r:id="rId228" ref="I221"/>
    <hyperlink r:id="rId229" ref="I222"/>
    <hyperlink r:id="rId230" ref="I223"/>
    <hyperlink r:id="rId231" ref="I224"/>
    <hyperlink r:id="rId232" ref="I225"/>
    <hyperlink r:id="rId233" ref="I229"/>
    <hyperlink r:id="rId234" ref="I230"/>
    <hyperlink r:id="rId235" ref="I231"/>
    <hyperlink r:id="rId236" ref="I232"/>
    <hyperlink r:id="rId237" ref="I233"/>
    <hyperlink r:id="rId238" ref="I234"/>
    <hyperlink r:id="rId239" ref="I235"/>
  </hyperlinks>
  <drawing r:id="rId240"/>
  <legacyDrawing r:id="rId24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1.13"/>
    <col customWidth="1" min="3" max="3" width="24.38"/>
    <col customWidth="1" min="4" max="4" width="17.25"/>
    <col customWidth="1" min="5" max="5" width="11.0"/>
    <col customWidth="1" min="6" max="6" width="16.38"/>
    <col customWidth="1" min="7" max="7" width="6.0"/>
    <col customWidth="1" min="8" max="8" width="16.63"/>
    <col customWidth="1" min="9" max="9" width="21.25"/>
    <col hidden="1" min="13" max="14" width="12.63"/>
    <col customWidth="1" min="15" max="15" width="16.5"/>
    <col customWidth="1" min="24" max="24" width="16.25"/>
    <col customWidth="1" min="25" max="26" width="17.25"/>
    <col customWidth="1" min="29" max="29" width="20.13"/>
    <col customWidth="1" min="30" max="30" width="14.38"/>
    <col customWidth="1" min="31" max="31" width="23.63"/>
    <col customWidth="1" min="34" max="34" width="38.88"/>
    <col customWidth="1" min="37" max="37" width="17.88"/>
  </cols>
  <sheetData>
    <row r="1">
      <c r="A1" s="3" t="s">
        <v>2</v>
      </c>
      <c r="B1" s="1" t="s">
        <v>16</v>
      </c>
      <c r="C1" s="1" t="s">
        <v>17</v>
      </c>
      <c r="D1" s="3" t="s">
        <v>20</v>
      </c>
      <c r="E1" s="1" t="s">
        <v>22</v>
      </c>
      <c r="F1" s="1" t="s">
        <v>25</v>
      </c>
      <c r="G1" s="6" t="s">
        <v>26</v>
      </c>
      <c r="H1" s="1" t="s">
        <v>29</v>
      </c>
      <c r="I1" s="1" t="s">
        <v>30</v>
      </c>
      <c r="J1" s="1" t="s">
        <v>32</v>
      </c>
      <c r="K1" s="1" t="s">
        <v>33</v>
      </c>
      <c r="L1" s="1" t="s">
        <v>34</v>
      </c>
      <c r="M1" s="1" t="s">
        <v>36</v>
      </c>
      <c r="N1" s="1" t="s">
        <v>38</v>
      </c>
      <c r="O1" s="1" t="s">
        <v>39</v>
      </c>
      <c r="P1" s="1" t="s">
        <v>40</v>
      </c>
      <c r="Q1" s="1" t="s">
        <v>42</v>
      </c>
      <c r="R1" s="1" t="s">
        <v>44</v>
      </c>
      <c r="S1" s="1" t="s">
        <v>46</v>
      </c>
      <c r="T1" s="1" t="s">
        <v>48</v>
      </c>
      <c r="U1" s="1" t="s">
        <v>50</v>
      </c>
      <c r="V1" s="1" t="s">
        <v>51</v>
      </c>
      <c r="W1" s="1" t="s">
        <v>52</v>
      </c>
      <c r="X1" s="3" t="s">
        <v>53</v>
      </c>
      <c r="Y1" s="3" t="s">
        <v>55</v>
      </c>
      <c r="Z1" s="3" t="s">
        <v>57</v>
      </c>
      <c r="AA1" s="1" t="s">
        <v>59</v>
      </c>
      <c r="AB1" s="1" t="s">
        <v>61</v>
      </c>
      <c r="AC1" s="3" t="s">
        <v>63</v>
      </c>
      <c r="AD1" s="3" t="s">
        <v>0</v>
      </c>
      <c r="AE1" s="1" t="s">
        <v>66</v>
      </c>
      <c r="AF1" s="1" t="s">
        <v>68</v>
      </c>
      <c r="AG1" s="1" t="s">
        <v>70</v>
      </c>
      <c r="AH1" s="1" t="s">
        <v>72</v>
      </c>
      <c r="AI1" s="1" t="s">
        <v>74</v>
      </c>
      <c r="AJ1" s="1" t="s">
        <v>76</v>
      </c>
      <c r="AK1" s="1" t="s">
        <v>78</v>
      </c>
      <c r="AL1" s="1" t="s">
        <v>80</v>
      </c>
      <c r="AM1" s="1"/>
      <c r="AN1" s="1"/>
    </row>
    <row r="2">
      <c r="A2" s="12">
        <v>1.0</v>
      </c>
      <c r="B2" s="6" t="str">
        <f t="array" ref="B2">_xlfn.XLOOKUP(
  A2,
  'CMFA-CSCDA Grants'!A:A,
'CMFA-CSCDA Grants'!E:E)</f>
        <v>Los Angeles</v>
      </c>
      <c r="C2" s="6" t="str">
        <f t="array" ref="C2">_xlfn.XLOOKUP(
  A2,
  'CMFA-CSCDA Grants'!A:A,
'CMFA-CSCDA Grants'!B:B)</f>
        <v>Alvarado Streets Apartments</v>
      </c>
      <c r="D2" s="12">
        <v>5.136019013E9</v>
      </c>
      <c r="F2" s="6" t="b">
        <v>0</v>
      </c>
      <c r="G2" s="6" t="s">
        <v>103</v>
      </c>
      <c r="H2" s="6" t="s">
        <v>104</v>
      </c>
      <c r="I2" s="6" t="s">
        <v>105</v>
      </c>
      <c r="J2" s="6" t="s">
        <v>106</v>
      </c>
      <c r="K2" s="6" t="s">
        <v>107</v>
      </c>
      <c r="L2" s="6" t="s">
        <v>108</v>
      </c>
      <c r="N2" s="6" t="s">
        <v>109</v>
      </c>
      <c r="O2" s="6" t="s">
        <v>110</v>
      </c>
      <c r="P2" s="6" t="s">
        <v>112</v>
      </c>
      <c r="Q2" s="6">
        <v>500.0</v>
      </c>
      <c r="R2" s="6">
        <v>1912.0</v>
      </c>
      <c r="S2" s="6">
        <v>24.0</v>
      </c>
      <c r="T2" s="6">
        <v>0.0</v>
      </c>
      <c r="U2" s="6">
        <v>24.0</v>
      </c>
      <c r="V2" s="6">
        <v>16113.0</v>
      </c>
      <c r="W2" s="6">
        <v>2025.0</v>
      </c>
      <c r="X2" s="18">
        <v>2080800.0</v>
      </c>
      <c r="Y2" s="18">
        <v>2366910.0</v>
      </c>
      <c r="Z2" s="18">
        <f t="shared" ref="Z2:Z3" si="1">SUM(X2:Y2)</f>
        <v>4447710</v>
      </c>
      <c r="AA2" s="6">
        <v>2023.0</v>
      </c>
      <c r="AB2" s="6">
        <v>2023.0</v>
      </c>
      <c r="AC2" s="18">
        <v>4262686.0</v>
      </c>
      <c r="AD2" s="12">
        <v>36.0</v>
      </c>
      <c r="AE2" s="6" t="s">
        <v>115</v>
      </c>
      <c r="AF2" s="6">
        <v>34.0491403</v>
      </c>
      <c r="AG2" s="6">
        <v>-118.2810431</v>
      </c>
      <c r="AH2" s="6" t="s">
        <v>116</v>
      </c>
      <c r="AI2" s="6" t="s">
        <v>117</v>
      </c>
      <c r="AJ2" s="16">
        <f t="array" ref="AJ2">_xlfn.XLOOKUP(
  A2,
  'CMFA-CSCDA Grants'!A:A,
'CMFA-CSCDA Grants'!O:O)</f>
        <v>24</v>
      </c>
      <c r="AK2" s="16">
        <f t="array" ref="AK2">_xlfn.XLOOKUP(
  A2,
  'CMFA-CSCDA Grants'!A:A,
'CMFA-CSCDA Grants'!P:P)</f>
        <v>24</v>
      </c>
      <c r="AL2" s="8">
        <f t="array" ref="AL2">_xlfn.XLOOKUP(
  AD2,
  'Tax Rates'!A:A,
'Tax Rates'!B:B)</f>
        <v>0.0118738</v>
      </c>
    </row>
    <row r="3">
      <c r="A3" s="12">
        <v>2.0</v>
      </c>
      <c r="B3" s="6" t="str">
        <f t="array" ref="B3">_xlfn.XLOOKUP(
  A3,
  'CMFA-CSCDA Grants'!A:A,
'CMFA-CSCDA Grants'!E:E)</f>
        <v>Los Angeles</v>
      </c>
      <c r="C3" s="6" t="str">
        <f t="array" ref="C3">_xlfn.XLOOKUP(
  A3,
  'CMFA-CSCDA Grants'!A:A,
'CMFA-CSCDA Grants'!B:B)</f>
        <v>2025 New Jersey Apartments</v>
      </c>
      <c r="D3" s="12">
        <v>5.183001017E9</v>
      </c>
      <c r="F3" s="6" t="b">
        <v>0</v>
      </c>
      <c r="G3" s="6" t="s">
        <v>130</v>
      </c>
      <c r="H3" s="6" t="s">
        <v>131</v>
      </c>
      <c r="I3" s="6" t="s">
        <v>105</v>
      </c>
      <c r="J3" s="6" t="s">
        <v>134</v>
      </c>
      <c r="K3" s="6" t="s">
        <v>135</v>
      </c>
      <c r="L3" s="6" t="s">
        <v>136</v>
      </c>
      <c r="N3" s="6" t="s">
        <v>109</v>
      </c>
      <c r="O3" s="6" t="s">
        <v>110</v>
      </c>
      <c r="P3" s="6" t="s">
        <v>112</v>
      </c>
      <c r="Q3" s="6" t="s">
        <v>137</v>
      </c>
      <c r="W3" s="6">
        <v>2025.0</v>
      </c>
      <c r="X3" s="18">
        <v>527950.0</v>
      </c>
      <c r="Y3" s="18">
        <v>0.0</v>
      </c>
      <c r="Z3" s="18">
        <f t="shared" si="1"/>
        <v>527950</v>
      </c>
      <c r="AA3" s="6">
        <v>2018.0</v>
      </c>
      <c r="AB3" s="6">
        <v>2018.0</v>
      </c>
      <c r="AC3" s="18">
        <v>527950.0</v>
      </c>
      <c r="AD3" s="12">
        <v>4.0</v>
      </c>
      <c r="AE3" s="6" t="s">
        <v>115</v>
      </c>
      <c r="AF3" s="6">
        <v>34.0480109</v>
      </c>
      <c r="AG3" s="6">
        <v>-118.21232372</v>
      </c>
      <c r="AH3" s="6" t="s">
        <v>139</v>
      </c>
      <c r="AJ3" s="16">
        <f t="array" ref="AJ3">_xlfn.XLOOKUP(
  A3,
  'CMFA-CSCDA Grants'!A:A,
'CMFA-CSCDA Grants'!O:O)</f>
        <v>15</v>
      </c>
      <c r="AK3" s="16">
        <f t="array" ref="AK3">_xlfn.XLOOKUP(
  A3,
  'CMFA-CSCDA Grants'!A:A,
'CMFA-CSCDA Grants'!P:P)</f>
        <v>14</v>
      </c>
      <c r="AL3" s="8">
        <f t="array" ref="AL3">_xlfn.XLOOKUP(
  AD3,
  'Tax Rates'!A:A,
'Tax Rates'!B:B)</f>
        <v>0.0118738</v>
      </c>
    </row>
    <row r="4">
      <c r="A4" s="22">
        <v>3.0</v>
      </c>
      <c r="B4" s="6" t="str">
        <f t="array" ref="B4">_xlfn.XLOOKUP(
  A4,
  'CMFA-CSCDA Grants'!A:A,
'CMFA-CSCDA Grants'!E:E)</f>
        <v>Santa Clara</v>
      </c>
      <c r="C4" s="6" t="str">
        <f t="array" ref="C4">_xlfn.XLOOKUP(
  A4,
  'CMFA-CSCDA Grants'!A:A,
'CMFA-CSCDA Grants'!B:B)</f>
        <v>Mariposa Club Apartments</v>
      </c>
      <c r="D4" s="24" t="s">
        <v>144</v>
      </c>
      <c r="F4" s="6" t="b">
        <v>0</v>
      </c>
      <c r="H4" s="6" t="s">
        <v>145</v>
      </c>
      <c r="X4" s="18" t="s">
        <v>146</v>
      </c>
      <c r="Y4" s="18" t="s">
        <v>146</v>
      </c>
      <c r="Z4" s="18">
        <v>1.7059601E7</v>
      </c>
      <c r="AC4" s="18">
        <v>1.6718409E7</v>
      </c>
      <c r="AD4" s="12" t="s">
        <v>149</v>
      </c>
      <c r="AJ4" s="16">
        <f t="array" ref="AJ4">_xlfn.XLOOKUP(
  A4,
  'CMFA-CSCDA Grants'!A:A,
'CMFA-CSCDA Grants'!O:O)</f>
        <v>48</v>
      </c>
      <c r="AK4" s="16">
        <f t="array" ref="AK4">_xlfn.XLOOKUP(
  A4,
  'CMFA-CSCDA Grants'!A:A,
'CMFA-CSCDA Grants'!P:P)</f>
        <v>48</v>
      </c>
      <c r="AL4" s="10">
        <f t="array" ref="AL4">_xlfn.XLOOKUP(
  AD4,
  'Tax Rates'!A:A,
'Tax Rates'!B:B)</f>
        <v>0.011211</v>
      </c>
    </row>
    <row r="5">
      <c r="A5" s="22">
        <v>4.0</v>
      </c>
      <c r="B5" s="6" t="str">
        <f t="array" ref="B5">_xlfn.XLOOKUP(
  A5,
  'CMFA-CSCDA Grants'!A:A,
'CMFA-CSCDA Grants'!E:E)</f>
        <v>San Bernardino</v>
      </c>
      <c r="C5" s="6" t="str">
        <f t="array" ref="C5">_xlfn.XLOOKUP(
  A5,
  'CMFA-CSCDA Grants'!A:A,
'CMFA-CSCDA Grants'!B:B)</f>
        <v>Bernardine Apartments</v>
      </c>
      <c r="D5" s="24" t="s">
        <v>156</v>
      </c>
      <c r="F5" s="6" t="b">
        <v>0</v>
      </c>
      <c r="H5" s="6" t="s">
        <v>157</v>
      </c>
      <c r="X5" s="18" t="s">
        <v>146</v>
      </c>
      <c r="Y5" s="18" t="s">
        <v>146</v>
      </c>
      <c r="Z5" s="18">
        <v>4156500.0</v>
      </c>
      <c r="AC5" s="18">
        <v>4156500.0</v>
      </c>
      <c r="AD5" s="12" t="s">
        <v>121</v>
      </c>
      <c r="AJ5" s="16">
        <f t="array" ref="AJ5">_xlfn.XLOOKUP(
  A5,
  'CMFA-CSCDA Grants'!A:A,
'CMFA-CSCDA Grants'!O:O)</f>
        <v>71</v>
      </c>
      <c r="AK5" s="16">
        <f t="array" ref="AK5">_xlfn.XLOOKUP(
  A5,
  'CMFA-CSCDA Grants'!A:A,
'CMFA-CSCDA Grants'!P:P)</f>
        <v>70</v>
      </c>
      <c r="AL5" s="10">
        <f t="array" ref="AL5">_xlfn.XLOOKUP(
  AD5,
  'Tax Rates'!A:A,
'Tax Rates'!B:B)</f>
        <v>0.0113</v>
      </c>
    </row>
    <row r="6">
      <c r="A6" s="22">
        <v>5.0</v>
      </c>
      <c r="B6" s="6" t="str">
        <f t="array" ref="B6">_xlfn.XLOOKUP(
  A6,
  'CMFA-CSCDA Grants'!A:A,
'CMFA-CSCDA Grants'!E:E)</f>
        <v>San Diego</v>
      </c>
      <c r="C6" s="6" t="str">
        <f t="array" ref="C6">_xlfn.XLOOKUP(
  A6,
  'CMFA-CSCDA Grants'!A:A,
'CMFA-CSCDA Grants'!B:B)</f>
        <v>City View aka Outlook at Mission Valley
Apartments</v>
      </c>
      <c r="D6" s="24" t="s">
        <v>164</v>
      </c>
      <c r="F6" s="6" t="b">
        <v>0</v>
      </c>
      <c r="H6" s="6" t="s">
        <v>166</v>
      </c>
      <c r="X6" s="18" t="s">
        <v>146</v>
      </c>
      <c r="Y6" s="18" t="s">
        <v>146</v>
      </c>
      <c r="Z6" s="18">
        <v>9316117.0</v>
      </c>
      <c r="AC6" s="18"/>
      <c r="AD6" s="12" t="s">
        <v>122</v>
      </c>
      <c r="AJ6" s="16">
        <f t="array" ref="AJ6">_xlfn.XLOOKUP(
  A6,
  'CMFA-CSCDA Grants'!A:A,
'CMFA-CSCDA Grants'!O:O)</f>
        <v>56</v>
      </c>
      <c r="AK6" s="16">
        <f t="array" ref="AK6">_xlfn.XLOOKUP(
  A6,
  'CMFA-CSCDA Grants'!A:A,
'CMFA-CSCDA Grants'!P:P)</f>
        <v>23</v>
      </c>
      <c r="AL6" s="10">
        <f t="array" ref="AL6">_xlfn.XLOOKUP(
  AD6,
  'Tax Rates'!A:A,
'Tax Rates'!B:B)</f>
        <v>0.0125114</v>
      </c>
    </row>
    <row r="7">
      <c r="A7" s="22">
        <v>6.0</v>
      </c>
      <c r="B7" s="6" t="str">
        <f t="array" ref="B7">_xlfn.XLOOKUP(
  A7,
  'CMFA-CSCDA Grants'!A:A,
'CMFA-CSCDA Grants'!E:E)</f>
        <v>San Francisco</v>
      </c>
      <c r="C7" s="6" t="str">
        <f t="array" ref="C7">_xlfn.XLOOKUP(
  A7,
  'CMFA-CSCDA Grants'!A:A,
'CMFA-CSCDA Grants'!B:B)</f>
        <v>381 Turk Street Apartment</v>
      </c>
      <c r="D7" s="24" t="s">
        <v>174</v>
      </c>
      <c r="F7" s="6" t="b">
        <v>0</v>
      </c>
      <c r="H7" s="6" t="s">
        <v>175</v>
      </c>
      <c r="X7" s="18" t="s">
        <v>146</v>
      </c>
      <c r="Y7" s="18" t="s">
        <v>146</v>
      </c>
      <c r="Z7" s="18">
        <v>7398189.0</v>
      </c>
      <c r="AC7" s="18"/>
      <c r="AD7" s="12" t="s">
        <v>123</v>
      </c>
      <c r="AJ7" s="16">
        <f t="array" ref="AJ7">_xlfn.XLOOKUP(
  A7,
  'CMFA-CSCDA Grants'!A:A,
'CMFA-CSCDA Grants'!O:O)</f>
        <v>32</v>
      </c>
      <c r="AK7" s="16">
        <f t="array" ref="AK7">_xlfn.XLOOKUP(
  A7,
  'CMFA-CSCDA Grants'!A:A,
'CMFA-CSCDA Grants'!P:P)</f>
        <v>13</v>
      </c>
      <c r="AL7" s="10">
        <f t="array" ref="AL7">_xlfn.XLOOKUP(
  AD7,
  'Tax Rates'!A:A,
'Tax Rates'!B:B)</f>
        <v>0.012</v>
      </c>
    </row>
    <row r="8">
      <c r="A8" s="22">
        <v>7.0</v>
      </c>
      <c r="B8" s="6" t="str">
        <f t="array" ref="B8">_xlfn.XLOOKUP(
  A8,
  'CMFA-CSCDA Grants'!A:A,
'CMFA-CSCDA Grants'!E:E)</f>
        <v>Alameda</v>
      </c>
      <c r="C8" s="6" t="str">
        <f t="array" ref="C8">_xlfn.XLOOKUP(
  A8,
  'CMFA-CSCDA Grants'!A:A,
'CMFA-CSCDA Grants'!B:B)</f>
        <v>Townhomes at Gading Apartments</v>
      </c>
      <c r="D8" s="24" t="s">
        <v>183</v>
      </c>
      <c r="F8" s="6" t="b">
        <v>0</v>
      </c>
      <c r="G8" s="6" t="s">
        <v>184</v>
      </c>
      <c r="H8" s="6" t="s">
        <v>185</v>
      </c>
      <c r="X8" s="18">
        <v>4845000.0</v>
      </c>
      <c r="Y8" s="18">
        <v>1.246848E7</v>
      </c>
      <c r="Z8" s="18">
        <f>sum(X8:Y8)</f>
        <v>17313480</v>
      </c>
      <c r="AC8" s="18">
        <v>0.0</v>
      </c>
      <c r="AD8" s="12" t="s">
        <v>188</v>
      </c>
      <c r="AJ8" s="16">
        <f t="array" ref="AJ8">_xlfn.XLOOKUP(
  A8,
  'CMFA-CSCDA Grants'!A:A,
'CMFA-CSCDA Grants'!O:O)</f>
        <v>61</v>
      </c>
      <c r="AK8" s="16">
        <f t="array" ref="AK8">_xlfn.XLOOKUP(
  A8,
  'CMFA-CSCDA Grants'!A:A,
'CMFA-CSCDA Grants'!P:P)</f>
        <v>61</v>
      </c>
      <c r="AL8" s="10">
        <f t="array" ref="AL8">_xlfn.XLOOKUP(
  AD8,
  'Tax Rates'!A:A,
'Tax Rates'!B:B)</f>
        <v>0.011724</v>
      </c>
    </row>
    <row r="9">
      <c r="A9" s="12">
        <v>8.0</v>
      </c>
      <c r="B9" s="6" t="str">
        <f t="array" ref="B9">_xlfn.XLOOKUP(
  A9,
  'CMFA-CSCDA Grants'!A:A,
'CMFA-CSCDA Grants'!E:E)</f>
        <v>Los Angeles</v>
      </c>
      <c r="C9" s="6" t="str">
        <f t="array" ref="C9">_xlfn.XLOOKUP(
  A9,
  'CMFA-CSCDA Grants'!A:A,
'CMFA-CSCDA Grants'!B:B)</f>
        <v>1317 S. Grand Apartments</v>
      </c>
      <c r="D9" s="12">
        <v>5.134017037E9</v>
      </c>
      <c r="E9" s="6">
        <v>5.134017016E9</v>
      </c>
      <c r="F9" s="6" t="b">
        <v>0</v>
      </c>
      <c r="G9" s="6" t="s">
        <v>196</v>
      </c>
      <c r="H9" s="28" t="s">
        <v>197</v>
      </c>
      <c r="I9" s="6" t="s">
        <v>105</v>
      </c>
      <c r="J9" s="6" t="s">
        <v>199</v>
      </c>
      <c r="K9" s="6" t="s">
        <v>200</v>
      </c>
      <c r="L9" s="6" t="s">
        <v>202</v>
      </c>
      <c r="N9" s="6" t="s">
        <v>204</v>
      </c>
      <c r="O9" s="6" t="s">
        <v>205</v>
      </c>
      <c r="P9" s="6" t="s">
        <v>112</v>
      </c>
      <c r="S9" s="6">
        <v>147.0</v>
      </c>
      <c r="V9" s="30">
        <v>65894.0</v>
      </c>
      <c r="W9" s="6">
        <v>2025.0</v>
      </c>
      <c r="X9" s="18">
        <v>5905687.0</v>
      </c>
      <c r="Y9" s="18">
        <v>5878260.0</v>
      </c>
      <c r="Z9" s="18">
        <f t="shared" ref="Z9:Z12" si="2">SUM(X9:Y9)</f>
        <v>11783947</v>
      </c>
      <c r="AA9" s="6">
        <v>2020.0</v>
      </c>
      <c r="AB9" s="6">
        <v>2023.0</v>
      </c>
      <c r="AC9" s="31"/>
      <c r="AD9" s="12">
        <v>13264.0</v>
      </c>
      <c r="AE9" s="6" t="s">
        <v>115</v>
      </c>
      <c r="AF9" s="6">
        <v>34.03849628</v>
      </c>
      <c r="AG9" s="6">
        <v>-118.26502654</v>
      </c>
      <c r="AI9" s="6" t="s">
        <v>209</v>
      </c>
      <c r="AJ9" s="16">
        <f t="array" ref="AJ9">_xlfn.XLOOKUP(
  A9,
  'CMFA-CSCDA Grants'!A:A,
'CMFA-CSCDA Grants'!O:O)</f>
        <v>147</v>
      </c>
      <c r="AK9" s="16">
        <f t="array" ref="AK9">_xlfn.XLOOKUP(
  A9,
  'CMFA-CSCDA Grants'!A:A,
'CMFA-CSCDA Grants'!P:P)</f>
        <v>147</v>
      </c>
      <c r="AL9" s="8">
        <f t="array" ref="AL9">_xlfn.XLOOKUP(
  AD9,
  'Tax Rates'!A:A,
'Tax Rates'!B:B)</f>
        <v>0.0118738</v>
      </c>
    </row>
    <row r="10">
      <c r="A10" s="12">
        <v>9.0</v>
      </c>
      <c r="B10" s="6" t="str">
        <f t="array" ref="B10">_xlfn.XLOOKUP(
  A10,
  'CMFA-CSCDA Grants'!A:A,
'CMFA-CSCDA Grants'!E:E)</f>
        <v>Los Angeles</v>
      </c>
      <c r="C10" s="6" t="str">
        <f t="array" ref="C10">_xlfn.XLOOKUP(
  A10,
  'CMFA-CSCDA Grants'!A:A,
'CMFA-CSCDA Grants'!B:B)</f>
        <v>1411 S. Flower Apartments</v>
      </c>
      <c r="D10" s="12">
        <v>5.134009025E9</v>
      </c>
      <c r="E10" s="6">
        <v>5.134009008E9</v>
      </c>
      <c r="F10" s="6" t="b">
        <v>0</v>
      </c>
      <c r="G10" s="6" t="s">
        <v>216</v>
      </c>
      <c r="H10" s="6" t="s">
        <v>218</v>
      </c>
      <c r="I10" s="6" t="s">
        <v>105</v>
      </c>
      <c r="K10" s="6" t="s">
        <v>219</v>
      </c>
      <c r="L10" s="6" t="s">
        <v>220</v>
      </c>
      <c r="N10" s="6" t="s">
        <v>204</v>
      </c>
      <c r="O10" s="6" t="s">
        <v>205</v>
      </c>
      <c r="P10" s="6" t="s">
        <v>112</v>
      </c>
      <c r="Q10" s="6" t="s">
        <v>221</v>
      </c>
      <c r="R10" s="6">
        <v>2024.0</v>
      </c>
      <c r="S10" s="6">
        <v>227.0</v>
      </c>
      <c r="V10" s="30">
        <v>97266.0</v>
      </c>
      <c r="W10" s="6">
        <v>2025.0</v>
      </c>
      <c r="X10" s="18">
        <v>4643633.0</v>
      </c>
      <c r="Y10" s="18">
        <v>4498824.0</v>
      </c>
      <c r="Z10" s="18">
        <f t="shared" si="2"/>
        <v>9142457</v>
      </c>
      <c r="AA10" s="6">
        <v>2021.0</v>
      </c>
      <c r="AB10" s="6">
        <v>2024.0</v>
      </c>
      <c r="AC10" s="31"/>
      <c r="AD10" s="12">
        <v>13264.0</v>
      </c>
      <c r="AE10" s="6" t="s">
        <v>115</v>
      </c>
      <c r="AF10" s="6">
        <v>34.03799902</v>
      </c>
      <c r="AG10" s="6">
        <v>-118.26860234</v>
      </c>
      <c r="AI10" s="6" t="s">
        <v>223</v>
      </c>
      <c r="AJ10" s="16">
        <f t="array" ref="AJ10">_xlfn.XLOOKUP(
  A10,
  'CMFA-CSCDA Grants'!A:A,
'CMFA-CSCDA Grants'!O:O)</f>
        <v>227</v>
      </c>
      <c r="AK10" s="16">
        <f t="array" ref="AK10">_xlfn.XLOOKUP(
  A10,
  'CMFA-CSCDA Grants'!A:A,
'CMFA-CSCDA Grants'!P:P)</f>
        <v>227</v>
      </c>
      <c r="AL10" s="8">
        <f t="array" ref="AL10">_xlfn.XLOOKUP(
  AD10,
  'Tax Rates'!A:A,
'Tax Rates'!B:B)</f>
        <v>0.0118738</v>
      </c>
    </row>
    <row r="11">
      <c r="A11" s="12">
        <v>9.0</v>
      </c>
      <c r="B11" s="6" t="str">
        <f t="array" ref="B11">_xlfn.XLOOKUP(
  A11,
  'CMFA-CSCDA Grants'!A:A,
'CMFA-CSCDA Grants'!E:E)</f>
        <v>Los Angeles</v>
      </c>
      <c r="C11" s="6" t="str">
        <f t="array" ref="C11">_xlfn.XLOOKUP(
  A11,
  'CMFA-CSCDA Grants'!A:A,
'CMFA-CSCDA Grants'!B:B)</f>
        <v>1411 S. Flower Apartments</v>
      </c>
      <c r="D11" s="12">
        <v>5.134009024E9</v>
      </c>
      <c r="E11" s="6">
        <v>5.134009007E9</v>
      </c>
      <c r="F11" s="6" t="b">
        <v>1</v>
      </c>
      <c r="G11" s="6" t="s">
        <v>234</v>
      </c>
      <c r="K11" s="6" t="s">
        <v>219</v>
      </c>
      <c r="L11" s="6" t="s">
        <v>220</v>
      </c>
      <c r="N11" s="6" t="s">
        <v>204</v>
      </c>
      <c r="O11" s="6" t="s">
        <v>236</v>
      </c>
      <c r="X11" s="18">
        <v>0.0</v>
      </c>
      <c r="Y11" s="18">
        <v>0.0</v>
      </c>
      <c r="Z11" s="18">
        <f t="shared" si="2"/>
        <v>0</v>
      </c>
      <c r="AC11" s="31"/>
      <c r="AD11" s="12">
        <v>13264.0</v>
      </c>
      <c r="AE11" s="6" t="s">
        <v>115</v>
      </c>
      <c r="AF11" s="6">
        <v>34.03799902</v>
      </c>
      <c r="AG11" s="6">
        <v>-118.26860234</v>
      </c>
      <c r="AI11" s="6" t="s">
        <v>223</v>
      </c>
      <c r="AJ11" s="16">
        <f t="array" ref="AJ11">_xlfn.XLOOKUP(
  A11,
  'CMFA-CSCDA Grants'!A:A,
'CMFA-CSCDA Grants'!O:O)</f>
        <v>227</v>
      </c>
      <c r="AK11" s="16">
        <f t="array" ref="AK11">_xlfn.XLOOKUP(
  A11,
  'CMFA-CSCDA Grants'!A:A,
'CMFA-CSCDA Grants'!P:P)</f>
        <v>227</v>
      </c>
      <c r="AL11" s="8">
        <f t="array" ref="AL11">_xlfn.XLOOKUP(
  AD11,
  'Tax Rates'!A:A,
'Tax Rates'!B:B)</f>
        <v>0.0118738</v>
      </c>
    </row>
    <row r="12">
      <c r="A12" s="12">
        <v>10.0</v>
      </c>
      <c r="B12" s="6" t="str">
        <f t="array" ref="B12">_xlfn.XLOOKUP(
  A12,
  'CMFA-CSCDA Grants'!A:A,
'CMFA-CSCDA Grants'!E:E)</f>
        <v>Los Angeles</v>
      </c>
      <c r="C12" s="6" t="str">
        <f t="array" ref="C12">_xlfn.XLOOKUP(
  A12,
  'CMFA-CSCDA Grants'!A:A,
'CMFA-CSCDA Grants'!B:B)</f>
        <v>7518 Hoover St. Apartments</v>
      </c>
      <c r="D12" s="12">
        <v>6.020022027E9</v>
      </c>
      <c r="E12" s="6">
        <v>6.020022025E9</v>
      </c>
      <c r="F12" s="6" t="b">
        <v>0</v>
      </c>
      <c r="G12" s="6" t="s">
        <v>246</v>
      </c>
      <c r="H12" s="6" t="s">
        <v>247</v>
      </c>
      <c r="I12" s="6" t="s">
        <v>105</v>
      </c>
      <c r="K12" s="6" t="s">
        <v>248</v>
      </c>
      <c r="L12" s="6" t="s">
        <v>249</v>
      </c>
      <c r="N12" s="6" t="s">
        <v>204</v>
      </c>
      <c r="O12" s="6" t="s">
        <v>236</v>
      </c>
      <c r="W12" s="6">
        <v>2025.0</v>
      </c>
      <c r="X12" s="18">
        <v>2856000.0</v>
      </c>
      <c r="Y12" s="18">
        <v>0.0</v>
      </c>
      <c r="Z12" s="18">
        <f t="shared" si="2"/>
        <v>2856000</v>
      </c>
      <c r="AA12" s="6">
        <v>2024.0</v>
      </c>
      <c r="AB12" s="6">
        <v>2024.0</v>
      </c>
      <c r="AC12" s="18">
        <v>0.0</v>
      </c>
      <c r="AD12" s="33">
        <v>212.0</v>
      </c>
      <c r="AE12" s="6" t="s">
        <v>115</v>
      </c>
      <c r="AF12" s="6">
        <v>33.97101635</v>
      </c>
      <c r="AG12" s="6">
        <v>-118.28678824</v>
      </c>
      <c r="AI12" s="6" t="s">
        <v>223</v>
      </c>
      <c r="AJ12" s="16">
        <f t="array" ref="AJ12">_xlfn.XLOOKUP(
  A12,
  'CMFA-CSCDA Grants'!A:A,
'CMFA-CSCDA Grants'!O:O)</f>
        <v>79</v>
      </c>
      <c r="AK12" s="16">
        <f t="array" ref="AK12">_xlfn.XLOOKUP(
  A12,
  'CMFA-CSCDA Grants'!A:A,
'CMFA-CSCDA Grants'!P:P)</f>
        <v>48</v>
      </c>
      <c r="AL12" s="8">
        <f t="array" ref="AL12">_xlfn.XLOOKUP(
  AD12,
  'Tax Rates'!A:A,
'Tax Rates'!B:B)</f>
        <v>0.0118738</v>
      </c>
    </row>
    <row r="13">
      <c r="A13" s="22">
        <v>11.0</v>
      </c>
      <c r="B13" s="6" t="str">
        <f t="array" ref="B13">_xlfn.XLOOKUP(
  A13,
  'CMFA-CSCDA Grants'!A:A,
'CMFA-CSCDA Grants'!E:E)</f>
        <v>Alameda</v>
      </c>
      <c r="C13" s="6" t="str">
        <f t="array" ref="C13">_xlfn.XLOOKUP(
  A13,
  'CMFA-CSCDA Grants'!A:A,
'CMFA-CSCDA Grants'!B:B)</f>
        <v>820 MacArthur Apartments</v>
      </c>
      <c r="D13" s="24" t="s">
        <v>258</v>
      </c>
      <c r="F13" s="6" t="b">
        <v>0</v>
      </c>
      <c r="G13" s="6" t="s">
        <v>261</v>
      </c>
      <c r="H13" s="6" t="s">
        <v>262</v>
      </c>
      <c r="X13" s="18">
        <v>2013882.0</v>
      </c>
      <c r="Y13" s="18" t="s">
        <v>146</v>
      </c>
      <c r="Z13" s="18">
        <f>sum(X13:Y13)</f>
        <v>2013882</v>
      </c>
      <c r="AB13" s="35"/>
      <c r="AC13" s="36">
        <v>7089890.0</v>
      </c>
      <c r="AD13" s="12" t="s">
        <v>210</v>
      </c>
      <c r="AJ13" s="16">
        <f t="array" ref="AJ13">_xlfn.XLOOKUP(
  A13,
  'CMFA-CSCDA Grants'!A:A,
'CMFA-CSCDA Grants'!O:O)</f>
        <v>166</v>
      </c>
      <c r="AK13" s="16">
        <f t="array" ref="AK13">_xlfn.XLOOKUP(
  A13,
  'CMFA-CSCDA Grants'!A:A,
'CMFA-CSCDA Grants'!P:P)</f>
        <v>166</v>
      </c>
      <c r="AL13" s="10">
        <f t="array" ref="AL13">_xlfn.XLOOKUP(
  AD13,
  'Tax Rates'!A:A,
'Tax Rates'!B:B)</f>
        <v>0.012779</v>
      </c>
    </row>
    <row r="14">
      <c r="A14" s="12">
        <v>12.0</v>
      </c>
      <c r="B14" s="6" t="str">
        <f t="array" ref="B14">_xlfn.XLOOKUP(
  A14,
  'CMFA-CSCDA Grants'!A:A,
'CMFA-CSCDA Grants'!E:E)</f>
        <v>Los Angeles</v>
      </c>
      <c r="C14" s="6" t="str">
        <f t="array" ref="C14">_xlfn.XLOOKUP(
  A14,
  'CMFA-CSCDA Grants'!A:A,
'CMFA-CSCDA Grants'!B:B)</f>
        <v>The Waterloo Apartments</v>
      </c>
      <c r="D14" s="12">
        <v>5.402028023E9</v>
      </c>
      <c r="F14" s="6" t="b">
        <v>0</v>
      </c>
      <c r="G14" s="6" t="s">
        <v>277</v>
      </c>
      <c r="H14" s="6" t="s">
        <v>278</v>
      </c>
      <c r="I14" s="6" t="s">
        <v>105</v>
      </c>
      <c r="J14" s="6" t="s">
        <v>279</v>
      </c>
      <c r="K14" s="6" t="s">
        <v>280</v>
      </c>
      <c r="L14" s="6" t="s">
        <v>282</v>
      </c>
      <c r="N14" s="6" t="s">
        <v>109</v>
      </c>
      <c r="O14" s="6" t="s">
        <v>110</v>
      </c>
      <c r="P14" s="6" t="s">
        <v>112</v>
      </c>
      <c r="Q14" s="6">
        <v>500.0</v>
      </c>
      <c r="R14" s="6">
        <v>1917.0</v>
      </c>
      <c r="S14" s="6">
        <v>4.0</v>
      </c>
      <c r="T14" s="6">
        <v>4.0</v>
      </c>
      <c r="U14" s="6">
        <v>4.0</v>
      </c>
      <c r="V14" s="6">
        <v>3838.0</v>
      </c>
      <c r="W14" s="6">
        <v>2025.0</v>
      </c>
      <c r="X14" s="18">
        <v>985000.0</v>
      </c>
      <c r="Y14" s="18">
        <v>375000.0</v>
      </c>
      <c r="Z14" s="18">
        <f>SUM(X14:Y14)</f>
        <v>1360000</v>
      </c>
      <c r="AA14" s="6">
        <v>2025.0</v>
      </c>
      <c r="AB14" s="6">
        <v>2025.0</v>
      </c>
      <c r="AC14" s="18">
        <v>0.0</v>
      </c>
      <c r="AD14" s="12">
        <v>13.0</v>
      </c>
      <c r="AE14" s="6" t="s">
        <v>115</v>
      </c>
      <c r="AF14" s="6">
        <v>34.07581866</v>
      </c>
      <c r="AG14" s="6">
        <v>-118.26848761</v>
      </c>
      <c r="AH14" s="6" t="s">
        <v>285</v>
      </c>
      <c r="AJ14" s="16">
        <f t="array" ref="AJ14">_xlfn.XLOOKUP(
  A14,
  'CMFA-CSCDA Grants'!A:A,
'CMFA-CSCDA Grants'!O:O)</f>
        <v>154</v>
      </c>
      <c r="AK14" s="16">
        <f t="array" ref="AK14">_xlfn.XLOOKUP(
  A14,
  'CMFA-CSCDA Grants'!A:A,
'CMFA-CSCDA Grants'!P:P)</f>
        <v>154</v>
      </c>
      <c r="AL14" s="8">
        <f t="array" ref="AL14">_xlfn.XLOOKUP(
  AD14,
  'Tax Rates'!A:A,
'Tax Rates'!B:B)</f>
        <v>0.0118738</v>
      </c>
    </row>
    <row r="15">
      <c r="A15" s="22">
        <v>13.0</v>
      </c>
      <c r="B15" s="6" t="str">
        <f t="array" ref="B15">_xlfn.XLOOKUP(
  A15,
  'CMFA-CSCDA Grants'!A:A,
'CMFA-CSCDA Grants'!E:E)</f>
        <v>San Francisco</v>
      </c>
      <c r="C15" s="6" t="str">
        <f t="array" ref="C15">_xlfn.XLOOKUP(
  A15,
  'CMFA-CSCDA Grants'!A:A,
'CMFA-CSCDA Grants'!B:B)</f>
        <v>275 Turk Street Apartments</v>
      </c>
      <c r="D15" s="24" t="s">
        <v>297</v>
      </c>
      <c r="F15" s="6" t="b">
        <v>0</v>
      </c>
      <c r="H15" s="6" t="s">
        <v>300</v>
      </c>
      <c r="X15" s="18" t="s">
        <v>146</v>
      </c>
      <c r="Y15" s="18" t="s">
        <v>146</v>
      </c>
      <c r="Z15" s="18">
        <v>1.7116303E7</v>
      </c>
      <c r="AC15" s="18"/>
      <c r="AD15" s="12" t="s">
        <v>123</v>
      </c>
      <c r="AJ15" s="16">
        <f t="array" ref="AJ15">_xlfn.XLOOKUP(
  A15,
  'CMFA-CSCDA Grants'!A:A,
'CMFA-CSCDA Grants'!O:O)</f>
        <v>66</v>
      </c>
      <c r="AK15" s="16">
        <f t="array" ref="AK15">_xlfn.XLOOKUP(
  A15,
  'CMFA-CSCDA Grants'!A:A,
'CMFA-CSCDA Grants'!P:P)</f>
        <v>27</v>
      </c>
      <c r="AL15" s="10">
        <f t="array" ref="AL15">_xlfn.XLOOKUP(
  AD15,
  'Tax Rates'!A:A,
'Tax Rates'!B:B)</f>
        <v>0.012</v>
      </c>
    </row>
    <row r="16">
      <c r="A16" s="22">
        <v>14.0</v>
      </c>
      <c r="B16" s="6" t="str">
        <f t="array" ref="B16">_xlfn.XLOOKUP(
  A16,
  'CMFA-CSCDA Grants'!A:A,
'CMFA-CSCDA Grants'!E:E)</f>
        <v>Alameda</v>
      </c>
      <c r="C16" s="6" t="str">
        <f t="array" ref="C16">_xlfn.XLOOKUP(
  A16,
  'CMFA-CSCDA Grants'!A:A,
'CMFA-CSCDA Grants'!B:B)</f>
        <v>Electric Lofts Apartments</v>
      </c>
      <c r="D16" s="24" t="s">
        <v>308</v>
      </c>
      <c r="F16" s="6" t="b">
        <v>0</v>
      </c>
      <c r="G16" s="6" t="s">
        <v>310</v>
      </c>
      <c r="H16" s="6" t="s">
        <v>311</v>
      </c>
      <c r="X16" s="18">
        <v>3128977.0</v>
      </c>
      <c r="Y16" s="18">
        <v>2.112818E7</v>
      </c>
      <c r="Z16" s="18">
        <f>sum(X16:Y16)</f>
        <v>24257157</v>
      </c>
      <c r="AC16" s="18"/>
      <c r="AD16" s="12" t="s">
        <v>210</v>
      </c>
      <c r="AJ16" s="16">
        <f t="array" ref="AJ16">_xlfn.XLOOKUP(
  A16,
  'CMFA-CSCDA Grants'!A:A,
'CMFA-CSCDA Grants'!O:O)</f>
        <v>89</v>
      </c>
      <c r="AK16" s="16">
        <f t="array" ref="AK16">_xlfn.XLOOKUP(
  A16,
  'CMFA-CSCDA Grants'!A:A,
'CMFA-CSCDA Grants'!P:P)</f>
        <v>40</v>
      </c>
      <c r="AL16" s="10">
        <f t="array" ref="AL16">_xlfn.XLOOKUP(
  AD16,
  'Tax Rates'!A:A,
'Tax Rates'!B:B)</f>
        <v>0.012779</v>
      </c>
    </row>
    <row r="17">
      <c r="A17" s="12">
        <v>15.0</v>
      </c>
      <c r="B17" s="6" t="str">
        <f t="array" ref="B17">_xlfn.XLOOKUP(
  A17,
  'CMFA-CSCDA Grants'!A:A,
'CMFA-CSCDA Grants'!E:E)</f>
        <v>Los Angeles</v>
      </c>
      <c r="C17" s="6" t="str">
        <f t="array" ref="C17">_xlfn.XLOOKUP(
  A17,
  'CMFA-CSCDA Grants'!A:A,
'CMFA-CSCDA Grants'!B:B)</f>
        <v>Premiere Hollywood Apartments</v>
      </c>
      <c r="D17" s="12">
        <v>5.547013021E9</v>
      </c>
      <c r="F17" s="6" t="b">
        <v>0</v>
      </c>
      <c r="G17" s="6" t="s">
        <v>323</v>
      </c>
      <c r="H17" s="6" t="s">
        <v>325</v>
      </c>
      <c r="I17" s="6" t="s">
        <v>105</v>
      </c>
      <c r="J17" s="6" t="s">
        <v>326</v>
      </c>
      <c r="K17" s="6" t="s">
        <v>327</v>
      </c>
      <c r="L17" s="6" t="s">
        <v>328</v>
      </c>
      <c r="N17" s="6" t="s">
        <v>109</v>
      </c>
      <c r="O17" s="6" t="s">
        <v>110</v>
      </c>
      <c r="P17" s="6" t="s">
        <v>112</v>
      </c>
      <c r="Q17" s="6">
        <v>500.0</v>
      </c>
      <c r="R17" s="6">
        <v>2022.0</v>
      </c>
      <c r="S17" s="6">
        <v>69.0</v>
      </c>
      <c r="T17" s="6">
        <v>0.0</v>
      </c>
      <c r="U17" s="6">
        <v>69.0</v>
      </c>
      <c r="V17" s="6">
        <v>34696.0</v>
      </c>
      <c r="W17" s="6">
        <v>2025.0</v>
      </c>
      <c r="X17" s="18">
        <v>4462074.0</v>
      </c>
      <c r="Y17" s="18">
        <v>4244683.0</v>
      </c>
      <c r="Z17" s="18">
        <f t="shared" ref="Z17:Z18" si="3">SUM(X17:Y17)</f>
        <v>8706757</v>
      </c>
      <c r="AA17" s="6">
        <v>2021.0</v>
      </c>
      <c r="AB17" s="6">
        <v>2022.0</v>
      </c>
      <c r="AC17" s="18">
        <v>0.0</v>
      </c>
      <c r="AD17" s="12">
        <v>200.0</v>
      </c>
      <c r="AE17" s="6" t="s">
        <v>115</v>
      </c>
      <c r="AF17" s="6">
        <v>34.10040297</v>
      </c>
      <c r="AG17" s="6">
        <v>-118.33729303</v>
      </c>
      <c r="AH17" s="6" t="s">
        <v>331</v>
      </c>
      <c r="AJ17" s="16">
        <f t="array" ref="AJ17">_xlfn.XLOOKUP(
  A17,
  'CMFA-CSCDA Grants'!A:A,
'CMFA-CSCDA Grants'!O:O)</f>
        <v>69</v>
      </c>
      <c r="AK17" s="16">
        <f t="array" ref="AK17">_xlfn.XLOOKUP(
  A17,
  'CMFA-CSCDA Grants'!A:A,
'CMFA-CSCDA Grants'!P:P)</f>
        <v>69</v>
      </c>
      <c r="AL17" s="8">
        <f t="array" ref="AL17">_xlfn.XLOOKUP(
  AD17,
  'Tax Rates'!A:A,
'Tax Rates'!B:B)</f>
        <v>0.0118738</v>
      </c>
    </row>
    <row r="18">
      <c r="A18" s="12">
        <v>17.0</v>
      </c>
      <c r="B18" s="6" t="str">
        <f t="array" ref="B18">_xlfn.XLOOKUP(
  A18,
  'CMFA-CSCDA Grants'!A:A,
'CMFA-CSCDA Grants'!E:E)</f>
        <v>Los Angeles</v>
      </c>
      <c r="C18" s="6" t="str">
        <f t="array" ref="C18">_xlfn.XLOOKUP(
  A18,
  'CMFA-CSCDA Grants'!A:A,
'CMFA-CSCDA Grants'!B:B)</f>
        <v>4252 Crenshaw Apartments</v>
      </c>
      <c r="D18" s="12">
        <v>5.024017036E9</v>
      </c>
      <c r="F18" s="6" t="b">
        <v>0</v>
      </c>
      <c r="G18" s="6" t="s">
        <v>341</v>
      </c>
      <c r="H18" s="6" t="s">
        <v>342</v>
      </c>
      <c r="I18" s="6" t="s">
        <v>105</v>
      </c>
      <c r="J18" s="6">
        <v>90008.0</v>
      </c>
      <c r="K18" s="6" t="s">
        <v>342</v>
      </c>
      <c r="L18" s="6" t="s">
        <v>343</v>
      </c>
      <c r="N18" s="6" t="s">
        <v>109</v>
      </c>
      <c r="O18" s="6" t="s">
        <v>110</v>
      </c>
      <c r="P18" s="6" t="s">
        <v>112</v>
      </c>
      <c r="Q18" s="6">
        <v>504.0</v>
      </c>
      <c r="R18" s="6">
        <v>2019.0</v>
      </c>
      <c r="S18" s="6">
        <v>111.0</v>
      </c>
      <c r="T18" s="6">
        <v>99.0</v>
      </c>
      <c r="U18" s="6">
        <v>99.0</v>
      </c>
      <c r="V18" s="6">
        <v>49252.0</v>
      </c>
      <c r="W18" s="6">
        <v>2025.0</v>
      </c>
      <c r="X18" s="18">
        <v>4167019.0</v>
      </c>
      <c r="Y18" s="18">
        <v>2.2747841E7</v>
      </c>
      <c r="Z18" s="18">
        <f t="shared" si="3"/>
        <v>26914860</v>
      </c>
      <c r="AA18" s="6">
        <v>2019.0</v>
      </c>
      <c r="AB18" s="6">
        <v>2020.0</v>
      </c>
      <c r="AC18" s="18">
        <v>2.691486E7</v>
      </c>
      <c r="AD18" s="12">
        <v>8841.0</v>
      </c>
      <c r="AE18" s="6" t="s">
        <v>115</v>
      </c>
      <c r="AF18" s="6">
        <v>34.00645295</v>
      </c>
      <c r="AG18" s="6">
        <v>-118.33415945</v>
      </c>
      <c r="AH18" s="6" t="s">
        <v>345</v>
      </c>
      <c r="AJ18" s="16">
        <f t="array" ref="AJ18">_xlfn.XLOOKUP(
  A18,
  'CMFA-CSCDA Grants'!A:A,
'CMFA-CSCDA Grants'!O:O)</f>
        <v>111</v>
      </c>
      <c r="AK18" s="16">
        <f t="array" ref="AK18">_xlfn.XLOOKUP(
  A18,
  'CMFA-CSCDA Grants'!A:A,
'CMFA-CSCDA Grants'!P:P)</f>
        <v>111</v>
      </c>
      <c r="AL18" s="8">
        <f t="array" ref="AL18">_xlfn.XLOOKUP(
  AD18,
  'Tax Rates'!A:A,
'Tax Rates'!B:B)</f>
        <v>0.0118738</v>
      </c>
    </row>
    <row r="19">
      <c r="A19" s="22">
        <v>18.0</v>
      </c>
      <c r="B19" s="6" t="str">
        <f t="array" ref="B19">_xlfn.XLOOKUP(
  A19,
  'CMFA-CSCDA Grants'!A:A,
'CMFA-CSCDA Grants'!E:E)</f>
        <v>San Diego</v>
      </c>
      <c r="C19" s="6" t="str">
        <f t="array" ref="C19">_xlfn.XLOOKUP(
  A19,
  'CMFA-CSCDA Grants'!A:A,
'CMFA-CSCDA Grants'!B:B)</f>
        <v>Fallbrook Trail Apartments</v>
      </c>
      <c r="D19" s="24" t="s">
        <v>353</v>
      </c>
      <c r="F19" s="6" t="b">
        <v>0</v>
      </c>
      <c r="H19" s="6" t="s">
        <v>354</v>
      </c>
      <c r="X19" s="18" t="s">
        <v>146</v>
      </c>
      <c r="Y19" s="18" t="s">
        <v>146</v>
      </c>
      <c r="Z19" s="18">
        <v>3.246048E7</v>
      </c>
      <c r="AC19" s="18"/>
      <c r="AD19" s="12" t="s">
        <v>177</v>
      </c>
      <c r="AJ19" s="16">
        <f t="array" ref="AJ19">_xlfn.XLOOKUP(
  A19,
  'CMFA-CSCDA Grants'!A:A,
'CMFA-CSCDA Grants'!O:O)</f>
        <v>103</v>
      </c>
      <c r="AK19" s="16">
        <f t="array" ref="AK19">_xlfn.XLOOKUP(
  A19,
  'CMFA-CSCDA Grants'!A:A,
'CMFA-CSCDA Grants'!P:P)</f>
        <v>102</v>
      </c>
      <c r="AL19" s="10">
        <f t="array" ref="AL19">_xlfn.XLOOKUP(
  AD19,
  'Tax Rates'!A:A,
'Tax Rates'!B:B)</f>
        <v>0.010783</v>
      </c>
    </row>
    <row r="20">
      <c r="A20" s="22">
        <v>19.0</v>
      </c>
      <c r="B20" s="6" t="str">
        <f t="array" ref="B20">_xlfn.XLOOKUP(
  A20,
  'CMFA-CSCDA Grants'!A:A,
'CMFA-CSCDA Grants'!E:E)</f>
        <v>Orange</v>
      </c>
      <c r="C20" s="6" t="str">
        <f t="array" ref="C20">_xlfn.XLOOKUP(
  A20,
  'CMFA-CSCDA Grants'!A:A,
'CMFA-CSCDA Grants'!B:B)</f>
        <v>The Arbors Apartments</v>
      </c>
      <c r="D20" s="24" t="s">
        <v>369</v>
      </c>
      <c r="F20" s="6" t="b">
        <v>0</v>
      </c>
      <c r="H20" s="6" t="s">
        <v>370</v>
      </c>
      <c r="X20" s="18" t="s">
        <v>146</v>
      </c>
      <c r="Y20" s="18" t="s">
        <v>146</v>
      </c>
      <c r="Z20" s="18">
        <v>1.834E7</v>
      </c>
      <c r="AC20" s="18"/>
      <c r="AD20" s="12" t="s">
        <v>268</v>
      </c>
      <c r="AJ20" s="16">
        <f t="array" ref="AJ20">_xlfn.XLOOKUP(
  A20,
  'CMFA-CSCDA Grants'!A:A,
'CMFA-CSCDA Grants'!O:O)</f>
        <v>160</v>
      </c>
      <c r="AK20" s="16">
        <f t="array" ref="AK20">_xlfn.XLOOKUP(
  A20,
  'CMFA-CSCDA Grants'!A:A,
'CMFA-CSCDA Grants'!P:P)</f>
        <v>160</v>
      </c>
      <c r="AL20" s="10">
        <f t="array" ref="AL20">_xlfn.XLOOKUP(
  AD20,
  'Tax Rates'!A:A,
'Tax Rates'!B:B)</f>
        <v>0.011195</v>
      </c>
    </row>
    <row r="21">
      <c r="A21" s="22">
        <v>19.0</v>
      </c>
      <c r="B21" s="6" t="str">
        <f t="array" ref="B21">_xlfn.XLOOKUP(
  A21,
  'CMFA-CSCDA Grants'!A:A,
'CMFA-CSCDA Grants'!E:E)</f>
        <v>Orange</v>
      </c>
      <c r="C21" s="6" t="str">
        <f t="array" ref="C21">_xlfn.XLOOKUP(
  A21,
  'CMFA-CSCDA Grants'!A:A,
'CMFA-CSCDA Grants'!B:B)</f>
        <v>The Arbors Apartments</v>
      </c>
      <c r="D21" s="24" t="s">
        <v>380</v>
      </c>
      <c r="F21" s="6" t="b">
        <v>0</v>
      </c>
      <c r="H21" s="6" t="s">
        <v>381</v>
      </c>
      <c r="X21" s="18" t="s">
        <v>146</v>
      </c>
      <c r="Y21" s="18" t="s">
        <v>146</v>
      </c>
      <c r="Z21" s="18">
        <v>2.241E7</v>
      </c>
      <c r="AC21" s="18"/>
      <c r="AD21" s="12" t="s">
        <v>268</v>
      </c>
      <c r="AJ21" s="16">
        <f t="array" ref="AJ21">_xlfn.XLOOKUP(
  A21,
  'CMFA-CSCDA Grants'!A:A,
'CMFA-CSCDA Grants'!O:O)</f>
        <v>160</v>
      </c>
      <c r="AK21" s="16">
        <f t="array" ref="AK21">_xlfn.XLOOKUP(
  A21,
  'CMFA-CSCDA Grants'!A:A,
'CMFA-CSCDA Grants'!P:P)</f>
        <v>160</v>
      </c>
      <c r="AL21" s="10">
        <f t="array" ref="AL21">_xlfn.XLOOKUP(
  AD21,
  'Tax Rates'!A:A,
'Tax Rates'!B:B)</f>
        <v>0.011195</v>
      </c>
    </row>
    <row r="22">
      <c r="A22" s="12">
        <v>20.0</v>
      </c>
      <c r="B22" s="6" t="str">
        <f t="array" ref="B22">_xlfn.XLOOKUP(
  A22,
  'CMFA-CSCDA Grants'!A:A,
'CMFA-CSCDA Grants'!E:E)</f>
        <v>Los Angeles</v>
      </c>
      <c r="C22" s="6" t="str">
        <f t="array" ref="C22">_xlfn.XLOOKUP(
  A22,
  'CMFA-CSCDA Grants'!A:A,
'CMFA-CSCDA Grants'!B:B)</f>
        <v>Pinetree Terrace Apartments</v>
      </c>
      <c r="D22" s="12">
        <v>2.102015045E9</v>
      </c>
      <c r="F22" s="6" t="b">
        <v>0</v>
      </c>
      <c r="G22" s="6" t="s">
        <v>385</v>
      </c>
      <c r="H22" s="6" t="s">
        <v>386</v>
      </c>
      <c r="I22" s="6" t="s">
        <v>105</v>
      </c>
      <c r="J22" s="6" t="s">
        <v>387</v>
      </c>
      <c r="K22" s="6" t="s">
        <v>388</v>
      </c>
      <c r="L22" s="6" t="s">
        <v>389</v>
      </c>
      <c r="N22" s="6" t="s">
        <v>109</v>
      </c>
      <c r="O22" s="6" t="s">
        <v>110</v>
      </c>
      <c r="P22" s="6" t="s">
        <v>112</v>
      </c>
      <c r="Q22" s="6">
        <v>501.0</v>
      </c>
      <c r="R22" s="6">
        <v>1978.0</v>
      </c>
      <c r="S22" s="6">
        <v>58.0</v>
      </c>
      <c r="T22" s="6">
        <v>8.0</v>
      </c>
      <c r="U22" s="6">
        <v>8.0</v>
      </c>
      <c r="V22" s="6">
        <v>63362.0</v>
      </c>
      <c r="W22" s="6">
        <v>2025.0</v>
      </c>
      <c r="X22" s="18">
        <v>7140000.0</v>
      </c>
      <c r="Y22" s="18">
        <v>1.0812E7</v>
      </c>
      <c r="Z22" s="18">
        <f t="shared" ref="Z22:Z40" si="4">SUM(X22:Y22)</f>
        <v>17952000</v>
      </c>
      <c r="AA22" s="6">
        <v>2024.0</v>
      </c>
      <c r="AB22" s="6">
        <v>2024.0</v>
      </c>
      <c r="AC22" s="18">
        <v>1.5786989E7</v>
      </c>
      <c r="AD22" s="12">
        <v>8852.0</v>
      </c>
      <c r="AE22" s="6" t="s">
        <v>115</v>
      </c>
      <c r="AF22" s="6">
        <v>34.2151477</v>
      </c>
      <c r="AG22" s="6">
        <v>-118.53553608</v>
      </c>
      <c r="AH22" s="6" t="s">
        <v>390</v>
      </c>
      <c r="AJ22" s="16">
        <f t="array" ref="AJ22">_xlfn.XLOOKUP(
  A22,
  'CMFA-CSCDA Grants'!A:A,
'CMFA-CSCDA Grants'!O:O)</f>
        <v>58</v>
      </c>
      <c r="AK22" s="16">
        <f t="array" ref="AK22">_xlfn.XLOOKUP(
  A22,
  'CMFA-CSCDA Grants'!A:A,
'CMFA-CSCDA Grants'!P:P)</f>
        <v>58</v>
      </c>
      <c r="AL22" s="8">
        <f t="array" ref="AL22">_xlfn.XLOOKUP(
  AD22,
  'Tax Rates'!A:A,
'Tax Rates'!B:B)</f>
        <v>0.0118738</v>
      </c>
    </row>
    <row r="23">
      <c r="A23" s="12">
        <v>21.0</v>
      </c>
      <c r="B23" s="6" t="str">
        <f t="array" ref="B23">_xlfn.XLOOKUP(
  A23,
  'CMFA-CSCDA Grants'!A:A,
'CMFA-CSCDA Grants'!E:E)</f>
        <v>Los Angeles</v>
      </c>
      <c r="C23" s="6" t="str">
        <f t="array" ref="C23">_xlfn.XLOOKUP(
  A23,
  'CMFA-CSCDA Grants'!A:A,
'CMFA-CSCDA Grants'!B:B)</f>
        <v>Windmere Court Apartments</v>
      </c>
      <c r="D23" s="12">
        <v>2.119001222E9</v>
      </c>
      <c r="F23" s="6" t="b">
        <v>0</v>
      </c>
      <c r="G23" s="6" t="s">
        <v>394</v>
      </c>
      <c r="H23" s="6" t="s">
        <v>395</v>
      </c>
      <c r="I23" s="6" t="s">
        <v>105</v>
      </c>
      <c r="J23" s="6" t="s">
        <v>396</v>
      </c>
      <c r="K23" s="6" t="s">
        <v>397</v>
      </c>
      <c r="L23" s="6" t="s">
        <v>398</v>
      </c>
      <c r="N23" s="6" t="s">
        <v>109</v>
      </c>
      <c r="O23" s="6" t="s">
        <v>110</v>
      </c>
      <c r="P23" s="6" t="s">
        <v>112</v>
      </c>
      <c r="Q23" s="6">
        <v>501.0</v>
      </c>
      <c r="R23" s="6">
        <v>1989.0</v>
      </c>
      <c r="S23" s="6">
        <v>52.0</v>
      </c>
      <c r="T23" s="6">
        <v>99.0</v>
      </c>
      <c r="U23" s="6">
        <v>99.0</v>
      </c>
      <c r="V23" s="6">
        <v>53440.0</v>
      </c>
      <c r="W23" s="6">
        <v>2025.0</v>
      </c>
      <c r="X23" s="18">
        <v>7140000.0</v>
      </c>
      <c r="Y23" s="18">
        <v>9486000.0</v>
      </c>
      <c r="Z23" s="18">
        <f t="shared" si="4"/>
        <v>16626000</v>
      </c>
      <c r="AA23" s="6">
        <v>2024.0</v>
      </c>
      <c r="AB23" s="6">
        <v>2024.0</v>
      </c>
      <c r="AC23" s="18">
        <v>1.6306781E7</v>
      </c>
      <c r="AD23" s="12">
        <v>8852.0</v>
      </c>
      <c r="AE23" s="6" t="s">
        <v>115</v>
      </c>
      <c r="AF23" s="6">
        <v>34.20888824</v>
      </c>
      <c r="AG23" s="6">
        <v>-118.53262522</v>
      </c>
      <c r="AH23" s="6" t="s">
        <v>400</v>
      </c>
      <c r="AJ23" s="16">
        <f t="array" ref="AJ23">_xlfn.XLOOKUP(
  A23,
  'CMFA-CSCDA Grants'!A:A,
'CMFA-CSCDA Grants'!O:O)</f>
        <v>52</v>
      </c>
      <c r="AK23" s="16">
        <f t="array" ref="AK23">_xlfn.XLOOKUP(
  A23,
  'CMFA-CSCDA Grants'!A:A,
'CMFA-CSCDA Grants'!P:P)</f>
        <v>52</v>
      </c>
      <c r="AL23" s="8">
        <f t="array" ref="AL23">_xlfn.XLOOKUP(
  AD23,
  'Tax Rates'!A:A,
'Tax Rates'!B:B)</f>
        <v>0.0118738</v>
      </c>
    </row>
    <row r="24">
      <c r="A24" s="12">
        <v>22.0</v>
      </c>
      <c r="B24" s="6" t="str">
        <f t="array" ref="B24">_xlfn.XLOOKUP(
  A24,
  'CMFA-CSCDA Grants'!A:A,
'CMFA-CSCDA Grants'!E:E)</f>
        <v>Los Angeles</v>
      </c>
      <c r="C24" s="6" t="str">
        <f t="array" ref="C24">_xlfn.XLOOKUP(
  A24,
  'CMFA-CSCDA Grants'!A:A,
'CMFA-CSCDA Grants'!B:B)</f>
        <v>Seville Gardens Apartments</v>
      </c>
      <c r="D24" s="12">
        <v>6.320011041E9</v>
      </c>
      <c r="F24" s="6" t="b">
        <v>0</v>
      </c>
      <c r="G24" s="6" t="s">
        <v>401</v>
      </c>
      <c r="H24" s="6" t="s">
        <v>402</v>
      </c>
      <c r="I24" s="6" t="s">
        <v>403</v>
      </c>
      <c r="J24" s="6" t="s">
        <v>404</v>
      </c>
      <c r="K24" s="6" t="s">
        <v>405</v>
      </c>
      <c r="L24" s="6" t="s">
        <v>406</v>
      </c>
      <c r="N24" s="6" t="s">
        <v>109</v>
      </c>
      <c r="O24" s="6" t="s">
        <v>110</v>
      </c>
      <c r="P24" s="6" t="s">
        <v>112</v>
      </c>
      <c r="Q24" s="6">
        <v>550.0</v>
      </c>
      <c r="R24" s="6">
        <v>1989.0</v>
      </c>
      <c r="S24" s="6">
        <v>255.0</v>
      </c>
      <c r="T24" s="6">
        <v>0.0</v>
      </c>
      <c r="U24" s="6">
        <v>0.0</v>
      </c>
      <c r="V24" s="6">
        <v>121632.0</v>
      </c>
      <c r="W24" s="6">
        <v>2025.0</v>
      </c>
      <c r="X24" s="18">
        <v>6885000.0</v>
      </c>
      <c r="Y24" s="18">
        <v>2.754E7</v>
      </c>
      <c r="Z24" s="18">
        <f t="shared" si="4"/>
        <v>34425000</v>
      </c>
      <c r="AA24" s="6">
        <v>2024.0</v>
      </c>
      <c r="AB24" s="6">
        <v>2024.0</v>
      </c>
      <c r="AC24" s="18">
        <v>3.1825913E7</v>
      </c>
      <c r="AD24" s="12">
        <v>594.0</v>
      </c>
      <c r="AE24" s="6" t="s">
        <v>407</v>
      </c>
      <c r="AF24" s="6">
        <v>33.98550033</v>
      </c>
      <c r="AG24" s="6">
        <v>-118.22198948</v>
      </c>
      <c r="AH24" s="6" t="s">
        <v>408</v>
      </c>
      <c r="AJ24" s="16">
        <f t="array" ref="AJ24">_xlfn.XLOOKUP(
  A24,
  'CMFA-CSCDA Grants'!A:A,
'CMFA-CSCDA Grants'!O:O)</f>
        <v>225</v>
      </c>
      <c r="AK24" s="16">
        <f t="array" ref="AK24">_xlfn.XLOOKUP(
  A24,
  'CMFA-CSCDA Grants'!A:A,
'CMFA-CSCDA Grants'!P:P)</f>
        <v>225</v>
      </c>
      <c r="AL24" s="8">
        <f t="array" ref="AL24">_xlfn.XLOOKUP(
  AD24,
  'Tax Rates'!A:A,
'Tax Rates'!B:B)</f>
        <v>0.01385148</v>
      </c>
    </row>
    <row r="25">
      <c r="A25" s="12">
        <v>23.0</v>
      </c>
      <c r="B25" s="6" t="str">
        <f t="array" ref="B25">_xlfn.XLOOKUP(
  A25,
  'CMFA-CSCDA Grants'!A:A,
'CMFA-CSCDA Grants'!E:E)</f>
        <v>Los Angeles</v>
      </c>
      <c r="C25" s="6" t="str">
        <f t="array" ref="C25">_xlfn.XLOOKUP(
  A25,
  'CMFA-CSCDA Grants'!A:A,
'CMFA-CSCDA Grants'!B:B)</f>
        <v>Harbour Residences Apartments</v>
      </c>
      <c r="D25" s="12">
        <v>7.418014021E9</v>
      </c>
      <c r="F25" s="6" t="b">
        <v>0</v>
      </c>
      <c r="G25" s="6" t="s">
        <v>413</v>
      </c>
      <c r="H25" s="6" t="s">
        <v>414</v>
      </c>
      <c r="I25" s="6" t="s">
        <v>105</v>
      </c>
      <c r="J25" s="6" t="s">
        <v>415</v>
      </c>
      <c r="K25" s="6" t="s">
        <v>416</v>
      </c>
      <c r="L25" s="6" t="s">
        <v>417</v>
      </c>
      <c r="N25" s="6" t="s">
        <v>109</v>
      </c>
      <c r="O25" s="6" t="s">
        <v>418</v>
      </c>
      <c r="P25" s="6" t="s">
        <v>419</v>
      </c>
      <c r="Q25" s="6">
        <v>1100.0</v>
      </c>
      <c r="W25" s="6">
        <v>2025.0</v>
      </c>
      <c r="X25" s="18">
        <v>3203998.0</v>
      </c>
      <c r="Y25" s="18">
        <v>5695680.0</v>
      </c>
      <c r="Z25" s="18">
        <f t="shared" si="4"/>
        <v>8899678</v>
      </c>
      <c r="AA25" s="6">
        <v>2021.0</v>
      </c>
      <c r="AB25" s="6">
        <v>2024.0</v>
      </c>
      <c r="AC25" s="18">
        <v>0.0</v>
      </c>
      <c r="AD25" s="12">
        <v>400.0</v>
      </c>
      <c r="AE25" s="6" t="s">
        <v>115</v>
      </c>
      <c r="AF25" s="6">
        <v>33.77535388</v>
      </c>
      <c r="AG25" s="6">
        <v>-118.26245313</v>
      </c>
      <c r="AH25" s="6" t="s">
        <v>420</v>
      </c>
      <c r="AJ25" s="16">
        <f t="array" ref="AJ25">_xlfn.XLOOKUP(
  A25,
  'CMFA-CSCDA Grants'!A:A,
'CMFA-CSCDA Grants'!O:O)</f>
        <v>74</v>
      </c>
      <c r="AK25" s="16">
        <f t="array" ref="AK25">_xlfn.XLOOKUP(
  A25,
  'CMFA-CSCDA Grants'!A:A,
'CMFA-CSCDA Grants'!P:P)</f>
        <v>74</v>
      </c>
      <c r="AL25" s="8">
        <f t="array" ref="AL25">_xlfn.XLOOKUP(
  AD25,
  'Tax Rates'!A:A,
'Tax Rates'!B:B)</f>
        <v>0.0118738</v>
      </c>
    </row>
    <row r="26">
      <c r="A26" s="12">
        <v>24.0</v>
      </c>
      <c r="B26" s="6" t="str">
        <f t="array" ref="B26">_xlfn.XLOOKUP(
  A26,
  'CMFA-CSCDA Grants'!A:A,
'CMFA-CSCDA Grants'!E:E)</f>
        <v>Los Angeles</v>
      </c>
      <c r="C26" s="6" t="str">
        <f t="array" ref="C26">_xlfn.XLOOKUP(
  A26,
  'CMFA-CSCDA Grants'!A:A,
'CMFA-CSCDA Grants'!B:B)</f>
        <v>4209 Western Avenue Apartments</v>
      </c>
      <c r="D26" s="12">
        <v>5.021028002E9</v>
      </c>
      <c r="F26" s="6" t="b">
        <v>0</v>
      </c>
      <c r="G26" s="6" t="s">
        <v>421</v>
      </c>
      <c r="H26" s="6" t="s">
        <v>422</v>
      </c>
      <c r="I26" s="6" t="s">
        <v>105</v>
      </c>
      <c r="J26" s="6" t="s">
        <v>423</v>
      </c>
      <c r="K26" s="6" t="s">
        <v>424</v>
      </c>
      <c r="L26" s="6" t="s">
        <v>425</v>
      </c>
      <c r="N26" s="6" t="s">
        <v>109</v>
      </c>
      <c r="O26" s="6" t="s">
        <v>426</v>
      </c>
      <c r="P26" s="6" t="s">
        <v>419</v>
      </c>
      <c r="Q26" s="6">
        <v>1210.0</v>
      </c>
      <c r="R26" s="6">
        <v>2022.0</v>
      </c>
      <c r="S26" s="6">
        <v>25.0</v>
      </c>
      <c r="T26" s="6">
        <v>11.0</v>
      </c>
      <c r="U26" s="6">
        <v>25.0</v>
      </c>
      <c r="V26" s="6">
        <v>21557.0</v>
      </c>
      <c r="W26" s="6">
        <v>2025.0</v>
      </c>
      <c r="X26" s="18">
        <v>6242400.0</v>
      </c>
      <c r="Y26" s="18">
        <v>4681800.0</v>
      </c>
      <c r="Z26" s="18">
        <f t="shared" si="4"/>
        <v>10924200</v>
      </c>
      <c r="AA26" s="6">
        <v>2023.0</v>
      </c>
      <c r="AB26" s="6">
        <v>2023.0</v>
      </c>
      <c r="AC26" s="18">
        <v>1.0903361E7</v>
      </c>
      <c r="AD26" s="12">
        <v>68.0</v>
      </c>
      <c r="AE26" s="6" t="s">
        <v>115</v>
      </c>
      <c r="AF26" s="6">
        <v>34.00696453</v>
      </c>
      <c r="AG26" s="6">
        <v>-118.30925999</v>
      </c>
      <c r="AH26" s="6" t="s">
        <v>427</v>
      </c>
      <c r="AJ26" s="16">
        <f t="array" ref="AJ26">_xlfn.XLOOKUP(
  A26,
  'CMFA-CSCDA Grants'!A:A,
'CMFA-CSCDA Grants'!O:O)</f>
        <v>25</v>
      </c>
      <c r="AK26" s="16">
        <f t="array" ref="AK26">_xlfn.XLOOKUP(
  A26,
  'CMFA-CSCDA Grants'!A:A,
'CMFA-CSCDA Grants'!P:P)</f>
        <v>24</v>
      </c>
      <c r="AL26" s="8">
        <f t="array" ref="AL26">_xlfn.XLOOKUP(
  AD26,
  'Tax Rates'!A:A,
'Tax Rates'!B:B)</f>
        <v>0.0118738</v>
      </c>
    </row>
    <row r="27">
      <c r="A27" s="12">
        <v>25.0</v>
      </c>
      <c r="B27" s="6" t="str">
        <f t="array" ref="B27">_xlfn.XLOOKUP(
  A27,
  'CMFA-CSCDA Grants'!A:A,
'CMFA-CSCDA Grants'!E:E)</f>
        <v>Los Angeles</v>
      </c>
      <c r="C27" s="6" t="str">
        <f t="array" ref="C27">_xlfn.XLOOKUP(
  A27,
  'CMFA-CSCDA Grants'!A:A,
'CMFA-CSCDA Grants'!B:B)</f>
        <v>1130 Martin Luther King Jr. Blvd Apartments</v>
      </c>
      <c r="D27" s="12">
        <v>5.020017007E9</v>
      </c>
      <c r="F27" s="6" t="b">
        <v>0</v>
      </c>
      <c r="G27" s="6" t="s">
        <v>431</v>
      </c>
      <c r="H27" s="6" t="s">
        <v>432</v>
      </c>
      <c r="I27" s="6" t="s">
        <v>105</v>
      </c>
      <c r="J27" s="6" t="s">
        <v>433</v>
      </c>
      <c r="K27" s="6" t="s">
        <v>434</v>
      </c>
      <c r="L27" s="6" t="s">
        <v>435</v>
      </c>
      <c r="N27" s="6" t="s">
        <v>109</v>
      </c>
      <c r="O27" s="6" t="s">
        <v>426</v>
      </c>
      <c r="P27" s="6" t="s">
        <v>419</v>
      </c>
      <c r="Q27" s="6">
        <v>1210.0</v>
      </c>
      <c r="R27" s="6">
        <v>2021.0</v>
      </c>
      <c r="S27" s="6">
        <v>29.0</v>
      </c>
      <c r="T27" s="6">
        <v>22.0</v>
      </c>
      <c r="U27" s="6">
        <v>29.0</v>
      </c>
      <c r="V27" s="6">
        <v>15451.0</v>
      </c>
      <c r="W27" s="6">
        <v>2025.0</v>
      </c>
      <c r="X27" s="18">
        <v>9155520.0</v>
      </c>
      <c r="Y27" s="18">
        <v>3641400.0</v>
      </c>
      <c r="Z27" s="18">
        <f t="shared" si="4"/>
        <v>12796920</v>
      </c>
      <c r="AA27" s="6">
        <v>2023.0</v>
      </c>
      <c r="AB27" s="6">
        <v>2023.0</v>
      </c>
      <c r="AC27" s="18">
        <v>1.2776081E7</v>
      </c>
      <c r="AD27" s="12">
        <v>212.0</v>
      </c>
      <c r="AE27" s="6" t="s">
        <v>115</v>
      </c>
      <c r="AF27" s="6">
        <v>34.01052374</v>
      </c>
      <c r="AG27" s="6">
        <v>-118.29526244</v>
      </c>
      <c r="AH27" s="6" t="s">
        <v>436</v>
      </c>
      <c r="AJ27" s="16">
        <f t="array" ref="AJ27">_xlfn.XLOOKUP(
  A27,
  'CMFA-CSCDA Grants'!A:A,
'CMFA-CSCDA Grants'!O:O)</f>
        <v>29</v>
      </c>
      <c r="AK27" s="16">
        <f t="array" ref="AK27">_xlfn.XLOOKUP(
  A27,
  'CMFA-CSCDA Grants'!A:A,
'CMFA-CSCDA Grants'!P:P)</f>
        <v>28</v>
      </c>
      <c r="AL27" s="8">
        <f t="array" ref="AL27">_xlfn.XLOOKUP(
  AD27,
  'Tax Rates'!A:A,
'Tax Rates'!B:B)</f>
        <v>0.0118738</v>
      </c>
    </row>
    <row r="28">
      <c r="A28" s="12">
        <v>26.0</v>
      </c>
      <c r="B28" s="6" t="str">
        <f t="array" ref="B28">_xlfn.XLOOKUP(
  A28,
  'CMFA-CSCDA Grants'!A:A,
'CMFA-CSCDA Grants'!E:E)</f>
        <v>Los Angeles</v>
      </c>
      <c r="C28" s="6" t="str">
        <f t="array" ref="C28">_xlfn.XLOOKUP(
  A28,
  'CMFA-CSCDA Grants'!A:A,
'CMFA-CSCDA Grants'!B:B)</f>
        <v>Harbor Terrace Apartments</v>
      </c>
      <c r="D28" s="12">
        <v>7.455002027E9</v>
      </c>
      <c r="F28" s="6" t="b">
        <v>0</v>
      </c>
      <c r="G28" s="6" t="s">
        <v>439</v>
      </c>
      <c r="H28" s="6" t="s">
        <v>440</v>
      </c>
      <c r="I28" s="6" t="s">
        <v>105</v>
      </c>
      <c r="J28" s="6" t="s">
        <v>441</v>
      </c>
      <c r="K28" s="6" t="s">
        <v>442</v>
      </c>
      <c r="L28" s="6" t="s">
        <v>443</v>
      </c>
      <c r="N28" s="6" t="s">
        <v>109</v>
      </c>
      <c r="O28" s="6" t="s">
        <v>110</v>
      </c>
      <c r="P28" s="6" t="s">
        <v>112</v>
      </c>
      <c r="Q28" s="6">
        <v>500.0</v>
      </c>
      <c r="R28" s="6">
        <v>1987.0</v>
      </c>
      <c r="S28" s="6">
        <v>93.0</v>
      </c>
      <c r="T28" s="6">
        <v>78.0</v>
      </c>
      <c r="U28" s="6">
        <v>93.0</v>
      </c>
      <c r="V28" s="6">
        <v>55726.0</v>
      </c>
      <c r="W28" s="6">
        <v>2025.0</v>
      </c>
      <c r="X28" s="18">
        <v>2860000.0</v>
      </c>
      <c r="Y28" s="18">
        <v>2.139E7</v>
      </c>
      <c r="Z28" s="18">
        <f t="shared" si="4"/>
        <v>24250000</v>
      </c>
      <c r="AA28" s="6">
        <v>2025.0</v>
      </c>
      <c r="AB28" s="6">
        <v>2025.0</v>
      </c>
      <c r="AC28" s="18">
        <v>1.6429375E7</v>
      </c>
      <c r="AD28" s="12">
        <v>13245.0</v>
      </c>
      <c r="AE28" s="6" t="s">
        <v>115</v>
      </c>
      <c r="AF28" s="6">
        <v>33.74101739</v>
      </c>
      <c r="AG28" s="6">
        <v>-118.28695419</v>
      </c>
      <c r="AH28" s="6" t="s">
        <v>444</v>
      </c>
      <c r="AJ28" s="16">
        <f t="array" ref="AJ28">_xlfn.XLOOKUP(
  A28,
  'CMFA-CSCDA Grants'!A:A,
'CMFA-CSCDA Grants'!O:O)</f>
        <v>93</v>
      </c>
      <c r="AK28" s="16">
        <f t="array" ref="AK28">_xlfn.XLOOKUP(
  A28,
  'CMFA-CSCDA Grants'!A:A,
'CMFA-CSCDA Grants'!P:P)</f>
        <v>93</v>
      </c>
      <c r="AL28" s="8">
        <f t="array" ref="AL28">_xlfn.XLOOKUP(
  AD28,
  'Tax Rates'!A:A,
'Tax Rates'!B:B)</f>
        <v>0.0118738</v>
      </c>
    </row>
    <row r="29">
      <c r="A29" s="12">
        <v>27.0</v>
      </c>
      <c r="B29" s="6" t="str">
        <f t="array" ref="B29">_xlfn.XLOOKUP(
  A29,
  'CMFA-CSCDA Grants'!A:A,
'CMFA-CSCDA Grants'!E:E)</f>
        <v>Los Angeles</v>
      </c>
      <c r="C29" s="6" t="str">
        <f t="array" ref="C29">_xlfn.XLOOKUP(
  A29,
  'CMFA-CSCDA Grants'!A:A,
'CMFA-CSCDA Grants'!B:B)</f>
        <v>Santa Monica Portfolio A Apartments</v>
      </c>
      <c r="D29" s="12">
        <v>4.291019007E9</v>
      </c>
      <c r="F29" s="6" t="b">
        <v>0</v>
      </c>
      <c r="G29" s="6" t="s">
        <v>447</v>
      </c>
      <c r="H29" s="6" t="s">
        <v>448</v>
      </c>
      <c r="I29" s="6" t="s">
        <v>449</v>
      </c>
      <c r="J29" s="6" t="s">
        <v>450</v>
      </c>
      <c r="K29" s="6" t="s">
        <v>451</v>
      </c>
      <c r="L29" s="6" t="s">
        <v>452</v>
      </c>
      <c r="N29" s="6" t="s">
        <v>453</v>
      </c>
      <c r="O29" s="6" t="s">
        <v>110</v>
      </c>
      <c r="P29" s="6" t="s">
        <v>112</v>
      </c>
      <c r="Q29" s="6">
        <v>500.0</v>
      </c>
      <c r="R29" s="6">
        <v>1998.0</v>
      </c>
      <c r="S29" s="6">
        <v>24.0</v>
      </c>
      <c r="T29" s="6">
        <v>30.0</v>
      </c>
      <c r="U29" s="6">
        <v>36.0</v>
      </c>
      <c r="V29" s="6">
        <v>20272.0</v>
      </c>
      <c r="W29" s="6">
        <v>2025.0</v>
      </c>
      <c r="X29" s="18">
        <v>2850000.0</v>
      </c>
      <c r="Y29" s="18">
        <v>5670000.0</v>
      </c>
      <c r="Z29" s="18">
        <f t="shared" si="4"/>
        <v>8520000</v>
      </c>
      <c r="AA29" s="6">
        <v>2025.0</v>
      </c>
      <c r="AB29" s="6">
        <v>2025.0</v>
      </c>
      <c r="AC29" s="18">
        <v>1937646.0</v>
      </c>
      <c r="AD29" s="12">
        <v>8004.0</v>
      </c>
      <c r="AE29" s="6" t="s">
        <v>454</v>
      </c>
      <c r="AF29" s="6">
        <v>34.01710974</v>
      </c>
      <c r="AG29" s="6">
        <v>-118.49280636</v>
      </c>
      <c r="AH29" s="6" t="s">
        <v>455</v>
      </c>
      <c r="AI29" s="6" t="s">
        <v>456</v>
      </c>
      <c r="AJ29" s="16">
        <f t="array" ref="AJ29">_xlfn.XLOOKUP(
  A29,
  'CMFA-CSCDA Grants'!A:A,
'CMFA-CSCDA Grants'!O:O)</f>
        <v>52</v>
      </c>
      <c r="AK29" s="16">
        <f t="array" ref="AK29">_xlfn.XLOOKUP(
  A29,
  'CMFA-CSCDA Grants'!A:A,
'CMFA-CSCDA Grants'!P:P)</f>
        <v>32</v>
      </c>
      <c r="AL29" s="8">
        <f t="array" ref="AL29">_xlfn.XLOOKUP(
  AD29,
  'Tax Rates'!A:A,
'Tax Rates'!B:B)</f>
        <v>0.01203757</v>
      </c>
    </row>
    <row r="30">
      <c r="A30" s="12">
        <v>27.0</v>
      </c>
      <c r="B30" s="6" t="str">
        <f t="array" ref="B30">_xlfn.XLOOKUP(
  A30,
  'CMFA-CSCDA Grants'!A:A,
'CMFA-CSCDA Grants'!E:E)</f>
        <v>Los Angeles</v>
      </c>
      <c r="C30" s="6" t="str">
        <f t="array" ref="C30">_xlfn.XLOOKUP(
  A30,
  'CMFA-CSCDA Grants'!A:A,
'CMFA-CSCDA Grants'!B:B)</f>
        <v>Santa Monica Portfolio A Apartments</v>
      </c>
      <c r="D30" s="12">
        <v>4.291019006E9</v>
      </c>
      <c r="F30" s="6" t="b">
        <v>0</v>
      </c>
      <c r="G30" s="6" t="s">
        <v>459</v>
      </c>
      <c r="H30" s="6" t="s">
        <v>460</v>
      </c>
      <c r="I30" s="6" t="s">
        <v>449</v>
      </c>
      <c r="J30" s="6" t="s">
        <v>461</v>
      </c>
      <c r="K30" s="6" t="s">
        <v>451</v>
      </c>
      <c r="L30" s="6" t="s">
        <v>452</v>
      </c>
      <c r="N30" s="6" t="s">
        <v>453</v>
      </c>
      <c r="O30" s="6" t="s">
        <v>426</v>
      </c>
      <c r="P30" s="6" t="s">
        <v>419</v>
      </c>
      <c r="Q30" s="6">
        <v>1210.0</v>
      </c>
      <c r="R30" s="6">
        <v>1997.0</v>
      </c>
      <c r="S30" s="6">
        <v>28.0</v>
      </c>
      <c r="T30" s="6">
        <v>26.0</v>
      </c>
      <c r="U30" s="6">
        <v>28.0</v>
      </c>
      <c r="V30" s="6">
        <v>20618.0</v>
      </c>
      <c r="W30" s="6">
        <v>2025.0</v>
      </c>
      <c r="X30" s="18">
        <v>2850000.0</v>
      </c>
      <c r="Y30" s="18">
        <v>5800000.0</v>
      </c>
      <c r="Z30" s="18">
        <f t="shared" si="4"/>
        <v>8650000</v>
      </c>
      <c r="AA30" s="6">
        <v>2025.0</v>
      </c>
      <c r="AB30" s="6">
        <v>2025.0</v>
      </c>
      <c r="AC30" s="18">
        <v>2125161.0</v>
      </c>
      <c r="AD30" s="12">
        <v>8004.0</v>
      </c>
      <c r="AE30" s="6" t="s">
        <v>454</v>
      </c>
      <c r="AF30" s="6">
        <v>34.01720822</v>
      </c>
      <c r="AG30" s="6">
        <v>-118.49292135</v>
      </c>
      <c r="AH30" s="6" t="s">
        <v>463</v>
      </c>
      <c r="AI30" s="6" t="s">
        <v>456</v>
      </c>
      <c r="AJ30" s="16">
        <f t="array" ref="AJ30">_xlfn.XLOOKUP(
  A30,
  'CMFA-CSCDA Grants'!A:A,
'CMFA-CSCDA Grants'!O:O)</f>
        <v>52</v>
      </c>
      <c r="AK30" s="16">
        <f t="array" ref="AK30">_xlfn.XLOOKUP(
  A30,
  'CMFA-CSCDA Grants'!A:A,
'CMFA-CSCDA Grants'!P:P)</f>
        <v>32</v>
      </c>
      <c r="AL30" s="8">
        <f t="array" ref="AL30">_xlfn.XLOOKUP(
  AD30,
  'Tax Rates'!A:A,
'Tax Rates'!B:B)</f>
        <v>0.01203757</v>
      </c>
    </row>
    <row r="31">
      <c r="A31" s="12">
        <v>28.0</v>
      </c>
      <c r="B31" s="6" t="str">
        <f t="array" ref="B31">_xlfn.XLOOKUP(
  A31,
  'CMFA-CSCDA Grants'!A:A,
'CMFA-CSCDA Grants'!E:E)</f>
        <v>Los Angeles</v>
      </c>
      <c r="C31" s="6" t="str">
        <f t="array" ref="C31">_xlfn.XLOOKUP(
  A31,
  'CMFA-CSCDA Grants'!A:A,
'CMFA-CSCDA Grants'!B:B)</f>
        <v>Santa Monica Portfolio B Apartments</v>
      </c>
      <c r="D31" s="12">
        <v>4.291020005E9</v>
      </c>
      <c r="F31" s="6" t="b">
        <v>0</v>
      </c>
      <c r="G31" s="6" t="s">
        <v>467</v>
      </c>
      <c r="H31" s="6" t="s">
        <v>468</v>
      </c>
      <c r="I31" s="6" t="s">
        <v>449</v>
      </c>
      <c r="J31" s="6" t="s">
        <v>469</v>
      </c>
      <c r="K31" s="6" t="s">
        <v>470</v>
      </c>
      <c r="L31" s="6" t="s">
        <v>471</v>
      </c>
      <c r="N31" s="6" t="s">
        <v>453</v>
      </c>
      <c r="O31" s="6" t="s">
        <v>110</v>
      </c>
      <c r="P31" s="6" t="s">
        <v>112</v>
      </c>
      <c r="Q31" s="6">
        <v>500.0</v>
      </c>
      <c r="R31" s="6">
        <v>1996.0</v>
      </c>
      <c r="S31" s="6">
        <v>28.0</v>
      </c>
      <c r="T31" s="6">
        <v>28.0</v>
      </c>
      <c r="U31" s="6">
        <v>28.0</v>
      </c>
      <c r="V31" s="6">
        <v>21437.0</v>
      </c>
      <c r="W31" s="6">
        <v>2025.0</v>
      </c>
      <c r="X31" s="18">
        <v>3000000.0</v>
      </c>
      <c r="Y31" s="18">
        <v>4650000.0</v>
      </c>
      <c r="Z31" s="18">
        <f t="shared" si="4"/>
        <v>7650000</v>
      </c>
      <c r="AA31" s="6">
        <v>2025.0</v>
      </c>
      <c r="AB31" s="6">
        <v>2025.0</v>
      </c>
      <c r="AC31" s="18">
        <v>3491875.0</v>
      </c>
      <c r="AD31" s="12">
        <v>8004.0</v>
      </c>
      <c r="AE31" s="6" t="s">
        <v>454</v>
      </c>
      <c r="AF31" s="6">
        <v>34.01797475</v>
      </c>
      <c r="AG31" s="6">
        <v>-118.4919757</v>
      </c>
      <c r="AH31" s="6" t="s">
        <v>472</v>
      </c>
      <c r="AI31" s="6" t="s">
        <v>473</v>
      </c>
      <c r="AJ31" s="16">
        <f t="array" ref="AJ31">_xlfn.XLOOKUP(
  A31,
  'CMFA-CSCDA Grants'!A:A,
'CMFA-CSCDA Grants'!O:O)</f>
        <v>72</v>
      </c>
      <c r="AK31" s="16">
        <f t="array" ref="AK31">_xlfn.XLOOKUP(
  A31,
  'CMFA-CSCDA Grants'!A:A,
'CMFA-CSCDA Grants'!P:P)</f>
        <v>49</v>
      </c>
      <c r="AL31" s="8">
        <f t="array" ref="AL31">_xlfn.XLOOKUP(
  AD31,
  'Tax Rates'!A:A,
'Tax Rates'!B:B)</f>
        <v>0.01203757</v>
      </c>
    </row>
    <row r="32">
      <c r="A32" s="12">
        <v>28.0</v>
      </c>
      <c r="B32" s="6" t="str">
        <f t="array" ref="B32">_xlfn.XLOOKUP(
  A32,
  'CMFA-CSCDA Grants'!A:A,
'CMFA-CSCDA Grants'!E:E)</f>
        <v>Los Angeles</v>
      </c>
      <c r="C32" s="6" t="str">
        <f t="array" ref="C32">_xlfn.XLOOKUP(
  A32,
  'CMFA-CSCDA Grants'!A:A,
'CMFA-CSCDA Grants'!B:B)</f>
        <v>Santa Monica Portfolio B Apartments</v>
      </c>
      <c r="D32" s="12">
        <v>4.291020006E9</v>
      </c>
      <c r="F32" s="6" t="b">
        <v>0</v>
      </c>
      <c r="G32" s="6" t="s">
        <v>475</v>
      </c>
      <c r="H32" s="6" t="s">
        <v>477</v>
      </c>
      <c r="I32" s="6" t="s">
        <v>449</v>
      </c>
      <c r="J32" s="6" t="s">
        <v>478</v>
      </c>
      <c r="K32" s="6" t="s">
        <v>470</v>
      </c>
      <c r="L32" s="6" t="s">
        <v>471</v>
      </c>
      <c r="N32" s="6" t="s">
        <v>453</v>
      </c>
      <c r="O32" s="6" t="s">
        <v>110</v>
      </c>
      <c r="P32" s="6" t="s">
        <v>112</v>
      </c>
      <c r="Q32" s="6">
        <v>500.0</v>
      </c>
      <c r="R32" s="6">
        <v>1996.0</v>
      </c>
      <c r="S32" s="6">
        <v>28.0</v>
      </c>
      <c r="T32" s="6">
        <v>28.0</v>
      </c>
      <c r="U32" s="6">
        <v>28.0</v>
      </c>
      <c r="V32" s="6">
        <v>21437.0</v>
      </c>
      <c r="W32" s="6">
        <v>2025.0</v>
      </c>
      <c r="X32" s="18">
        <v>3000000.0</v>
      </c>
      <c r="Y32" s="18">
        <v>4650000.0</v>
      </c>
      <c r="Z32" s="18">
        <f t="shared" si="4"/>
        <v>7650000</v>
      </c>
      <c r="AA32" s="6">
        <v>2025.0</v>
      </c>
      <c r="AB32" s="6">
        <v>2025.0</v>
      </c>
      <c r="AC32" s="18">
        <v>3491875.0</v>
      </c>
      <c r="AD32" s="12">
        <v>8004.0</v>
      </c>
      <c r="AE32" s="6" t="s">
        <v>454</v>
      </c>
      <c r="AF32" s="6">
        <v>34.01787626</v>
      </c>
      <c r="AG32" s="6">
        <v>-118.49186072</v>
      </c>
      <c r="AH32" s="6" t="s">
        <v>480</v>
      </c>
      <c r="AI32" s="6" t="s">
        <v>473</v>
      </c>
      <c r="AJ32" s="16">
        <f t="array" ref="AJ32">_xlfn.XLOOKUP(
  A32,
  'CMFA-CSCDA Grants'!A:A,
'CMFA-CSCDA Grants'!O:O)</f>
        <v>72</v>
      </c>
      <c r="AK32" s="16">
        <f t="array" ref="AK32">_xlfn.XLOOKUP(
  A32,
  'CMFA-CSCDA Grants'!A:A,
'CMFA-CSCDA Grants'!P:P)</f>
        <v>49</v>
      </c>
      <c r="AL32" s="8">
        <f t="array" ref="AL32">_xlfn.XLOOKUP(
  AD32,
  'Tax Rates'!A:A,
'Tax Rates'!B:B)</f>
        <v>0.01203757</v>
      </c>
    </row>
    <row r="33">
      <c r="A33" s="12">
        <v>28.0</v>
      </c>
      <c r="B33" s="6" t="str">
        <f t="array" ref="B33">_xlfn.XLOOKUP(
  A33,
  'CMFA-CSCDA Grants'!A:A,
'CMFA-CSCDA Grants'!E:E)</f>
        <v>Los Angeles</v>
      </c>
      <c r="C33" s="6" t="str">
        <f t="array" ref="C33">_xlfn.XLOOKUP(
  A33,
  'CMFA-CSCDA Grants'!A:A,
'CMFA-CSCDA Grants'!B:B)</f>
        <v>Santa Monica Portfolio B Apartments</v>
      </c>
      <c r="D33" s="12">
        <v>4.291020007E9</v>
      </c>
      <c r="F33" s="6" t="b">
        <v>0</v>
      </c>
      <c r="G33" s="6" t="s">
        <v>482</v>
      </c>
      <c r="H33" s="6" t="s">
        <v>483</v>
      </c>
      <c r="I33" s="6" t="s">
        <v>449</v>
      </c>
      <c r="J33" s="6" t="s">
        <v>484</v>
      </c>
      <c r="K33" s="6" t="s">
        <v>470</v>
      </c>
      <c r="L33" s="6" t="s">
        <v>471</v>
      </c>
      <c r="N33" s="6" t="s">
        <v>453</v>
      </c>
      <c r="O33" s="6" t="s">
        <v>110</v>
      </c>
      <c r="P33" s="6" t="s">
        <v>112</v>
      </c>
      <c r="Q33" s="6">
        <v>500.0</v>
      </c>
      <c r="R33" s="6">
        <v>2000.0</v>
      </c>
      <c r="S33" s="6">
        <v>26.0</v>
      </c>
      <c r="T33" s="6">
        <v>30.0</v>
      </c>
      <c r="U33" s="6">
        <v>26.0</v>
      </c>
      <c r="V33" s="6">
        <v>21878.0</v>
      </c>
      <c r="W33" s="6">
        <v>2025.0</v>
      </c>
      <c r="X33" s="18">
        <v>3000000.0</v>
      </c>
      <c r="Y33" s="18">
        <v>4770000.0</v>
      </c>
      <c r="Z33" s="18">
        <f t="shared" si="4"/>
        <v>7770000</v>
      </c>
      <c r="AA33" s="6">
        <v>2025.0</v>
      </c>
      <c r="AB33" s="6">
        <v>2025.0</v>
      </c>
      <c r="AC33" s="18">
        <v>3594576.0</v>
      </c>
      <c r="AD33" s="12">
        <v>8004.0</v>
      </c>
      <c r="AE33" s="6" t="s">
        <v>454</v>
      </c>
      <c r="AF33" s="6">
        <v>34.01777789</v>
      </c>
      <c r="AG33" s="6">
        <v>-118.49174558</v>
      </c>
      <c r="AH33" s="6" t="s">
        <v>485</v>
      </c>
      <c r="AI33" s="6" t="s">
        <v>473</v>
      </c>
      <c r="AJ33" s="16">
        <f t="array" ref="AJ33">_xlfn.XLOOKUP(
  A33,
  'CMFA-CSCDA Grants'!A:A,
'CMFA-CSCDA Grants'!O:O)</f>
        <v>72</v>
      </c>
      <c r="AK33" s="16">
        <f t="array" ref="AK33">_xlfn.XLOOKUP(
  A33,
  'CMFA-CSCDA Grants'!A:A,
'CMFA-CSCDA Grants'!P:P)</f>
        <v>49</v>
      </c>
      <c r="AL33" s="8">
        <f t="array" ref="AL33">_xlfn.XLOOKUP(
  AD33,
  'Tax Rates'!A:A,
'Tax Rates'!B:B)</f>
        <v>0.01203757</v>
      </c>
    </row>
    <row r="34">
      <c r="A34" s="12">
        <v>29.0</v>
      </c>
      <c r="B34" s="6" t="str">
        <f t="array" ref="B34">_xlfn.XLOOKUP(
  A34,
  'CMFA-CSCDA Grants'!A:A,
'CMFA-CSCDA Grants'!E:E)</f>
        <v>Los Angeles</v>
      </c>
      <c r="C34" s="6" t="str">
        <f t="array" ref="C34">_xlfn.XLOOKUP(
  A34,
  'CMFA-CSCDA Grants'!A:A,
'CMFA-CSCDA Grants'!B:B)</f>
        <v>Santa Monica Portfolio C Apartments</v>
      </c>
      <c r="D34" s="12">
        <v>4.291020018E9</v>
      </c>
      <c r="F34" s="6" t="b">
        <v>0</v>
      </c>
      <c r="G34" s="6" t="s">
        <v>489</v>
      </c>
      <c r="H34" s="6" t="s">
        <v>490</v>
      </c>
      <c r="I34" s="6" t="s">
        <v>449</v>
      </c>
      <c r="J34" s="6" t="s">
        <v>491</v>
      </c>
      <c r="K34" s="6" t="s">
        <v>492</v>
      </c>
      <c r="L34" s="6" t="s">
        <v>493</v>
      </c>
      <c r="N34" s="6" t="s">
        <v>453</v>
      </c>
      <c r="O34" s="6" t="s">
        <v>110</v>
      </c>
      <c r="P34" s="6" t="s">
        <v>112</v>
      </c>
      <c r="Q34" s="6">
        <v>500.0</v>
      </c>
      <c r="R34" s="6">
        <v>1998.0</v>
      </c>
      <c r="S34" s="6">
        <v>24.0</v>
      </c>
      <c r="T34" s="6">
        <v>33.0</v>
      </c>
      <c r="U34" s="6">
        <v>30.0</v>
      </c>
      <c r="V34" s="6">
        <v>20100.0</v>
      </c>
      <c r="W34" s="6">
        <v>2025.0</v>
      </c>
      <c r="X34" s="18">
        <v>6300000.0</v>
      </c>
      <c r="Y34" s="18">
        <v>4150000.0</v>
      </c>
      <c r="Z34" s="18">
        <f t="shared" si="4"/>
        <v>10450000</v>
      </c>
      <c r="AA34" s="6">
        <v>2025.0</v>
      </c>
      <c r="AB34" s="6">
        <v>2025.0</v>
      </c>
      <c r="AC34" s="18">
        <v>5443405.0</v>
      </c>
      <c r="AD34" s="12">
        <v>8004.0</v>
      </c>
      <c r="AE34" s="6" t="s">
        <v>454</v>
      </c>
      <c r="AF34" s="6">
        <v>34.01755051</v>
      </c>
      <c r="AG34" s="6">
        <v>-118.49226262</v>
      </c>
      <c r="AH34" s="6" t="s">
        <v>494</v>
      </c>
      <c r="AI34" s="6" t="s">
        <v>456</v>
      </c>
      <c r="AJ34" s="16">
        <f t="array" ref="AJ34">_xlfn.XLOOKUP(
  A34,
  'CMFA-CSCDA Grants'!A:A,
'CMFA-CSCDA Grants'!O:O)</f>
        <v>48</v>
      </c>
      <c r="AK34" s="16">
        <f t="array" ref="AK34">_xlfn.XLOOKUP(
  A34,
  'CMFA-CSCDA Grants'!A:A,
'CMFA-CSCDA Grants'!P:P)</f>
        <v>29</v>
      </c>
      <c r="AL34" s="8">
        <f t="array" ref="AL34">_xlfn.XLOOKUP(
  AD34,
  'Tax Rates'!A:A,
'Tax Rates'!B:B)</f>
        <v>0.01203757</v>
      </c>
    </row>
    <row r="35">
      <c r="A35" s="12">
        <v>29.0</v>
      </c>
      <c r="B35" s="6" t="str">
        <f t="array" ref="B35">_xlfn.XLOOKUP(
  A35,
  'CMFA-CSCDA Grants'!A:A,
'CMFA-CSCDA Grants'!E:E)</f>
        <v>Los Angeles</v>
      </c>
      <c r="C35" s="6" t="str">
        <f t="array" ref="C35">_xlfn.XLOOKUP(
  A35,
  'CMFA-CSCDA Grants'!A:A,
'CMFA-CSCDA Grants'!B:B)</f>
        <v>Santa Monica Portfolio C Apartments</v>
      </c>
      <c r="D35" s="12">
        <v>4.291020019E9</v>
      </c>
      <c r="F35" s="6" t="b">
        <v>0</v>
      </c>
      <c r="G35" s="6" t="s">
        <v>498</v>
      </c>
      <c r="H35" s="6" t="s">
        <v>499</v>
      </c>
      <c r="I35" s="6" t="s">
        <v>449</v>
      </c>
      <c r="J35" s="6" t="s">
        <v>500</v>
      </c>
      <c r="K35" s="6" t="s">
        <v>492</v>
      </c>
      <c r="L35" s="6" t="s">
        <v>493</v>
      </c>
      <c r="N35" s="6" t="s">
        <v>453</v>
      </c>
      <c r="O35" s="6" t="s">
        <v>110</v>
      </c>
      <c r="P35" s="6" t="s">
        <v>112</v>
      </c>
      <c r="Q35" s="6">
        <v>500.0</v>
      </c>
      <c r="R35" s="6">
        <v>1998.0</v>
      </c>
      <c r="S35" s="6">
        <v>24.0</v>
      </c>
      <c r="T35" s="6">
        <v>0.0</v>
      </c>
      <c r="U35" s="6">
        <v>0.0</v>
      </c>
      <c r="V35" s="6">
        <v>20100.0</v>
      </c>
      <c r="W35" s="6">
        <v>2025.0</v>
      </c>
      <c r="X35" s="18">
        <v>6300000.0</v>
      </c>
      <c r="Y35" s="18">
        <v>4150000.0</v>
      </c>
      <c r="Z35" s="18">
        <f t="shared" si="4"/>
        <v>10450000</v>
      </c>
      <c r="AA35" s="6">
        <v>2025.0</v>
      </c>
      <c r="AB35" s="6">
        <v>2025.0</v>
      </c>
      <c r="AC35" s="18">
        <v>5443405.0</v>
      </c>
      <c r="AD35" s="12">
        <v>8004.0</v>
      </c>
      <c r="AE35" s="6" t="s">
        <v>454</v>
      </c>
      <c r="AF35" s="6">
        <v>34.01764902</v>
      </c>
      <c r="AG35" s="6">
        <v>-118.49237759</v>
      </c>
      <c r="AH35" s="6" t="s">
        <v>501</v>
      </c>
      <c r="AI35" s="6" t="s">
        <v>456</v>
      </c>
      <c r="AJ35" s="16">
        <f t="array" ref="AJ35">_xlfn.XLOOKUP(
  A35,
  'CMFA-CSCDA Grants'!A:A,
'CMFA-CSCDA Grants'!O:O)</f>
        <v>48</v>
      </c>
      <c r="AK35" s="16">
        <f t="array" ref="AK35">_xlfn.XLOOKUP(
  A35,
  'CMFA-CSCDA Grants'!A:A,
'CMFA-CSCDA Grants'!P:P)</f>
        <v>29</v>
      </c>
      <c r="AL35" s="8">
        <f t="array" ref="AL35">_xlfn.XLOOKUP(
  AD35,
  'Tax Rates'!A:A,
'Tax Rates'!B:B)</f>
        <v>0.01203757</v>
      </c>
    </row>
    <row r="36">
      <c r="A36" s="12">
        <v>30.0</v>
      </c>
      <c r="B36" s="6" t="str">
        <f t="array" ref="B36">_xlfn.XLOOKUP(
  A36,
  'CMFA-CSCDA Grants'!A:A,
'CMFA-CSCDA Grants'!E:E)</f>
        <v>Los Angeles</v>
      </c>
      <c r="C36" s="6" t="str">
        <f t="array" ref="C36">_xlfn.XLOOKUP(
  A36,
  'CMFA-CSCDA Grants'!A:A,
'CMFA-CSCDA Grants'!B:B)</f>
        <v>Santa Monica Portfolio D Apartments</v>
      </c>
      <c r="D36" s="12">
        <v>4.291024007E9</v>
      </c>
      <c r="F36" s="6" t="b">
        <v>0</v>
      </c>
      <c r="G36" s="6" t="s">
        <v>503</v>
      </c>
      <c r="H36" s="6" t="s">
        <v>504</v>
      </c>
      <c r="I36" s="6" t="s">
        <v>449</v>
      </c>
      <c r="J36" s="6" t="s">
        <v>505</v>
      </c>
      <c r="K36" s="6" t="s">
        <v>506</v>
      </c>
      <c r="L36" s="6" t="s">
        <v>507</v>
      </c>
      <c r="N36" s="6" t="s">
        <v>109</v>
      </c>
      <c r="O36" s="6" t="s">
        <v>110</v>
      </c>
      <c r="P36" s="6" t="s">
        <v>112</v>
      </c>
      <c r="Q36" s="6">
        <v>550.0</v>
      </c>
      <c r="R36" s="6">
        <v>2004.0</v>
      </c>
      <c r="S36" s="6">
        <v>26.0</v>
      </c>
      <c r="T36" s="6">
        <v>29.0</v>
      </c>
      <c r="U36" s="6">
        <v>26.0</v>
      </c>
      <c r="V36" s="6">
        <v>24573.0</v>
      </c>
      <c r="W36" s="6">
        <v>2025.0</v>
      </c>
      <c r="X36" s="18">
        <v>3600000.0</v>
      </c>
      <c r="Y36" s="18">
        <v>3450000.0</v>
      </c>
      <c r="Z36" s="18">
        <f t="shared" si="4"/>
        <v>7050000</v>
      </c>
      <c r="AA36" s="6">
        <v>2025.0</v>
      </c>
      <c r="AB36" s="6">
        <v>2025.0</v>
      </c>
      <c r="AC36" s="18">
        <v>3659058.0</v>
      </c>
      <c r="AD36" s="12">
        <v>8004.0</v>
      </c>
      <c r="AE36" s="6" t="s">
        <v>454</v>
      </c>
      <c r="AF36" s="6">
        <v>34.01587009</v>
      </c>
      <c r="AG36" s="6">
        <v>-118.49135637</v>
      </c>
      <c r="AH36" s="6" t="s">
        <v>508</v>
      </c>
      <c r="AJ36" s="16">
        <f t="array" ref="AJ36">_xlfn.XLOOKUP(
  A36,
  'CMFA-CSCDA Grants'!A:A,
'CMFA-CSCDA Grants'!O:O)</f>
        <v>26</v>
      </c>
      <c r="AK36" s="16">
        <f t="array" ref="AK36">_xlfn.XLOOKUP(
  A36,
  'CMFA-CSCDA Grants'!A:A,
'CMFA-CSCDA Grants'!P:P)</f>
        <v>25</v>
      </c>
      <c r="AL36" s="8">
        <f t="array" ref="AL36">_xlfn.XLOOKUP(
  AD36,
  'Tax Rates'!A:A,
'Tax Rates'!B:B)</f>
        <v>0.01203757</v>
      </c>
    </row>
    <row r="37">
      <c r="A37" s="12">
        <v>31.0</v>
      </c>
      <c r="B37" s="6" t="str">
        <f t="array" ref="B37">_xlfn.XLOOKUP(
  A37,
  'CMFA-CSCDA Grants'!A:A,
'CMFA-CSCDA Grants'!E:E)</f>
        <v>Los Angeles</v>
      </c>
      <c r="C37" s="6" t="str">
        <f t="array" ref="C37">_xlfn.XLOOKUP(
  A37,
  'CMFA-CSCDA Grants'!A:A,
'CMFA-CSCDA Grants'!B:B)</f>
        <v>Santa Monica Portfolio E Apartments</v>
      </c>
      <c r="D37" s="12">
        <v>4.291022015E9</v>
      </c>
      <c r="F37" s="6" t="b">
        <v>0</v>
      </c>
      <c r="G37" s="6" t="s">
        <v>512</v>
      </c>
      <c r="H37" s="6" t="s">
        <v>513</v>
      </c>
      <c r="I37" s="6" t="s">
        <v>449</v>
      </c>
      <c r="J37" s="6" t="s">
        <v>514</v>
      </c>
      <c r="K37" s="6" t="s">
        <v>515</v>
      </c>
      <c r="L37" s="6" t="s">
        <v>516</v>
      </c>
      <c r="N37" s="6" t="s">
        <v>109</v>
      </c>
      <c r="O37" s="6" t="s">
        <v>110</v>
      </c>
      <c r="P37" s="6" t="s">
        <v>112</v>
      </c>
      <c r="Q37" s="6">
        <v>540.0</v>
      </c>
      <c r="R37" s="6">
        <v>2003.0</v>
      </c>
      <c r="S37" s="6">
        <v>36.0</v>
      </c>
      <c r="T37" s="6">
        <v>0.0</v>
      </c>
      <c r="U37" s="6">
        <v>0.0</v>
      </c>
      <c r="V37" s="6">
        <v>24738.0</v>
      </c>
      <c r="W37" s="6">
        <v>2025.0</v>
      </c>
      <c r="X37" s="18">
        <v>3600000.0</v>
      </c>
      <c r="Y37" s="18">
        <v>2980000.0</v>
      </c>
      <c r="Z37" s="18">
        <f t="shared" si="4"/>
        <v>6580000</v>
      </c>
      <c r="AA37" s="6">
        <v>2025.0</v>
      </c>
      <c r="AB37" s="6">
        <v>2025.0</v>
      </c>
      <c r="AC37" s="18">
        <v>4088045.0</v>
      </c>
      <c r="AD37" s="12">
        <v>8004.0</v>
      </c>
      <c r="AE37" s="6" t="s">
        <v>454</v>
      </c>
      <c r="AF37" s="6">
        <v>34.01678094</v>
      </c>
      <c r="AG37" s="6">
        <v>-118.48952249</v>
      </c>
      <c r="AH37" s="6" t="s">
        <v>518</v>
      </c>
      <c r="AJ37" s="16">
        <f t="array" ref="AJ37">_xlfn.XLOOKUP(
  A37,
  'CMFA-CSCDA Grants'!A:A,
'CMFA-CSCDA Grants'!O:O)</f>
        <v>26</v>
      </c>
      <c r="AK37" s="16">
        <f t="array" ref="AK37">_xlfn.XLOOKUP(
  A37,
  'CMFA-CSCDA Grants'!A:A,
'CMFA-CSCDA Grants'!P:P)</f>
        <v>25</v>
      </c>
      <c r="AL37" s="8">
        <f t="array" ref="AL37">_xlfn.XLOOKUP(
  AD37,
  'Tax Rates'!A:A,
'Tax Rates'!B:B)</f>
        <v>0.01203757</v>
      </c>
    </row>
    <row r="38">
      <c r="A38" s="12">
        <v>32.0</v>
      </c>
      <c r="B38" s="6" t="str">
        <f t="array" ref="B38">_xlfn.XLOOKUP(
  A38,
  'CMFA-CSCDA Grants'!A:A,
'CMFA-CSCDA Grants'!E:E)</f>
        <v>Los Angeles</v>
      </c>
      <c r="C38" s="6" t="str">
        <f t="array" ref="C38">_xlfn.XLOOKUP(
  A38,
  'CMFA-CSCDA Grants'!A:A,
'CMFA-CSCDA Grants'!B:B)</f>
        <v>Santa Monica Portfolio F Apartments</v>
      </c>
      <c r="D38" s="12">
        <v>4.275024005E9</v>
      </c>
      <c r="F38" s="6" t="b">
        <v>0</v>
      </c>
      <c r="G38" s="6" t="s">
        <v>520</v>
      </c>
      <c r="H38" s="6" t="s">
        <v>521</v>
      </c>
      <c r="I38" s="6" t="s">
        <v>449</v>
      </c>
      <c r="J38" s="6" t="s">
        <v>522</v>
      </c>
      <c r="K38" s="6" t="s">
        <v>523</v>
      </c>
      <c r="L38" s="6" t="s">
        <v>524</v>
      </c>
      <c r="N38" s="6" t="s">
        <v>453</v>
      </c>
      <c r="O38" s="6" t="s">
        <v>110</v>
      </c>
      <c r="P38" s="6" t="s">
        <v>112</v>
      </c>
      <c r="Q38" s="6">
        <v>500.0</v>
      </c>
      <c r="R38" s="6">
        <v>2008.0</v>
      </c>
      <c r="S38" s="6">
        <v>100.0</v>
      </c>
      <c r="T38" s="6">
        <v>0.0</v>
      </c>
      <c r="U38" s="6">
        <v>99.0</v>
      </c>
      <c r="V38" s="6">
        <v>51033.0</v>
      </c>
      <c r="W38" s="6">
        <v>2025.0</v>
      </c>
      <c r="X38" s="18">
        <v>2130000.0</v>
      </c>
      <c r="Y38" s="18">
        <v>6860000.0</v>
      </c>
      <c r="Z38" s="18">
        <f t="shared" si="4"/>
        <v>8990000</v>
      </c>
      <c r="AA38" s="6">
        <v>2025.0</v>
      </c>
      <c r="AB38" s="6">
        <v>2025.0</v>
      </c>
      <c r="AC38" s="18">
        <v>8990000.0</v>
      </c>
      <c r="AD38" s="12">
        <v>8004.0</v>
      </c>
      <c r="AE38" s="6" t="s">
        <v>454</v>
      </c>
      <c r="AF38" s="6">
        <v>34.02500078</v>
      </c>
      <c r="AG38" s="6">
        <v>-118.47521615</v>
      </c>
      <c r="AH38" s="6" t="s">
        <v>525</v>
      </c>
      <c r="AI38" s="6" t="s">
        <v>456</v>
      </c>
      <c r="AJ38" s="16">
        <f t="array" ref="AJ38">_xlfn.XLOOKUP(
  A38,
  'CMFA-CSCDA Grants'!A:A,
'CMFA-CSCDA Grants'!O:O)</f>
        <v>165</v>
      </c>
      <c r="AK38" s="16">
        <f t="array" ref="AK38">_xlfn.XLOOKUP(
  A38,
  'CMFA-CSCDA Grants'!A:A,
'CMFA-CSCDA Grants'!P:P)</f>
        <v>98</v>
      </c>
      <c r="AL38" s="8">
        <f t="array" ref="AL38">_xlfn.XLOOKUP(
  AD38,
  'Tax Rates'!A:A,
'Tax Rates'!B:B)</f>
        <v>0.01203757</v>
      </c>
    </row>
    <row r="39">
      <c r="A39" s="12">
        <v>32.0</v>
      </c>
      <c r="B39" s="6" t="str">
        <f t="array" ref="B39">_xlfn.XLOOKUP(
  A39,
  'CMFA-CSCDA Grants'!A:A,
'CMFA-CSCDA Grants'!E:E)</f>
        <v>Los Angeles</v>
      </c>
      <c r="C39" s="6" t="str">
        <f t="array" ref="C39">_xlfn.XLOOKUP(
  A39,
  'CMFA-CSCDA Grants'!A:A,
'CMFA-CSCDA Grants'!B:B)</f>
        <v>Santa Monica Portfolio F Apartments</v>
      </c>
      <c r="D39" s="12">
        <v>4.275024015E9</v>
      </c>
      <c r="F39" s="6" t="b">
        <v>0</v>
      </c>
      <c r="G39" s="6" t="s">
        <v>528</v>
      </c>
      <c r="H39" s="6" t="s">
        <v>529</v>
      </c>
      <c r="I39" s="6" t="s">
        <v>449</v>
      </c>
      <c r="J39" s="6" t="s">
        <v>530</v>
      </c>
      <c r="K39" s="6" t="s">
        <v>523</v>
      </c>
      <c r="L39" s="6" t="s">
        <v>524</v>
      </c>
      <c r="N39" s="6" t="s">
        <v>453</v>
      </c>
      <c r="O39" s="6" t="s">
        <v>110</v>
      </c>
      <c r="P39" s="6" t="s">
        <v>112</v>
      </c>
      <c r="Q39" s="6">
        <v>500.0</v>
      </c>
      <c r="R39" s="6">
        <v>2009.0</v>
      </c>
      <c r="S39" s="6">
        <v>29.0</v>
      </c>
      <c r="T39" s="6">
        <v>0.0</v>
      </c>
      <c r="U39" s="6">
        <v>29.0</v>
      </c>
      <c r="V39" s="6">
        <v>13940.0</v>
      </c>
      <c r="W39" s="6">
        <v>2025.0</v>
      </c>
      <c r="X39" s="18">
        <v>5418000.0</v>
      </c>
      <c r="Y39" s="18">
        <v>1.4942E7</v>
      </c>
      <c r="Z39" s="18">
        <f t="shared" si="4"/>
        <v>20360000</v>
      </c>
      <c r="AA39" s="6">
        <v>2025.0</v>
      </c>
      <c r="AB39" s="6">
        <v>2025.0</v>
      </c>
      <c r="AC39" s="18">
        <v>1.3362409E7</v>
      </c>
      <c r="AD39" s="12">
        <v>8004.0</v>
      </c>
      <c r="AE39" s="6" t="s">
        <v>454</v>
      </c>
      <c r="AF39" s="6">
        <v>34.02523075</v>
      </c>
      <c r="AG39" s="6">
        <v>-118.47475525</v>
      </c>
      <c r="AH39" s="6" t="s">
        <v>531</v>
      </c>
      <c r="AI39" s="6" t="s">
        <v>456</v>
      </c>
      <c r="AJ39" s="16">
        <f t="array" ref="AJ39">_xlfn.XLOOKUP(
  A39,
  'CMFA-CSCDA Grants'!A:A,
'CMFA-CSCDA Grants'!O:O)</f>
        <v>165</v>
      </c>
      <c r="AK39" s="16">
        <f t="array" ref="AK39">_xlfn.XLOOKUP(
  A39,
  'CMFA-CSCDA Grants'!A:A,
'CMFA-CSCDA Grants'!P:P)</f>
        <v>98</v>
      </c>
      <c r="AL39" s="8">
        <f t="array" ref="AL39">_xlfn.XLOOKUP(
  AD39,
  'Tax Rates'!A:A,
'Tax Rates'!B:B)</f>
        <v>0.01203757</v>
      </c>
    </row>
    <row r="40">
      <c r="A40" s="12">
        <v>33.0</v>
      </c>
      <c r="B40" s="6" t="str">
        <f t="array" ref="B40">_xlfn.XLOOKUP(
  A40,
  'CMFA-CSCDA Grants'!A:A,
'CMFA-CSCDA Grants'!E:E)</f>
        <v>Los Angeles</v>
      </c>
      <c r="C40" s="6" t="str">
        <f t="array" ref="C40">_xlfn.XLOOKUP(
  A40,
  'CMFA-CSCDA Grants'!A:A,
'CMFA-CSCDA Grants'!B:B)</f>
        <v>7524 S. Hoover St. Apartments</v>
      </c>
      <c r="D40" s="12">
        <v>6.020022027E9</v>
      </c>
      <c r="E40" s="6">
        <v>6.020022025E9</v>
      </c>
      <c r="F40" s="6" t="b">
        <v>1</v>
      </c>
      <c r="G40" s="6" t="s">
        <v>246</v>
      </c>
      <c r="H40" s="6" t="s">
        <v>247</v>
      </c>
      <c r="I40" s="6" t="s">
        <v>105</v>
      </c>
      <c r="K40" s="6" t="s">
        <v>532</v>
      </c>
      <c r="L40" s="6" t="s">
        <v>533</v>
      </c>
      <c r="N40" s="6" t="s">
        <v>204</v>
      </c>
      <c r="O40" s="6" t="s">
        <v>534</v>
      </c>
      <c r="P40" s="6" t="s">
        <v>112</v>
      </c>
      <c r="W40" s="6">
        <v>2025.0</v>
      </c>
      <c r="X40" s="18">
        <v>0.0</v>
      </c>
      <c r="Y40" s="18">
        <v>0.0</v>
      </c>
      <c r="Z40" s="18">
        <f t="shared" si="4"/>
        <v>0</v>
      </c>
      <c r="AA40" s="6">
        <v>2024.0</v>
      </c>
      <c r="AB40" s="6">
        <v>2024.0</v>
      </c>
      <c r="AC40" s="18">
        <v>0.0</v>
      </c>
      <c r="AD40" s="12">
        <v>212.0</v>
      </c>
      <c r="AE40" s="6" t="s">
        <v>115</v>
      </c>
      <c r="AF40" s="6">
        <v>33.97101635</v>
      </c>
      <c r="AG40" s="6">
        <v>-118.28678824</v>
      </c>
      <c r="AI40" s="6" t="s">
        <v>535</v>
      </c>
      <c r="AJ40" s="16">
        <f t="array" ref="AJ40">_xlfn.XLOOKUP(
  A40,
  'CMFA-CSCDA Grants'!A:A,
'CMFA-CSCDA Grants'!O:O)</f>
        <v>79</v>
      </c>
      <c r="AK40" s="16">
        <f t="array" ref="AK40">_xlfn.XLOOKUP(
  A40,
  'CMFA-CSCDA Grants'!A:A,
'CMFA-CSCDA Grants'!P:P)</f>
        <v>48</v>
      </c>
      <c r="AL40" s="8">
        <f t="array" ref="AL40">_xlfn.XLOOKUP(
  AD40,
  'Tax Rates'!A:A,
'Tax Rates'!B:B)</f>
        <v>0.0118738</v>
      </c>
    </row>
    <row r="41">
      <c r="A41" s="22">
        <v>34.0</v>
      </c>
      <c r="B41" s="6" t="str">
        <f t="array" ref="B41">_xlfn.XLOOKUP(
  A41,
  'CMFA-CSCDA Grants'!A:A,
'CMFA-CSCDA Grants'!E:E)</f>
        <v>Contra Costa</v>
      </c>
      <c r="C41" s="6" t="str">
        <f t="array" ref="C41">_xlfn.XLOOKUP(
  A41,
  'CMFA-CSCDA Grants'!A:A,
'CMFA-CSCDA Grants'!B:B)</f>
        <v>Appian Terrace Apartments</v>
      </c>
      <c r="D41" s="24" t="s">
        <v>536</v>
      </c>
      <c r="F41" s="6" t="b">
        <v>0</v>
      </c>
      <c r="H41" s="6" t="s">
        <v>537</v>
      </c>
      <c r="X41" s="18" t="s">
        <v>146</v>
      </c>
      <c r="Y41" s="18" t="s">
        <v>146</v>
      </c>
      <c r="Z41" s="18">
        <v>9977564.0</v>
      </c>
      <c r="AC41" s="18">
        <v>0.0</v>
      </c>
      <c r="AD41" s="12" t="s">
        <v>366</v>
      </c>
      <c r="AJ41" s="16">
        <f t="array" ref="AJ41">_xlfn.XLOOKUP(
  A41,
  'CMFA-CSCDA Grants'!A:A,
'CMFA-CSCDA Grants'!O:O)</f>
        <v>41</v>
      </c>
      <c r="AK41" s="16">
        <f t="array" ref="AK41">_xlfn.XLOOKUP(
  A41,
  'CMFA-CSCDA Grants'!A:A,
'CMFA-CSCDA Grants'!P:P)</f>
        <v>41</v>
      </c>
      <c r="AL41" s="10">
        <f t="array" ref="AL41">_xlfn.XLOOKUP(
  AD41,
  'Tax Rates'!A:A,
'Tax Rates'!B:B)</f>
        <v>0.012792</v>
      </c>
    </row>
    <row r="42">
      <c r="A42" s="22">
        <v>35.0</v>
      </c>
      <c r="B42" s="6" t="str">
        <f t="array" ref="B42">_xlfn.XLOOKUP(
  A42,
  'CMFA-CSCDA Grants'!A:A,
'CMFA-CSCDA Grants'!E:E)</f>
        <v>Sacramento</v>
      </c>
      <c r="C42" s="6" t="str">
        <f t="array" ref="C42">_xlfn.XLOOKUP(
  A42,
  'CMFA-CSCDA Grants'!A:A,
'CMFA-CSCDA Grants'!B:B)</f>
        <v>Sierra Park Apartments</v>
      </c>
      <c r="D42" s="24" t="s">
        <v>542</v>
      </c>
      <c r="F42" s="6" t="b">
        <v>0</v>
      </c>
      <c r="G42" s="6" t="s">
        <v>543</v>
      </c>
      <c r="H42" s="6" t="s">
        <v>544</v>
      </c>
      <c r="K42" s="6" t="s">
        <v>545</v>
      </c>
      <c r="X42" s="18">
        <v>2913120.0</v>
      </c>
      <c r="Y42" s="18">
        <v>2.273378E7</v>
      </c>
      <c r="Z42" s="18">
        <f>sum(X42,Y42)</f>
        <v>25646900</v>
      </c>
      <c r="AC42" s="18">
        <v>2.3179668E7</v>
      </c>
      <c r="AD42" s="12" t="s">
        <v>356</v>
      </c>
      <c r="AJ42" s="16">
        <f t="array" ref="AJ42">_xlfn.XLOOKUP(
  A42,
  'CMFA-CSCDA Grants'!A:A,
'CMFA-CSCDA Grants'!O:O)</f>
        <v>104</v>
      </c>
      <c r="AK42" s="16">
        <f t="array" ref="AK42">_xlfn.XLOOKUP(
  A42,
  'CMFA-CSCDA Grants'!A:A,
'CMFA-CSCDA Grants'!P:P)</f>
        <v>104</v>
      </c>
      <c r="AL42" s="10">
        <f t="array" ref="AL42">_xlfn.XLOOKUP(
  AD42,
  'Tax Rates'!A:A,
'Tax Rates'!B:B)</f>
        <v>0.011785</v>
      </c>
    </row>
    <row r="43">
      <c r="A43" s="12">
        <v>36.0</v>
      </c>
      <c r="B43" s="6" t="str">
        <f t="array" ref="B43">_xlfn.XLOOKUP(
  A43,
  'CMFA-CSCDA Grants'!A:A,
'CMFA-CSCDA Grants'!E:E)</f>
        <v>Los Angeles</v>
      </c>
      <c r="C43" s="6" t="str">
        <f t="array" ref="C43">_xlfn.XLOOKUP(
  A43,
  'CMFA-CSCDA Grants'!A:A,
'CMFA-CSCDA Grants'!B:B)</f>
        <v>Stadium Village Apartments</v>
      </c>
      <c r="D43" s="12">
        <v>4.025014001E9</v>
      </c>
      <c r="F43" s="6" t="b">
        <v>0</v>
      </c>
      <c r="G43" s="6" t="s">
        <v>546</v>
      </c>
      <c r="H43" s="6" t="s">
        <v>547</v>
      </c>
      <c r="I43" s="6" t="s">
        <v>548</v>
      </c>
      <c r="J43" s="6" t="s">
        <v>549</v>
      </c>
      <c r="K43" s="6" t="s">
        <v>550</v>
      </c>
      <c r="L43" s="6" t="s">
        <v>551</v>
      </c>
      <c r="N43" s="6" t="s">
        <v>453</v>
      </c>
      <c r="O43" s="6" t="s">
        <v>552</v>
      </c>
      <c r="P43" s="6" t="s">
        <v>112</v>
      </c>
      <c r="Q43" s="6">
        <v>400.0</v>
      </c>
      <c r="R43" s="6">
        <v>1955.0</v>
      </c>
      <c r="S43" s="6">
        <v>4.0</v>
      </c>
      <c r="T43" s="6">
        <v>8.0</v>
      </c>
      <c r="U43" s="6">
        <v>4.0</v>
      </c>
      <c r="V43" s="6">
        <v>4073.0</v>
      </c>
      <c r="W43" s="6">
        <v>2025.0</v>
      </c>
      <c r="X43" s="18">
        <v>770000.0</v>
      </c>
      <c r="Y43" s="18">
        <v>575000.0</v>
      </c>
      <c r="Z43" s="18">
        <f t="shared" ref="Z43:Z68" si="5">SUM(X43:Y43)</f>
        <v>1345000</v>
      </c>
      <c r="AA43" s="6">
        <v>2025.0</v>
      </c>
      <c r="AB43" s="6">
        <v>2025.0</v>
      </c>
      <c r="AC43" s="18">
        <v>0.0</v>
      </c>
      <c r="AD43" s="12">
        <v>4569.0</v>
      </c>
      <c r="AE43" s="6" t="s">
        <v>553</v>
      </c>
      <c r="AF43" s="6">
        <v>33.9521166</v>
      </c>
      <c r="AG43" s="6">
        <v>-118.32697547</v>
      </c>
      <c r="AH43" s="6" t="s">
        <v>554</v>
      </c>
      <c r="AI43" s="6" t="s">
        <v>555</v>
      </c>
      <c r="AJ43" s="16">
        <f t="array" ref="AJ43">_xlfn.XLOOKUP(
  A43,
  'CMFA-CSCDA Grants'!A:A,
'CMFA-CSCDA Grants'!O:O)</f>
        <v>80</v>
      </c>
      <c r="AK43" s="16">
        <f t="array" ref="AK43">_xlfn.XLOOKUP(
  A43,
  'CMFA-CSCDA Grants'!A:A,
'CMFA-CSCDA Grants'!P:P)</f>
        <v>80</v>
      </c>
      <c r="AL43" s="8">
        <f t="array" ref="AL43">_xlfn.XLOOKUP(
  AD43,
  'Tax Rates'!A:A,
'Tax Rates'!B:B)</f>
        <v>0.01280765</v>
      </c>
    </row>
    <row r="44">
      <c r="A44" s="12">
        <v>36.0</v>
      </c>
      <c r="B44" s="6" t="str">
        <f t="array" ref="B44">_xlfn.XLOOKUP(
  A44,
  'CMFA-CSCDA Grants'!A:A,
'CMFA-CSCDA Grants'!E:E)</f>
        <v>Los Angeles</v>
      </c>
      <c r="C44" s="6" t="str">
        <f t="array" ref="C44">_xlfn.XLOOKUP(
  A44,
  'CMFA-CSCDA Grants'!A:A,
'CMFA-CSCDA Grants'!B:B)</f>
        <v>Stadium Village Apartments</v>
      </c>
      <c r="D44" s="12">
        <v>4.025014002E9</v>
      </c>
      <c r="F44" s="6" t="b">
        <v>0</v>
      </c>
      <c r="G44" s="6" t="s">
        <v>562</v>
      </c>
      <c r="H44" s="6" t="s">
        <v>563</v>
      </c>
      <c r="I44" s="6" t="s">
        <v>548</v>
      </c>
      <c r="J44" s="6" t="s">
        <v>564</v>
      </c>
      <c r="K44" s="6" t="s">
        <v>550</v>
      </c>
      <c r="L44" s="6" t="s">
        <v>551</v>
      </c>
      <c r="N44" s="6" t="s">
        <v>453</v>
      </c>
      <c r="O44" s="6" t="s">
        <v>552</v>
      </c>
      <c r="P44" s="6" t="s">
        <v>112</v>
      </c>
      <c r="Q44" s="6">
        <v>400.0</v>
      </c>
      <c r="R44" s="6">
        <v>1955.0</v>
      </c>
      <c r="S44" s="6">
        <v>4.0</v>
      </c>
      <c r="T44" s="6">
        <v>8.0</v>
      </c>
      <c r="U44" s="6">
        <v>4.0</v>
      </c>
      <c r="V44" s="6">
        <v>4072.0</v>
      </c>
      <c r="W44" s="6">
        <v>2025.0</v>
      </c>
      <c r="X44" s="18">
        <v>770000.0</v>
      </c>
      <c r="Y44" s="18">
        <v>575000.0</v>
      </c>
      <c r="Z44" s="18">
        <f t="shared" si="5"/>
        <v>1345000</v>
      </c>
      <c r="AA44" s="6">
        <v>2025.0</v>
      </c>
      <c r="AB44" s="6">
        <v>2025.0</v>
      </c>
      <c r="AC44" s="18">
        <v>0.0</v>
      </c>
      <c r="AD44" s="12">
        <v>4569.0</v>
      </c>
      <c r="AE44" s="6" t="s">
        <v>553</v>
      </c>
      <c r="AF44" s="6">
        <v>33.95194519</v>
      </c>
      <c r="AG44" s="6">
        <v>-118.32697407</v>
      </c>
      <c r="AH44" s="6" t="s">
        <v>565</v>
      </c>
      <c r="AI44" s="6" t="s">
        <v>555</v>
      </c>
      <c r="AJ44" s="16">
        <f t="array" ref="AJ44">_xlfn.XLOOKUP(
  A44,
  'CMFA-CSCDA Grants'!A:A,
'CMFA-CSCDA Grants'!O:O)</f>
        <v>80</v>
      </c>
      <c r="AK44" s="16">
        <f t="array" ref="AK44">_xlfn.XLOOKUP(
  A44,
  'CMFA-CSCDA Grants'!A:A,
'CMFA-CSCDA Grants'!P:P)</f>
        <v>80</v>
      </c>
      <c r="AL44" s="8">
        <f t="array" ref="AL44">_xlfn.XLOOKUP(
  AD44,
  'Tax Rates'!A:A,
'Tax Rates'!B:B)</f>
        <v>0.01280765</v>
      </c>
    </row>
    <row r="45">
      <c r="A45" s="12">
        <v>36.0</v>
      </c>
      <c r="B45" s="6" t="str">
        <f t="array" ref="B45">_xlfn.XLOOKUP(
  A45,
  'CMFA-CSCDA Grants'!A:A,
'CMFA-CSCDA Grants'!E:E)</f>
        <v>Los Angeles</v>
      </c>
      <c r="C45" s="6" t="str">
        <f t="array" ref="C45">_xlfn.XLOOKUP(
  A45,
  'CMFA-CSCDA Grants'!A:A,
'CMFA-CSCDA Grants'!B:B)</f>
        <v>Stadium Village Apartments</v>
      </c>
      <c r="D45" s="12">
        <v>4.025014003E9</v>
      </c>
      <c r="F45" s="6" t="b">
        <v>0</v>
      </c>
      <c r="G45" s="6" t="s">
        <v>566</v>
      </c>
      <c r="H45" s="6" t="s">
        <v>567</v>
      </c>
      <c r="I45" s="6" t="s">
        <v>548</v>
      </c>
      <c r="J45" s="6" t="s">
        <v>568</v>
      </c>
      <c r="K45" s="6" t="s">
        <v>550</v>
      </c>
      <c r="L45" s="6" t="s">
        <v>551</v>
      </c>
      <c r="N45" s="6" t="s">
        <v>453</v>
      </c>
      <c r="O45" s="6" t="s">
        <v>552</v>
      </c>
      <c r="P45" s="6" t="s">
        <v>112</v>
      </c>
      <c r="Q45" s="6">
        <v>400.0</v>
      </c>
      <c r="R45" s="6">
        <v>1955.0</v>
      </c>
      <c r="S45" s="6">
        <v>4.0</v>
      </c>
      <c r="T45" s="6">
        <v>8.0</v>
      </c>
      <c r="U45" s="6">
        <v>4.0</v>
      </c>
      <c r="V45" s="6">
        <v>4072.0</v>
      </c>
      <c r="W45" s="6">
        <v>2025.0</v>
      </c>
      <c r="X45" s="18">
        <v>770000.0</v>
      </c>
      <c r="Y45" s="18">
        <v>575000.0</v>
      </c>
      <c r="Z45" s="18">
        <f t="shared" si="5"/>
        <v>1345000</v>
      </c>
      <c r="AA45" s="6">
        <v>2025.0</v>
      </c>
      <c r="AB45" s="6">
        <v>2025.0</v>
      </c>
      <c r="AC45" s="18">
        <v>0.0</v>
      </c>
      <c r="AD45" s="12">
        <v>4569.0</v>
      </c>
      <c r="AE45" s="6" t="s">
        <v>553</v>
      </c>
      <c r="AF45" s="6">
        <v>33.95178025</v>
      </c>
      <c r="AG45" s="6">
        <v>-118.32697379</v>
      </c>
      <c r="AH45" s="6" t="s">
        <v>572</v>
      </c>
      <c r="AI45" s="6" t="s">
        <v>555</v>
      </c>
      <c r="AJ45" s="16">
        <f t="array" ref="AJ45">_xlfn.XLOOKUP(
  A45,
  'CMFA-CSCDA Grants'!A:A,
'CMFA-CSCDA Grants'!O:O)</f>
        <v>80</v>
      </c>
      <c r="AK45" s="16">
        <f t="array" ref="AK45">_xlfn.XLOOKUP(
  A45,
  'CMFA-CSCDA Grants'!A:A,
'CMFA-CSCDA Grants'!P:P)</f>
        <v>80</v>
      </c>
      <c r="AL45" s="8">
        <f t="array" ref="AL45">_xlfn.XLOOKUP(
  AD45,
  'Tax Rates'!A:A,
'Tax Rates'!B:B)</f>
        <v>0.01280765</v>
      </c>
    </row>
    <row r="46">
      <c r="A46" s="12">
        <v>36.0</v>
      </c>
      <c r="B46" s="6" t="str">
        <f t="array" ref="B46">_xlfn.XLOOKUP(
  A46,
  'CMFA-CSCDA Grants'!A:A,
'CMFA-CSCDA Grants'!E:E)</f>
        <v>Los Angeles</v>
      </c>
      <c r="C46" s="6" t="str">
        <f t="array" ref="C46">_xlfn.XLOOKUP(
  A46,
  'CMFA-CSCDA Grants'!A:A,
'CMFA-CSCDA Grants'!B:B)</f>
        <v>Stadium Village Apartments</v>
      </c>
      <c r="D46" s="12">
        <v>4.025014004E9</v>
      </c>
      <c r="F46" s="6" t="b">
        <v>0</v>
      </c>
      <c r="G46" s="6" t="s">
        <v>576</v>
      </c>
      <c r="H46" s="6" t="s">
        <v>577</v>
      </c>
      <c r="I46" s="6" t="s">
        <v>548</v>
      </c>
      <c r="J46" s="6" t="s">
        <v>578</v>
      </c>
      <c r="K46" s="6" t="s">
        <v>550</v>
      </c>
      <c r="L46" s="6" t="s">
        <v>551</v>
      </c>
      <c r="N46" s="6" t="s">
        <v>453</v>
      </c>
      <c r="O46" s="6" t="s">
        <v>552</v>
      </c>
      <c r="P46" s="6" t="s">
        <v>112</v>
      </c>
      <c r="Q46" s="6">
        <v>400.0</v>
      </c>
      <c r="R46" s="6">
        <v>1955.0</v>
      </c>
      <c r="S46" s="6">
        <v>4.0</v>
      </c>
      <c r="T46" s="6">
        <v>8.0</v>
      </c>
      <c r="U46" s="6">
        <v>4.0</v>
      </c>
      <c r="V46" s="6">
        <v>4073.0</v>
      </c>
      <c r="W46" s="6">
        <v>2025.0</v>
      </c>
      <c r="X46" s="18">
        <v>770000.0</v>
      </c>
      <c r="Y46" s="18">
        <v>575000.0</v>
      </c>
      <c r="Z46" s="18">
        <f t="shared" si="5"/>
        <v>1345000</v>
      </c>
      <c r="AA46" s="6">
        <v>2025.0</v>
      </c>
      <c r="AB46" s="6">
        <v>2025.0</v>
      </c>
      <c r="AC46" s="18">
        <v>0.0</v>
      </c>
      <c r="AD46" s="12">
        <v>4569.0</v>
      </c>
      <c r="AE46" s="6" t="s">
        <v>553</v>
      </c>
      <c r="AF46" s="6">
        <v>33.95161543</v>
      </c>
      <c r="AG46" s="6">
        <v>-118.32697355</v>
      </c>
      <c r="AH46" s="6" t="s">
        <v>579</v>
      </c>
      <c r="AI46" s="6" t="s">
        <v>555</v>
      </c>
      <c r="AJ46" s="16">
        <f t="array" ref="AJ46">_xlfn.XLOOKUP(
  A46,
  'CMFA-CSCDA Grants'!A:A,
'CMFA-CSCDA Grants'!O:O)</f>
        <v>80</v>
      </c>
      <c r="AK46" s="16">
        <f t="array" ref="AK46">_xlfn.XLOOKUP(
  A46,
  'CMFA-CSCDA Grants'!A:A,
'CMFA-CSCDA Grants'!P:P)</f>
        <v>80</v>
      </c>
      <c r="AL46" s="8">
        <f t="array" ref="AL46">_xlfn.XLOOKUP(
  AD46,
  'Tax Rates'!A:A,
'Tax Rates'!B:B)</f>
        <v>0.01280765</v>
      </c>
    </row>
    <row r="47">
      <c r="A47" s="12">
        <v>36.0</v>
      </c>
      <c r="B47" s="6" t="str">
        <f t="array" ref="B47">_xlfn.XLOOKUP(
  A47,
  'CMFA-CSCDA Grants'!A:A,
'CMFA-CSCDA Grants'!E:E)</f>
        <v>Los Angeles</v>
      </c>
      <c r="C47" s="6" t="str">
        <f t="array" ref="C47">_xlfn.XLOOKUP(
  A47,
  'CMFA-CSCDA Grants'!A:A,
'CMFA-CSCDA Grants'!B:B)</f>
        <v>Stadium Village Apartments</v>
      </c>
      <c r="D47" s="12">
        <v>4.025014005E9</v>
      </c>
      <c r="F47" s="6" t="b">
        <v>0</v>
      </c>
      <c r="G47" s="6" t="s">
        <v>580</v>
      </c>
      <c r="H47" s="6" t="s">
        <v>581</v>
      </c>
      <c r="I47" s="6" t="s">
        <v>548</v>
      </c>
      <c r="J47" s="6" t="s">
        <v>582</v>
      </c>
      <c r="K47" s="6" t="s">
        <v>550</v>
      </c>
      <c r="L47" s="6" t="s">
        <v>551</v>
      </c>
      <c r="N47" s="6" t="s">
        <v>453</v>
      </c>
      <c r="O47" s="6" t="s">
        <v>552</v>
      </c>
      <c r="P47" s="6" t="s">
        <v>112</v>
      </c>
      <c r="Q47" s="6">
        <v>400.0</v>
      </c>
      <c r="R47" s="6">
        <v>1955.0</v>
      </c>
      <c r="S47" s="6">
        <v>4.0</v>
      </c>
      <c r="T47" s="6">
        <v>8.0</v>
      </c>
      <c r="U47" s="6">
        <v>4.0</v>
      </c>
      <c r="V47" s="6">
        <v>4038.0</v>
      </c>
      <c r="W47" s="6">
        <v>2025.0</v>
      </c>
      <c r="X47" s="18">
        <v>770000.0</v>
      </c>
      <c r="Y47" s="18">
        <v>575000.0</v>
      </c>
      <c r="Z47" s="18">
        <f t="shared" si="5"/>
        <v>1345000</v>
      </c>
      <c r="AA47" s="6">
        <v>2025.0</v>
      </c>
      <c r="AB47" s="6">
        <v>2025.0</v>
      </c>
      <c r="AC47" s="18">
        <v>0.0</v>
      </c>
      <c r="AD47" s="12">
        <v>4569.0</v>
      </c>
      <c r="AE47" s="6" t="s">
        <v>553</v>
      </c>
      <c r="AF47" s="6">
        <v>33.95145055</v>
      </c>
      <c r="AG47" s="6">
        <v>-118.32697342</v>
      </c>
      <c r="AH47" s="6" t="s">
        <v>585</v>
      </c>
      <c r="AI47" s="6" t="s">
        <v>555</v>
      </c>
      <c r="AJ47" s="16">
        <f t="array" ref="AJ47">_xlfn.XLOOKUP(
  A47,
  'CMFA-CSCDA Grants'!A:A,
'CMFA-CSCDA Grants'!O:O)</f>
        <v>80</v>
      </c>
      <c r="AK47" s="16">
        <f t="array" ref="AK47">_xlfn.XLOOKUP(
  A47,
  'CMFA-CSCDA Grants'!A:A,
'CMFA-CSCDA Grants'!P:P)</f>
        <v>80</v>
      </c>
      <c r="AL47" s="8">
        <f t="array" ref="AL47">_xlfn.XLOOKUP(
  AD47,
  'Tax Rates'!A:A,
'Tax Rates'!B:B)</f>
        <v>0.01280765</v>
      </c>
    </row>
    <row r="48">
      <c r="A48" s="12">
        <v>36.0</v>
      </c>
      <c r="B48" s="6" t="str">
        <f t="array" ref="B48">_xlfn.XLOOKUP(
  A48,
  'CMFA-CSCDA Grants'!A:A,
'CMFA-CSCDA Grants'!E:E)</f>
        <v>Los Angeles</v>
      </c>
      <c r="C48" s="6" t="str">
        <f t="array" ref="C48">_xlfn.XLOOKUP(
  A48,
  'CMFA-CSCDA Grants'!A:A,
'CMFA-CSCDA Grants'!B:B)</f>
        <v>Stadium Village Apartments</v>
      </c>
      <c r="D48" s="12">
        <v>4.025014006E9</v>
      </c>
      <c r="F48" s="6" t="b">
        <v>0</v>
      </c>
      <c r="G48" s="6" t="s">
        <v>588</v>
      </c>
      <c r="H48" s="6" t="s">
        <v>589</v>
      </c>
      <c r="I48" s="6" t="s">
        <v>548</v>
      </c>
      <c r="J48" s="6" t="s">
        <v>590</v>
      </c>
      <c r="K48" s="6" t="s">
        <v>550</v>
      </c>
      <c r="L48" s="6" t="s">
        <v>551</v>
      </c>
      <c r="N48" s="6" t="s">
        <v>453</v>
      </c>
      <c r="O48" s="6" t="s">
        <v>552</v>
      </c>
      <c r="P48" s="6" t="s">
        <v>112</v>
      </c>
      <c r="Q48" s="6">
        <v>400.0</v>
      </c>
      <c r="R48" s="6">
        <v>1955.0</v>
      </c>
      <c r="S48" s="6">
        <v>4.0</v>
      </c>
      <c r="T48" s="6">
        <v>8.0</v>
      </c>
      <c r="U48" s="6">
        <v>4.0</v>
      </c>
      <c r="V48" s="6">
        <v>4038.0</v>
      </c>
      <c r="W48" s="6">
        <v>2025.0</v>
      </c>
      <c r="X48" s="18">
        <v>770000.0</v>
      </c>
      <c r="Y48" s="18">
        <v>575000.0</v>
      </c>
      <c r="Z48" s="18">
        <f t="shared" si="5"/>
        <v>1345000</v>
      </c>
      <c r="AA48" s="6">
        <v>2025.0</v>
      </c>
      <c r="AB48" s="6">
        <v>2025.0</v>
      </c>
      <c r="AC48" s="18">
        <v>0.0</v>
      </c>
      <c r="AD48" s="12">
        <v>4569.0</v>
      </c>
      <c r="AE48" s="6" t="s">
        <v>553</v>
      </c>
      <c r="AF48" s="6">
        <v>33.95128566</v>
      </c>
      <c r="AG48" s="6">
        <v>-118.3269731</v>
      </c>
      <c r="AH48" s="6" t="s">
        <v>591</v>
      </c>
      <c r="AI48" s="6" t="s">
        <v>555</v>
      </c>
      <c r="AJ48" s="16">
        <f t="array" ref="AJ48">_xlfn.XLOOKUP(
  A48,
  'CMFA-CSCDA Grants'!A:A,
'CMFA-CSCDA Grants'!O:O)</f>
        <v>80</v>
      </c>
      <c r="AK48" s="16">
        <f t="array" ref="AK48">_xlfn.XLOOKUP(
  A48,
  'CMFA-CSCDA Grants'!A:A,
'CMFA-CSCDA Grants'!P:P)</f>
        <v>80</v>
      </c>
      <c r="AL48" s="8">
        <f t="array" ref="AL48">_xlfn.XLOOKUP(
  AD48,
  'Tax Rates'!A:A,
'Tax Rates'!B:B)</f>
        <v>0.01280765</v>
      </c>
    </row>
    <row r="49">
      <c r="A49" s="12">
        <v>36.0</v>
      </c>
      <c r="B49" s="6" t="str">
        <f t="array" ref="B49">_xlfn.XLOOKUP(
  A49,
  'CMFA-CSCDA Grants'!A:A,
'CMFA-CSCDA Grants'!E:E)</f>
        <v>Los Angeles</v>
      </c>
      <c r="C49" s="6" t="str">
        <f t="array" ref="C49">_xlfn.XLOOKUP(
  A49,
  'CMFA-CSCDA Grants'!A:A,
'CMFA-CSCDA Grants'!B:B)</f>
        <v>Stadium Village Apartments</v>
      </c>
      <c r="D49" s="12">
        <v>4.025014007E9</v>
      </c>
      <c r="F49" s="6" t="b">
        <v>0</v>
      </c>
      <c r="G49" s="6" t="s">
        <v>593</v>
      </c>
      <c r="H49" s="6" t="s">
        <v>594</v>
      </c>
      <c r="I49" s="6" t="s">
        <v>548</v>
      </c>
      <c r="J49" s="6" t="s">
        <v>595</v>
      </c>
      <c r="K49" s="6" t="s">
        <v>550</v>
      </c>
      <c r="L49" s="6" t="s">
        <v>551</v>
      </c>
      <c r="N49" s="6" t="s">
        <v>453</v>
      </c>
      <c r="O49" s="6" t="s">
        <v>552</v>
      </c>
      <c r="P49" s="6" t="s">
        <v>112</v>
      </c>
      <c r="Q49" s="6">
        <v>400.0</v>
      </c>
      <c r="R49" s="6">
        <v>1955.0</v>
      </c>
      <c r="S49" s="6">
        <v>4.0</v>
      </c>
      <c r="T49" s="6">
        <v>8.0</v>
      </c>
      <c r="U49" s="6">
        <v>4.0</v>
      </c>
      <c r="V49" s="6">
        <v>4073.0</v>
      </c>
      <c r="W49" s="6">
        <v>2025.0</v>
      </c>
      <c r="X49" s="18">
        <v>770000.0</v>
      </c>
      <c r="Y49" s="18">
        <v>575000.0</v>
      </c>
      <c r="Z49" s="18">
        <f t="shared" si="5"/>
        <v>1345000</v>
      </c>
      <c r="AA49" s="6">
        <v>2025.0</v>
      </c>
      <c r="AB49" s="6">
        <v>2025.0</v>
      </c>
      <c r="AC49" s="18">
        <v>0.0</v>
      </c>
      <c r="AD49" s="12">
        <v>4569.0</v>
      </c>
      <c r="AE49" s="6" t="s">
        <v>553</v>
      </c>
      <c r="AF49" s="6">
        <v>33.95112078</v>
      </c>
      <c r="AG49" s="6">
        <v>-118.32697297</v>
      </c>
      <c r="AH49" s="6" t="s">
        <v>596</v>
      </c>
      <c r="AI49" s="6" t="s">
        <v>555</v>
      </c>
      <c r="AJ49" s="16">
        <f t="array" ref="AJ49">_xlfn.XLOOKUP(
  A49,
  'CMFA-CSCDA Grants'!A:A,
'CMFA-CSCDA Grants'!O:O)</f>
        <v>80</v>
      </c>
      <c r="AK49" s="16">
        <f t="array" ref="AK49">_xlfn.XLOOKUP(
  A49,
  'CMFA-CSCDA Grants'!A:A,
'CMFA-CSCDA Grants'!P:P)</f>
        <v>80</v>
      </c>
      <c r="AL49" s="8">
        <f t="array" ref="AL49">_xlfn.XLOOKUP(
  AD49,
  'Tax Rates'!A:A,
'Tax Rates'!B:B)</f>
        <v>0.01280765</v>
      </c>
    </row>
    <row r="50">
      <c r="A50" s="12">
        <v>36.0</v>
      </c>
      <c r="B50" s="6" t="str">
        <f t="array" ref="B50">_xlfn.XLOOKUP(
  A50,
  'CMFA-CSCDA Grants'!A:A,
'CMFA-CSCDA Grants'!E:E)</f>
        <v>Los Angeles</v>
      </c>
      <c r="C50" s="6" t="str">
        <f t="array" ref="C50">_xlfn.XLOOKUP(
  A50,
  'CMFA-CSCDA Grants'!A:A,
'CMFA-CSCDA Grants'!B:B)</f>
        <v>Stadium Village Apartments</v>
      </c>
      <c r="D50" s="12">
        <v>4.025014008E9</v>
      </c>
      <c r="F50" s="6" t="b">
        <v>0</v>
      </c>
      <c r="G50" s="6" t="s">
        <v>601</v>
      </c>
      <c r="H50" s="6" t="s">
        <v>602</v>
      </c>
      <c r="I50" s="6" t="s">
        <v>548</v>
      </c>
      <c r="J50" s="6" t="s">
        <v>603</v>
      </c>
      <c r="K50" s="6" t="s">
        <v>550</v>
      </c>
      <c r="L50" s="6" t="s">
        <v>551</v>
      </c>
      <c r="N50" s="6" t="s">
        <v>453</v>
      </c>
      <c r="O50" s="6" t="s">
        <v>552</v>
      </c>
      <c r="P50" s="6" t="s">
        <v>112</v>
      </c>
      <c r="Q50" s="6">
        <v>400.0</v>
      </c>
      <c r="R50" s="6">
        <v>1955.0</v>
      </c>
      <c r="S50" s="6">
        <v>4.0</v>
      </c>
      <c r="T50" s="6">
        <v>8.0</v>
      </c>
      <c r="U50" s="6">
        <v>4.0</v>
      </c>
      <c r="V50" s="6">
        <v>4073.0</v>
      </c>
      <c r="W50" s="6">
        <v>2025.0</v>
      </c>
      <c r="X50" s="18">
        <v>770000.0</v>
      </c>
      <c r="Y50" s="18">
        <v>575000.0</v>
      </c>
      <c r="Z50" s="18">
        <f t="shared" si="5"/>
        <v>1345000</v>
      </c>
      <c r="AA50" s="6">
        <v>2025.0</v>
      </c>
      <c r="AB50" s="6">
        <v>2025.0</v>
      </c>
      <c r="AC50" s="18">
        <v>0.0</v>
      </c>
      <c r="AD50" s="12">
        <v>4569.0</v>
      </c>
      <c r="AE50" s="6" t="s">
        <v>553</v>
      </c>
      <c r="AF50" s="6">
        <v>33.9509559</v>
      </c>
      <c r="AG50" s="6">
        <v>-118.32697268</v>
      </c>
      <c r="AH50" s="6" t="s">
        <v>604</v>
      </c>
      <c r="AI50" s="6" t="s">
        <v>555</v>
      </c>
      <c r="AJ50" s="16">
        <f t="array" ref="AJ50">_xlfn.XLOOKUP(
  A50,
  'CMFA-CSCDA Grants'!A:A,
'CMFA-CSCDA Grants'!O:O)</f>
        <v>80</v>
      </c>
      <c r="AK50" s="16">
        <f t="array" ref="AK50">_xlfn.XLOOKUP(
  A50,
  'CMFA-CSCDA Grants'!A:A,
'CMFA-CSCDA Grants'!P:P)</f>
        <v>80</v>
      </c>
      <c r="AL50" s="8">
        <f t="array" ref="AL50">_xlfn.XLOOKUP(
  AD50,
  'Tax Rates'!A:A,
'Tax Rates'!B:B)</f>
        <v>0.01280765</v>
      </c>
    </row>
    <row r="51">
      <c r="A51" s="12">
        <v>36.0</v>
      </c>
      <c r="B51" s="6" t="str">
        <f t="array" ref="B51">_xlfn.XLOOKUP(
  A51,
  'CMFA-CSCDA Grants'!A:A,
'CMFA-CSCDA Grants'!E:E)</f>
        <v>Los Angeles</v>
      </c>
      <c r="C51" s="6" t="str">
        <f t="array" ref="C51">_xlfn.XLOOKUP(
  A51,
  'CMFA-CSCDA Grants'!A:A,
'CMFA-CSCDA Grants'!B:B)</f>
        <v>Stadium Village Apartments</v>
      </c>
      <c r="D51" s="12">
        <v>4.025014009E9</v>
      </c>
      <c r="F51" s="6" t="b">
        <v>0</v>
      </c>
      <c r="G51" s="6" t="s">
        <v>630</v>
      </c>
      <c r="H51" s="6" t="s">
        <v>631</v>
      </c>
      <c r="I51" s="6" t="s">
        <v>548</v>
      </c>
      <c r="J51" s="6" t="s">
        <v>634</v>
      </c>
      <c r="K51" s="6" t="s">
        <v>550</v>
      </c>
      <c r="L51" s="6" t="s">
        <v>551</v>
      </c>
      <c r="N51" s="6" t="s">
        <v>453</v>
      </c>
      <c r="O51" s="6" t="s">
        <v>552</v>
      </c>
      <c r="P51" s="6" t="s">
        <v>112</v>
      </c>
      <c r="Q51" s="6">
        <v>400.0</v>
      </c>
      <c r="R51" s="6">
        <v>1955.0</v>
      </c>
      <c r="S51" s="6">
        <v>4.0</v>
      </c>
      <c r="T51" s="6">
        <v>8.0</v>
      </c>
      <c r="U51" s="6">
        <v>4.0</v>
      </c>
      <c r="V51" s="6">
        <v>4038.0</v>
      </c>
      <c r="W51" s="6">
        <v>2025.0</v>
      </c>
      <c r="X51" s="18">
        <v>770000.0</v>
      </c>
      <c r="Y51" s="18">
        <v>575000.0</v>
      </c>
      <c r="Z51" s="18">
        <f t="shared" si="5"/>
        <v>1345000</v>
      </c>
      <c r="AA51" s="6">
        <v>2025.0</v>
      </c>
      <c r="AB51" s="6">
        <v>2025.0</v>
      </c>
      <c r="AC51" s="18">
        <v>0.0</v>
      </c>
      <c r="AD51" s="12">
        <v>4569.0</v>
      </c>
      <c r="AE51" s="6" t="s">
        <v>553</v>
      </c>
      <c r="AF51" s="6">
        <v>33.95079106</v>
      </c>
      <c r="AG51" s="6">
        <v>-118.3269725</v>
      </c>
      <c r="AH51" s="6" t="s">
        <v>635</v>
      </c>
      <c r="AI51" s="6" t="s">
        <v>555</v>
      </c>
      <c r="AJ51" s="16">
        <f t="array" ref="AJ51">_xlfn.XLOOKUP(
  A51,
  'CMFA-CSCDA Grants'!A:A,
'CMFA-CSCDA Grants'!O:O)</f>
        <v>80</v>
      </c>
      <c r="AK51" s="16">
        <f t="array" ref="AK51">_xlfn.XLOOKUP(
  A51,
  'CMFA-CSCDA Grants'!A:A,
'CMFA-CSCDA Grants'!P:P)</f>
        <v>80</v>
      </c>
      <c r="AL51" s="8">
        <f t="array" ref="AL51">_xlfn.XLOOKUP(
  AD51,
  'Tax Rates'!A:A,
'Tax Rates'!B:B)</f>
        <v>0.01280765</v>
      </c>
    </row>
    <row r="52">
      <c r="A52" s="12">
        <v>36.0</v>
      </c>
      <c r="B52" s="6" t="str">
        <f t="array" ref="B52">_xlfn.XLOOKUP(
  A52,
  'CMFA-CSCDA Grants'!A:A,
'CMFA-CSCDA Grants'!E:E)</f>
        <v>Los Angeles</v>
      </c>
      <c r="C52" s="6" t="str">
        <f t="array" ref="C52">_xlfn.XLOOKUP(
  A52,
  'CMFA-CSCDA Grants'!A:A,
'CMFA-CSCDA Grants'!B:B)</f>
        <v>Stadium Village Apartments</v>
      </c>
      <c r="D52" s="12">
        <v>4.02501401E9</v>
      </c>
      <c r="F52" s="6" t="b">
        <v>0</v>
      </c>
      <c r="G52" s="6" t="s">
        <v>636</v>
      </c>
      <c r="H52" s="6" t="s">
        <v>637</v>
      </c>
      <c r="I52" s="6" t="s">
        <v>548</v>
      </c>
      <c r="J52" s="6" t="s">
        <v>638</v>
      </c>
      <c r="K52" s="6" t="s">
        <v>550</v>
      </c>
      <c r="L52" s="6" t="s">
        <v>551</v>
      </c>
      <c r="N52" s="6" t="s">
        <v>453</v>
      </c>
      <c r="O52" s="6" t="s">
        <v>552</v>
      </c>
      <c r="P52" s="6" t="s">
        <v>112</v>
      </c>
      <c r="Q52" s="6">
        <v>400.0</v>
      </c>
      <c r="R52" s="6">
        <v>1955.0</v>
      </c>
      <c r="S52" s="6">
        <v>4.0</v>
      </c>
      <c r="T52" s="6">
        <v>8.0</v>
      </c>
      <c r="U52" s="6">
        <v>4.0</v>
      </c>
      <c r="V52" s="6">
        <v>4038.0</v>
      </c>
      <c r="W52" s="6">
        <v>2025.0</v>
      </c>
      <c r="X52" s="18">
        <v>770000.0</v>
      </c>
      <c r="Y52" s="18">
        <v>575000.0</v>
      </c>
      <c r="Z52" s="18">
        <f t="shared" si="5"/>
        <v>1345000</v>
      </c>
      <c r="AA52" s="6">
        <v>2025.0</v>
      </c>
      <c r="AB52" s="6">
        <v>2025.0</v>
      </c>
      <c r="AC52" s="18">
        <v>0.0</v>
      </c>
      <c r="AD52" s="12">
        <v>4569.0</v>
      </c>
      <c r="AE52" s="6" t="s">
        <v>553</v>
      </c>
      <c r="AF52" s="6">
        <v>33.95062617</v>
      </c>
      <c r="AG52" s="6">
        <v>-118.32697228</v>
      </c>
      <c r="AH52" s="6" t="s">
        <v>639</v>
      </c>
      <c r="AI52" s="6" t="s">
        <v>555</v>
      </c>
      <c r="AJ52" s="16">
        <f t="array" ref="AJ52">_xlfn.XLOOKUP(
  A52,
  'CMFA-CSCDA Grants'!A:A,
'CMFA-CSCDA Grants'!O:O)</f>
        <v>80</v>
      </c>
      <c r="AK52" s="16">
        <f t="array" ref="AK52">_xlfn.XLOOKUP(
  A52,
  'CMFA-CSCDA Grants'!A:A,
'CMFA-CSCDA Grants'!P:P)</f>
        <v>80</v>
      </c>
      <c r="AL52" s="8">
        <f t="array" ref="AL52">_xlfn.XLOOKUP(
  AD52,
  'Tax Rates'!A:A,
'Tax Rates'!B:B)</f>
        <v>0.01280765</v>
      </c>
    </row>
    <row r="53">
      <c r="A53" s="12">
        <v>36.0</v>
      </c>
      <c r="B53" s="6" t="str">
        <f t="array" ref="B53">_xlfn.XLOOKUP(
  A53,
  'CMFA-CSCDA Grants'!A:A,
'CMFA-CSCDA Grants'!E:E)</f>
        <v>Los Angeles</v>
      </c>
      <c r="C53" s="6" t="str">
        <f t="array" ref="C53">_xlfn.XLOOKUP(
  A53,
  'CMFA-CSCDA Grants'!A:A,
'CMFA-CSCDA Grants'!B:B)</f>
        <v>Stadium Village Apartments</v>
      </c>
      <c r="D53" s="12">
        <v>4.025014011E9</v>
      </c>
      <c r="F53" s="6" t="b">
        <v>0</v>
      </c>
      <c r="G53" s="6" t="s">
        <v>643</v>
      </c>
      <c r="H53" s="6" t="s">
        <v>644</v>
      </c>
      <c r="I53" s="6" t="s">
        <v>548</v>
      </c>
      <c r="J53" s="6" t="s">
        <v>645</v>
      </c>
      <c r="K53" s="6" t="s">
        <v>550</v>
      </c>
      <c r="L53" s="6" t="s">
        <v>551</v>
      </c>
      <c r="N53" s="6" t="s">
        <v>453</v>
      </c>
      <c r="O53" s="6" t="s">
        <v>552</v>
      </c>
      <c r="P53" s="6" t="s">
        <v>112</v>
      </c>
      <c r="Q53" s="6">
        <v>400.0</v>
      </c>
      <c r="R53" s="6">
        <v>1955.0</v>
      </c>
      <c r="S53" s="6">
        <v>4.0</v>
      </c>
      <c r="T53" s="6">
        <v>8.0</v>
      </c>
      <c r="U53" s="6">
        <v>4.0</v>
      </c>
      <c r="V53" s="6">
        <v>4073.0</v>
      </c>
      <c r="W53" s="6">
        <v>2025.0</v>
      </c>
      <c r="X53" s="18">
        <v>770000.0</v>
      </c>
      <c r="Y53" s="18">
        <v>575000.0</v>
      </c>
      <c r="Z53" s="18">
        <f t="shared" si="5"/>
        <v>1345000</v>
      </c>
      <c r="AA53" s="6">
        <v>2025.0</v>
      </c>
      <c r="AB53" s="6">
        <v>2025.0</v>
      </c>
      <c r="AC53" s="18">
        <v>0.0</v>
      </c>
      <c r="AD53" s="12">
        <v>4569.0</v>
      </c>
      <c r="AE53" s="6" t="s">
        <v>553</v>
      </c>
      <c r="AF53" s="6">
        <v>33.95046125</v>
      </c>
      <c r="AG53" s="6">
        <v>-118.32697208</v>
      </c>
      <c r="AH53" s="6" t="s">
        <v>646</v>
      </c>
      <c r="AI53" s="6" t="s">
        <v>555</v>
      </c>
      <c r="AJ53" s="16">
        <f t="array" ref="AJ53">_xlfn.XLOOKUP(
  A53,
  'CMFA-CSCDA Grants'!A:A,
'CMFA-CSCDA Grants'!O:O)</f>
        <v>80</v>
      </c>
      <c r="AK53" s="16">
        <f t="array" ref="AK53">_xlfn.XLOOKUP(
  A53,
  'CMFA-CSCDA Grants'!A:A,
'CMFA-CSCDA Grants'!P:P)</f>
        <v>80</v>
      </c>
      <c r="AL53" s="8">
        <f t="array" ref="AL53">_xlfn.XLOOKUP(
  AD53,
  'Tax Rates'!A:A,
'Tax Rates'!B:B)</f>
        <v>0.01280765</v>
      </c>
    </row>
    <row r="54">
      <c r="A54" s="12">
        <v>36.0</v>
      </c>
      <c r="B54" s="6" t="str">
        <f t="array" ref="B54">_xlfn.XLOOKUP(
  A54,
  'CMFA-CSCDA Grants'!A:A,
'CMFA-CSCDA Grants'!E:E)</f>
        <v>Los Angeles</v>
      </c>
      <c r="C54" s="6" t="str">
        <f t="array" ref="C54">_xlfn.XLOOKUP(
  A54,
  'CMFA-CSCDA Grants'!A:A,
'CMFA-CSCDA Grants'!B:B)</f>
        <v>Stadium Village Apartments</v>
      </c>
      <c r="D54" s="12">
        <v>4.025014012E9</v>
      </c>
      <c r="F54" s="6" t="b">
        <v>0</v>
      </c>
      <c r="G54" s="6" t="s">
        <v>647</v>
      </c>
      <c r="H54" s="6" t="s">
        <v>648</v>
      </c>
      <c r="I54" s="6" t="s">
        <v>548</v>
      </c>
      <c r="J54" s="6" t="s">
        <v>649</v>
      </c>
      <c r="K54" s="6" t="s">
        <v>550</v>
      </c>
      <c r="L54" s="6" t="s">
        <v>551</v>
      </c>
      <c r="N54" s="6" t="s">
        <v>453</v>
      </c>
      <c r="O54" s="6" t="s">
        <v>552</v>
      </c>
      <c r="P54" s="6" t="s">
        <v>112</v>
      </c>
      <c r="Q54" s="6">
        <v>400.0</v>
      </c>
      <c r="R54" s="6">
        <v>1955.0</v>
      </c>
      <c r="S54" s="6">
        <v>4.0</v>
      </c>
      <c r="T54" s="6">
        <v>8.0</v>
      </c>
      <c r="U54" s="6">
        <v>4.0</v>
      </c>
      <c r="V54" s="6">
        <v>4072.0</v>
      </c>
      <c r="W54" s="6">
        <v>2025.0</v>
      </c>
      <c r="X54" s="18">
        <v>770000.0</v>
      </c>
      <c r="Y54" s="18">
        <v>575000.0</v>
      </c>
      <c r="Z54" s="18">
        <f t="shared" si="5"/>
        <v>1345000</v>
      </c>
      <c r="AA54" s="6">
        <v>2025.0</v>
      </c>
      <c r="AB54" s="6">
        <v>2025.0</v>
      </c>
      <c r="AC54" s="18">
        <v>0.0</v>
      </c>
      <c r="AD54" s="12">
        <v>4569.0</v>
      </c>
      <c r="AE54" s="6" t="s">
        <v>553</v>
      </c>
      <c r="AF54" s="6">
        <v>33.95029636</v>
      </c>
      <c r="AG54" s="6">
        <v>-118.32697182</v>
      </c>
      <c r="AH54" s="6" t="s">
        <v>652</v>
      </c>
      <c r="AI54" s="6" t="s">
        <v>555</v>
      </c>
      <c r="AJ54" s="16">
        <f t="array" ref="AJ54">_xlfn.XLOOKUP(
  A54,
  'CMFA-CSCDA Grants'!A:A,
'CMFA-CSCDA Grants'!O:O)</f>
        <v>80</v>
      </c>
      <c r="AK54" s="16">
        <f t="array" ref="AK54">_xlfn.XLOOKUP(
  A54,
  'CMFA-CSCDA Grants'!A:A,
'CMFA-CSCDA Grants'!P:P)</f>
        <v>80</v>
      </c>
      <c r="AL54" s="8">
        <f t="array" ref="AL54">_xlfn.XLOOKUP(
  AD54,
  'Tax Rates'!A:A,
'Tax Rates'!B:B)</f>
        <v>0.01280765</v>
      </c>
    </row>
    <row r="55">
      <c r="A55" s="12">
        <v>36.0</v>
      </c>
      <c r="B55" s="6" t="str">
        <f t="array" ref="B55">_xlfn.XLOOKUP(
  A55,
  'CMFA-CSCDA Grants'!A:A,
'CMFA-CSCDA Grants'!E:E)</f>
        <v>Los Angeles</v>
      </c>
      <c r="C55" s="6" t="str">
        <f t="array" ref="C55">_xlfn.XLOOKUP(
  A55,
  'CMFA-CSCDA Grants'!A:A,
'CMFA-CSCDA Grants'!B:B)</f>
        <v>Stadium Village Apartments</v>
      </c>
      <c r="D55" s="12">
        <v>4.025014013E9</v>
      </c>
      <c r="F55" s="6" t="b">
        <v>0</v>
      </c>
      <c r="G55" s="6" t="s">
        <v>655</v>
      </c>
      <c r="H55" s="6" t="s">
        <v>656</v>
      </c>
      <c r="I55" s="6" t="s">
        <v>548</v>
      </c>
      <c r="J55" s="6" t="s">
        <v>657</v>
      </c>
      <c r="K55" s="6" t="s">
        <v>550</v>
      </c>
      <c r="L55" s="6" t="s">
        <v>551</v>
      </c>
      <c r="N55" s="6" t="s">
        <v>453</v>
      </c>
      <c r="O55" s="6" t="s">
        <v>552</v>
      </c>
      <c r="P55" s="6" t="s">
        <v>112</v>
      </c>
      <c r="Q55" s="6">
        <v>400.0</v>
      </c>
      <c r="R55" s="6">
        <v>1955.0</v>
      </c>
      <c r="S55" s="6">
        <v>4.0</v>
      </c>
      <c r="T55" s="6">
        <v>8.0</v>
      </c>
      <c r="U55" s="6">
        <v>4.0</v>
      </c>
      <c r="V55" s="6">
        <v>4072.0</v>
      </c>
      <c r="W55" s="6">
        <v>2025.0</v>
      </c>
      <c r="X55" s="18">
        <v>770000.0</v>
      </c>
      <c r="Y55" s="18">
        <v>575000.0</v>
      </c>
      <c r="Z55" s="18">
        <f t="shared" si="5"/>
        <v>1345000</v>
      </c>
      <c r="AA55" s="6">
        <v>2025.0</v>
      </c>
      <c r="AB55" s="6">
        <v>2025.0</v>
      </c>
      <c r="AC55" s="18">
        <v>0.0</v>
      </c>
      <c r="AD55" s="12">
        <v>4569.0</v>
      </c>
      <c r="AE55" s="6" t="s">
        <v>553</v>
      </c>
      <c r="AF55" s="6">
        <v>33.95013149</v>
      </c>
      <c r="AG55" s="6">
        <v>-118.32697164</v>
      </c>
      <c r="AH55" s="6" t="s">
        <v>658</v>
      </c>
      <c r="AI55" s="6" t="s">
        <v>555</v>
      </c>
      <c r="AJ55" s="16">
        <f t="array" ref="AJ55">_xlfn.XLOOKUP(
  A55,
  'CMFA-CSCDA Grants'!A:A,
'CMFA-CSCDA Grants'!O:O)</f>
        <v>80</v>
      </c>
      <c r="AK55" s="16">
        <f t="array" ref="AK55">_xlfn.XLOOKUP(
  A55,
  'CMFA-CSCDA Grants'!A:A,
'CMFA-CSCDA Grants'!P:P)</f>
        <v>80</v>
      </c>
      <c r="AL55" s="8">
        <f t="array" ref="AL55">_xlfn.XLOOKUP(
  AD55,
  'Tax Rates'!A:A,
'Tax Rates'!B:B)</f>
        <v>0.01280765</v>
      </c>
    </row>
    <row r="56">
      <c r="A56" s="12">
        <v>36.0</v>
      </c>
      <c r="B56" s="6" t="str">
        <f t="array" ref="B56">_xlfn.XLOOKUP(
  A56,
  'CMFA-CSCDA Grants'!A:A,
'CMFA-CSCDA Grants'!E:E)</f>
        <v>Los Angeles</v>
      </c>
      <c r="C56" s="6" t="str">
        <f t="array" ref="C56">_xlfn.XLOOKUP(
  A56,
  'CMFA-CSCDA Grants'!A:A,
'CMFA-CSCDA Grants'!B:B)</f>
        <v>Stadium Village Apartments</v>
      </c>
      <c r="D56" s="12">
        <v>4.025014014E9</v>
      </c>
      <c r="F56" s="6" t="b">
        <v>0</v>
      </c>
      <c r="G56" s="6" t="s">
        <v>659</v>
      </c>
      <c r="H56" s="6" t="s">
        <v>660</v>
      </c>
      <c r="I56" s="6" t="s">
        <v>548</v>
      </c>
      <c r="J56" s="6" t="s">
        <v>661</v>
      </c>
      <c r="K56" s="6" t="s">
        <v>550</v>
      </c>
      <c r="L56" s="6" t="s">
        <v>551</v>
      </c>
      <c r="N56" s="6" t="s">
        <v>453</v>
      </c>
      <c r="O56" s="6" t="s">
        <v>552</v>
      </c>
      <c r="P56" s="6" t="s">
        <v>112</v>
      </c>
      <c r="Q56" s="6">
        <v>400.0</v>
      </c>
      <c r="R56" s="6">
        <v>1955.0</v>
      </c>
      <c r="S56" s="6">
        <v>4.0</v>
      </c>
      <c r="T56" s="6">
        <v>8.0</v>
      </c>
      <c r="U56" s="6">
        <v>4.0</v>
      </c>
      <c r="V56" s="6">
        <v>4073.0</v>
      </c>
      <c r="W56" s="6">
        <v>2025.0</v>
      </c>
      <c r="X56" s="18">
        <v>770000.0</v>
      </c>
      <c r="Y56" s="18">
        <v>575000.0</v>
      </c>
      <c r="Z56" s="18">
        <f t="shared" si="5"/>
        <v>1345000</v>
      </c>
      <c r="AA56" s="6">
        <v>2025.0</v>
      </c>
      <c r="AB56" s="6">
        <v>2025.0</v>
      </c>
      <c r="AC56" s="18">
        <v>0.0</v>
      </c>
      <c r="AD56" s="12">
        <v>4569.0</v>
      </c>
      <c r="AE56" s="6" t="s">
        <v>553</v>
      </c>
      <c r="AF56" s="6">
        <v>33.94996661</v>
      </c>
      <c r="AG56" s="6">
        <v>-118.32697139</v>
      </c>
      <c r="AH56" s="6" t="s">
        <v>664</v>
      </c>
      <c r="AI56" s="6" t="s">
        <v>555</v>
      </c>
      <c r="AJ56" s="16">
        <f t="array" ref="AJ56">_xlfn.XLOOKUP(
  A56,
  'CMFA-CSCDA Grants'!A:A,
'CMFA-CSCDA Grants'!O:O)</f>
        <v>80</v>
      </c>
      <c r="AK56" s="16">
        <f t="array" ref="AK56">_xlfn.XLOOKUP(
  A56,
  'CMFA-CSCDA Grants'!A:A,
'CMFA-CSCDA Grants'!P:P)</f>
        <v>80</v>
      </c>
      <c r="AL56" s="8">
        <f t="array" ref="AL56">_xlfn.XLOOKUP(
  AD56,
  'Tax Rates'!A:A,
'Tax Rates'!B:B)</f>
        <v>0.01280765</v>
      </c>
    </row>
    <row r="57">
      <c r="A57" s="12">
        <v>36.0</v>
      </c>
      <c r="B57" s="6" t="str">
        <f t="array" ref="B57">_xlfn.XLOOKUP(
  A57,
  'CMFA-CSCDA Grants'!A:A,
'CMFA-CSCDA Grants'!E:E)</f>
        <v>Los Angeles</v>
      </c>
      <c r="C57" s="6" t="str">
        <f t="array" ref="C57">_xlfn.XLOOKUP(
  A57,
  'CMFA-CSCDA Grants'!A:A,
'CMFA-CSCDA Grants'!B:B)</f>
        <v>Stadium Village Apartments</v>
      </c>
      <c r="D57" s="12">
        <v>4.025014015E9</v>
      </c>
      <c r="F57" s="6" t="b">
        <v>0</v>
      </c>
      <c r="G57" s="6" t="s">
        <v>665</v>
      </c>
      <c r="H57" s="6" t="s">
        <v>666</v>
      </c>
      <c r="I57" s="6" t="s">
        <v>548</v>
      </c>
      <c r="J57" s="6" t="s">
        <v>667</v>
      </c>
      <c r="K57" s="6" t="s">
        <v>550</v>
      </c>
      <c r="L57" s="6" t="s">
        <v>551</v>
      </c>
      <c r="N57" s="6" t="s">
        <v>453</v>
      </c>
      <c r="O57" s="6" t="s">
        <v>552</v>
      </c>
      <c r="P57" s="6" t="s">
        <v>112</v>
      </c>
      <c r="Q57" s="6">
        <v>400.0</v>
      </c>
      <c r="R57" s="6">
        <v>1955.0</v>
      </c>
      <c r="S57" s="6">
        <v>4.0</v>
      </c>
      <c r="T57" s="6">
        <v>8.0</v>
      </c>
      <c r="U57" s="6">
        <v>4.0</v>
      </c>
      <c r="V57" s="6">
        <v>4038.0</v>
      </c>
      <c r="W57" s="6">
        <v>2025.0</v>
      </c>
      <c r="X57" s="18">
        <v>770000.0</v>
      </c>
      <c r="Y57" s="18">
        <v>575000.0</v>
      </c>
      <c r="Z57" s="18">
        <f t="shared" si="5"/>
        <v>1345000</v>
      </c>
      <c r="AA57" s="6">
        <v>2025.0</v>
      </c>
      <c r="AB57" s="6">
        <v>2025.0</v>
      </c>
      <c r="AC57" s="18">
        <v>0.0</v>
      </c>
      <c r="AD57" s="12">
        <v>4569.0</v>
      </c>
      <c r="AE57" s="6" t="s">
        <v>553</v>
      </c>
      <c r="AF57" s="6">
        <v>33.94980173</v>
      </c>
      <c r="AG57" s="6">
        <v>-118.32697118</v>
      </c>
      <c r="AH57" s="6" t="s">
        <v>668</v>
      </c>
      <c r="AI57" s="6" t="s">
        <v>555</v>
      </c>
      <c r="AJ57" s="16">
        <f t="array" ref="AJ57">_xlfn.XLOOKUP(
  A57,
  'CMFA-CSCDA Grants'!A:A,
'CMFA-CSCDA Grants'!O:O)</f>
        <v>80</v>
      </c>
      <c r="AK57" s="16">
        <f t="array" ref="AK57">_xlfn.XLOOKUP(
  A57,
  'CMFA-CSCDA Grants'!A:A,
'CMFA-CSCDA Grants'!P:P)</f>
        <v>80</v>
      </c>
      <c r="AL57" s="8">
        <f t="array" ref="AL57">_xlfn.XLOOKUP(
  AD57,
  'Tax Rates'!A:A,
'Tax Rates'!B:B)</f>
        <v>0.01280765</v>
      </c>
    </row>
    <row r="58">
      <c r="A58" s="12">
        <v>36.0</v>
      </c>
      <c r="B58" s="6" t="str">
        <f t="array" ref="B58">_xlfn.XLOOKUP(
  A58,
  'CMFA-CSCDA Grants'!A:A,
'CMFA-CSCDA Grants'!E:E)</f>
        <v>Los Angeles</v>
      </c>
      <c r="C58" s="6" t="str">
        <f t="array" ref="C58">_xlfn.XLOOKUP(
  A58,
  'CMFA-CSCDA Grants'!A:A,
'CMFA-CSCDA Grants'!B:B)</f>
        <v>Stadium Village Apartments</v>
      </c>
      <c r="D58" s="12">
        <v>4.025014016E9</v>
      </c>
      <c r="F58" s="6" t="b">
        <v>0</v>
      </c>
      <c r="G58" s="6" t="s">
        <v>671</v>
      </c>
      <c r="H58" s="6" t="s">
        <v>672</v>
      </c>
      <c r="I58" s="6" t="s">
        <v>548</v>
      </c>
      <c r="J58" s="6" t="s">
        <v>673</v>
      </c>
      <c r="K58" s="6" t="s">
        <v>550</v>
      </c>
      <c r="L58" s="6" t="s">
        <v>551</v>
      </c>
      <c r="N58" s="6" t="s">
        <v>453</v>
      </c>
      <c r="O58" s="6" t="s">
        <v>552</v>
      </c>
      <c r="P58" s="6" t="s">
        <v>112</v>
      </c>
      <c r="Q58" s="6">
        <v>400.0</v>
      </c>
      <c r="R58" s="6">
        <v>1955.0</v>
      </c>
      <c r="S58" s="6">
        <v>4.0</v>
      </c>
      <c r="T58" s="6">
        <v>8.0</v>
      </c>
      <c r="U58" s="6">
        <v>4.0</v>
      </c>
      <c r="V58" s="6">
        <v>4038.0</v>
      </c>
      <c r="W58" s="6">
        <v>2025.0</v>
      </c>
      <c r="X58" s="18">
        <v>770000.0</v>
      </c>
      <c r="Y58" s="18">
        <v>575000.0</v>
      </c>
      <c r="Z58" s="18">
        <f t="shared" si="5"/>
        <v>1345000</v>
      </c>
      <c r="AA58" s="6">
        <v>2025.0</v>
      </c>
      <c r="AB58" s="6">
        <v>2025.0</v>
      </c>
      <c r="AC58" s="18">
        <v>0.0</v>
      </c>
      <c r="AD58" s="12">
        <v>4569.0</v>
      </c>
      <c r="AE58" s="6" t="s">
        <v>553</v>
      </c>
      <c r="AF58" s="6">
        <v>33.94963686</v>
      </c>
      <c r="AG58" s="6">
        <v>-118.32697113</v>
      </c>
      <c r="AH58" s="6" t="s">
        <v>674</v>
      </c>
      <c r="AI58" s="6" t="s">
        <v>555</v>
      </c>
      <c r="AJ58" s="16">
        <f t="array" ref="AJ58">_xlfn.XLOOKUP(
  A58,
  'CMFA-CSCDA Grants'!A:A,
'CMFA-CSCDA Grants'!O:O)</f>
        <v>80</v>
      </c>
      <c r="AK58" s="16">
        <f t="array" ref="AK58">_xlfn.XLOOKUP(
  A58,
  'CMFA-CSCDA Grants'!A:A,
'CMFA-CSCDA Grants'!P:P)</f>
        <v>80</v>
      </c>
      <c r="AL58" s="8">
        <f t="array" ref="AL58">_xlfn.XLOOKUP(
  AD58,
  'Tax Rates'!A:A,
'Tax Rates'!B:B)</f>
        <v>0.01280765</v>
      </c>
    </row>
    <row r="59">
      <c r="A59" s="12">
        <v>36.0</v>
      </c>
      <c r="B59" s="6" t="str">
        <f t="array" ref="B59">_xlfn.XLOOKUP(
  A59,
  'CMFA-CSCDA Grants'!A:A,
'CMFA-CSCDA Grants'!E:E)</f>
        <v>Los Angeles</v>
      </c>
      <c r="C59" s="6" t="str">
        <f t="array" ref="C59">_xlfn.XLOOKUP(
  A59,
  'CMFA-CSCDA Grants'!A:A,
'CMFA-CSCDA Grants'!B:B)</f>
        <v>Stadium Village Apartments</v>
      </c>
      <c r="D59" s="12">
        <v>4.025014017E9</v>
      </c>
      <c r="F59" s="6" t="b">
        <v>0</v>
      </c>
      <c r="G59" s="6" t="s">
        <v>675</v>
      </c>
      <c r="H59" s="6" t="s">
        <v>676</v>
      </c>
      <c r="I59" s="6" t="s">
        <v>548</v>
      </c>
      <c r="J59" s="6" t="s">
        <v>677</v>
      </c>
      <c r="K59" s="6" t="s">
        <v>550</v>
      </c>
      <c r="L59" s="6" t="s">
        <v>551</v>
      </c>
      <c r="N59" s="6" t="s">
        <v>453</v>
      </c>
      <c r="O59" s="6" t="s">
        <v>552</v>
      </c>
      <c r="P59" s="6" t="s">
        <v>112</v>
      </c>
      <c r="Q59" s="6">
        <v>400.0</v>
      </c>
      <c r="R59" s="6">
        <v>1955.0</v>
      </c>
      <c r="S59" s="6">
        <v>4.0</v>
      </c>
      <c r="T59" s="6">
        <v>8.0</v>
      </c>
      <c r="U59" s="6">
        <v>4.0</v>
      </c>
      <c r="V59" s="6">
        <v>4072.0</v>
      </c>
      <c r="W59" s="6">
        <v>2025.0</v>
      </c>
      <c r="X59" s="18">
        <v>770000.0</v>
      </c>
      <c r="Y59" s="18">
        <v>575000.0</v>
      </c>
      <c r="Z59" s="18">
        <f t="shared" si="5"/>
        <v>1345000</v>
      </c>
      <c r="AA59" s="6">
        <v>2025.0</v>
      </c>
      <c r="AB59" s="6">
        <v>2025.0</v>
      </c>
      <c r="AC59" s="18">
        <v>0.0</v>
      </c>
      <c r="AD59" s="12">
        <v>4569.0</v>
      </c>
      <c r="AE59" s="6" t="s">
        <v>553</v>
      </c>
      <c r="AF59" s="6">
        <v>33.94947198</v>
      </c>
      <c r="AG59" s="6">
        <v>-118.32697116</v>
      </c>
      <c r="AH59" s="6" t="s">
        <v>678</v>
      </c>
      <c r="AI59" s="6" t="s">
        <v>555</v>
      </c>
      <c r="AJ59" s="16">
        <f t="array" ref="AJ59">_xlfn.XLOOKUP(
  A59,
  'CMFA-CSCDA Grants'!A:A,
'CMFA-CSCDA Grants'!O:O)</f>
        <v>80</v>
      </c>
      <c r="AK59" s="16">
        <f t="array" ref="AK59">_xlfn.XLOOKUP(
  A59,
  'CMFA-CSCDA Grants'!A:A,
'CMFA-CSCDA Grants'!P:P)</f>
        <v>80</v>
      </c>
      <c r="AL59" s="8">
        <f t="array" ref="AL59">_xlfn.XLOOKUP(
  AD59,
  'Tax Rates'!A:A,
'Tax Rates'!B:B)</f>
        <v>0.01280765</v>
      </c>
    </row>
    <row r="60">
      <c r="A60" s="12">
        <v>36.0</v>
      </c>
      <c r="B60" s="6" t="str">
        <f t="array" ref="B60">_xlfn.XLOOKUP(
  A60,
  'CMFA-CSCDA Grants'!A:A,
'CMFA-CSCDA Grants'!E:E)</f>
        <v>Los Angeles</v>
      </c>
      <c r="C60" s="6" t="str">
        <f t="array" ref="C60">_xlfn.XLOOKUP(
  A60,
  'CMFA-CSCDA Grants'!A:A,
'CMFA-CSCDA Grants'!B:B)</f>
        <v>Stadium Village Apartments</v>
      </c>
      <c r="D60" s="12">
        <v>4.025014018E9</v>
      </c>
      <c r="F60" s="6" t="b">
        <v>0</v>
      </c>
      <c r="G60" s="6" t="s">
        <v>684</v>
      </c>
      <c r="H60" s="6" t="s">
        <v>685</v>
      </c>
      <c r="I60" s="6" t="s">
        <v>548</v>
      </c>
      <c r="J60" s="6" t="s">
        <v>686</v>
      </c>
      <c r="K60" s="6" t="s">
        <v>550</v>
      </c>
      <c r="L60" s="6" t="s">
        <v>551</v>
      </c>
      <c r="N60" s="6" t="s">
        <v>453</v>
      </c>
      <c r="O60" s="6" t="s">
        <v>552</v>
      </c>
      <c r="P60" s="6" t="s">
        <v>112</v>
      </c>
      <c r="Q60" s="6">
        <v>400.0</v>
      </c>
      <c r="R60" s="6">
        <v>1955.0</v>
      </c>
      <c r="S60" s="6">
        <v>4.0</v>
      </c>
      <c r="T60" s="6">
        <v>8.0</v>
      </c>
      <c r="U60" s="6">
        <v>4.0</v>
      </c>
      <c r="V60" s="6">
        <v>4072.0</v>
      </c>
      <c r="W60" s="6">
        <v>2025.0</v>
      </c>
      <c r="X60" s="18">
        <v>770000.0</v>
      </c>
      <c r="Y60" s="18">
        <v>575000.0</v>
      </c>
      <c r="Z60" s="18">
        <f t="shared" si="5"/>
        <v>1345000</v>
      </c>
      <c r="AA60" s="6">
        <v>2025.0</v>
      </c>
      <c r="AB60" s="6">
        <v>2025.0</v>
      </c>
      <c r="AC60" s="18">
        <v>0.0</v>
      </c>
      <c r="AD60" s="12">
        <v>4569.0</v>
      </c>
      <c r="AE60" s="6" t="s">
        <v>553</v>
      </c>
      <c r="AF60" s="6">
        <v>33.94930432</v>
      </c>
      <c r="AG60" s="6">
        <v>-118.32697231</v>
      </c>
      <c r="AH60" s="6" t="s">
        <v>687</v>
      </c>
      <c r="AI60" s="6" t="s">
        <v>555</v>
      </c>
      <c r="AJ60" s="16">
        <f t="array" ref="AJ60">_xlfn.XLOOKUP(
  A60,
  'CMFA-CSCDA Grants'!A:A,
'CMFA-CSCDA Grants'!O:O)</f>
        <v>80</v>
      </c>
      <c r="AK60" s="16">
        <f t="array" ref="AK60">_xlfn.XLOOKUP(
  A60,
  'CMFA-CSCDA Grants'!A:A,
'CMFA-CSCDA Grants'!P:P)</f>
        <v>80</v>
      </c>
      <c r="AL60" s="8">
        <f t="array" ref="AL60">_xlfn.XLOOKUP(
  AD60,
  'Tax Rates'!A:A,
'Tax Rates'!B:B)</f>
        <v>0.01280765</v>
      </c>
    </row>
    <row r="61">
      <c r="A61" s="12">
        <v>36.0</v>
      </c>
      <c r="B61" s="6" t="str">
        <f t="array" ref="B61">_xlfn.XLOOKUP(
  A61,
  'CMFA-CSCDA Grants'!A:A,
'CMFA-CSCDA Grants'!E:E)</f>
        <v>Los Angeles</v>
      </c>
      <c r="C61" s="6" t="str">
        <f t="array" ref="C61">_xlfn.XLOOKUP(
  A61,
  'CMFA-CSCDA Grants'!A:A,
'CMFA-CSCDA Grants'!B:B)</f>
        <v>Stadium Village Apartments</v>
      </c>
      <c r="D61" s="12">
        <v>4.025015001E9</v>
      </c>
      <c r="F61" s="6" t="b">
        <v>0</v>
      </c>
      <c r="G61" s="6" t="s">
        <v>688</v>
      </c>
      <c r="H61" s="6" t="s">
        <v>689</v>
      </c>
      <c r="I61" s="6" t="s">
        <v>548</v>
      </c>
      <c r="J61" s="6" t="s">
        <v>690</v>
      </c>
      <c r="K61" s="6" t="s">
        <v>550</v>
      </c>
      <c r="L61" s="6" t="s">
        <v>551</v>
      </c>
      <c r="N61" s="6" t="s">
        <v>453</v>
      </c>
      <c r="O61" s="6" t="s">
        <v>552</v>
      </c>
      <c r="P61" s="6" t="s">
        <v>112</v>
      </c>
      <c r="Q61" s="6">
        <v>400.0</v>
      </c>
      <c r="R61" s="6">
        <v>1955.0</v>
      </c>
      <c r="S61" s="6">
        <v>4.0</v>
      </c>
      <c r="T61" s="6">
        <v>8.0</v>
      </c>
      <c r="U61" s="6">
        <v>4.0</v>
      </c>
      <c r="V61" s="6">
        <v>4073.0</v>
      </c>
      <c r="W61" s="6">
        <v>2025.0</v>
      </c>
      <c r="X61" s="18">
        <v>770000.0</v>
      </c>
      <c r="Y61" s="18">
        <v>575000.0</v>
      </c>
      <c r="Z61" s="18">
        <f t="shared" si="5"/>
        <v>1345000</v>
      </c>
      <c r="AA61" s="6">
        <v>2025.0</v>
      </c>
      <c r="AB61" s="6">
        <v>2025.0</v>
      </c>
      <c r="AC61" s="18">
        <v>0.0</v>
      </c>
      <c r="AD61" s="12">
        <v>4569.0</v>
      </c>
      <c r="AE61" s="6" t="s">
        <v>553</v>
      </c>
      <c r="AF61" s="6">
        <v>33.94898144</v>
      </c>
      <c r="AG61" s="6">
        <v>-118.32697785</v>
      </c>
      <c r="AH61" s="6" t="s">
        <v>691</v>
      </c>
      <c r="AI61" s="6" t="s">
        <v>555</v>
      </c>
      <c r="AJ61" s="16">
        <f t="array" ref="AJ61">_xlfn.XLOOKUP(
  A61,
  'CMFA-CSCDA Grants'!A:A,
'CMFA-CSCDA Grants'!O:O)</f>
        <v>80</v>
      </c>
      <c r="AK61" s="16">
        <f t="array" ref="AK61">_xlfn.XLOOKUP(
  A61,
  'CMFA-CSCDA Grants'!A:A,
'CMFA-CSCDA Grants'!P:P)</f>
        <v>80</v>
      </c>
      <c r="AL61" s="8">
        <f t="array" ref="AL61">_xlfn.XLOOKUP(
  AD61,
  'Tax Rates'!A:A,
'Tax Rates'!B:B)</f>
        <v>0.01280765</v>
      </c>
    </row>
    <row r="62">
      <c r="A62" s="12">
        <v>36.0</v>
      </c>
      <c r="B62" s="6" t="str">
        <f t="array" ref="B62">_xlfn.XLOOKUP(
  A62,
  'CMFA-CSCDA Grants'!A:A,
'CMFA-CSCDA Grants'!E:E)</f>
        <v>Los Angeles</v>
      </c>
      <c r="C62" s="6" t="str">
        <f t="array" ref="C62">_xlfn.XLOOKUP(
  A62,
  'CMFA-CSCDA Grants'!A:A,
'CMFA-CSCDA Grants'!B:B)</f>
        <v>Stadium Village Apartments</v>
      </c>
      <c r="D62" s="12">
        <v>4.025015002E9</v>
      </c>
      <c r="F62" s="6" t="b">
        <v>0</v>
      </c>
      <c r="G62" s="6" t="s">
        <v>697</v>
      </c>
      <c r="H62" s="6" t="s">
        <v>698</v>
      </c>
      <c r="I62" s="6" t="s">
        <v>548</v>
      </c>
      <c r="J62" s="6" t="s">
        <v>699</v>
      </c>
      <c r="K62" s="6" t="s">
        <v>550</v>
      </c>
      <c r="L62" s="6" t="s">
        <v>551</v>
      </c>
      <c r="N62" s="6" t="s">
        <v>453</v>
      </c>
      <c r="O62" s="6" t="s">
        <v>552</v>
      </c>
      <c r="P62" s="6" t="s">
        <v>112</v>
      </c>
      <c r="Q62" s="6">
        <v>400.0</v>
      </c>
      <c r="R62" s="6">
        <v>1955.0</v>
      </c>
      <c r="S62" s="6">
        <v>4.0</v>
      </c>
      <c r="T62" s="6">
        <v>8.0</v>
      </c>
      <c r="U62" s="6">
        <v>4.0</v>
      </c>
      <c r="V62" s="6">
        <v>4072.0</v>
      </c>
      <c r="W62" s="6">
        <v>2025.0</v>
      </c>
      <c r="X62" s="18">
        <v>770000.0</v>
      </c>
      <c r="Y62" s="18">
        <v>575000.0</v>
      </c>
      <c r="Z62" s="18">
        <f t="shared" si="5"/>
        <v>1345000</v>
      </c>
      <c r="AA62" s="6">
        <v>2025.0</v>
      </c>
      <c r="AB62" s="6">
        <v>2025.0</v>
      </c>
      <c r="AC62" s="18">
        <v>0.0</v>
      </c>
      <c r="AD62" s="12">
        <v>4569.0</v>
      </c>
      <c r="AE62" s="6" t="s">
        <v>553</v>
      </c>
      <c r="AF62" s="6">
        <v>33.94881707</v>
      </c>
      <c r="AG62" s="6">
        <v>-118.32697858</v>
      </c>
      <c r="AH62" s="6" t="s">
        <v>700</v>
      </c>
      <c r="AI62" s="6" t="s">
        <v>555</v>
      </c>
      <c r="AJ62" s="16">
        <f t="array" ref="AJ62">_xlfn.XLOOKUP(
  A62,
  'CMFA-CSCDA Grants'!A:A,
'CMFA-CSCDA Grants'!O:O)</f>
        <v>80</v>
      </c>
      <c r="AK62" s="16">
        <f t="array" ref="AK62">_xlfn.XLOOKUP(
  A62,
  'CMFA-CSCDA Grants'!A:A,
'CMFA-CSCDA Grants'!P:P)</f>
        <v>80</v>
      </c>
      <c r="AL62" s="8">
        <f t="array" ref="AL62">_xlfn.XLOOKUP(
  AD62,
  'Tax Rates'!A:A,
'Tax Rates'!B:B)</f>
        <v>0.01280765</v>
      </c>
    </row>
    <row r="63">
      <c r="A63" s="12">
        <v>37.0</v>
      </c>
      <c r="B63" s="6" t="str">
        <f t="array" ref="B63">_xlfn.XLOOKUP(
  A63,
  'CMFA-CSCDA Grants'!A:A,
'CMFA-CSCDA Grants'!E:E)</f>
        <v>Los Angeles</v>
      </c>
      <c r="C63" s="6" t="str">
        <f t="array" ref="C63">_xlfn.XLOOKUP(
  A63,
  'CMFA-CSCDA Grants'!A:A,
'CMFA-CSCDA Grants'!B:B)</f>
        <v>2330 E. 3rd Street Apartments</v>
      </c>
      <c r="D63" s="12">
        <v>5.183013023E9</v>
      </c>
      <c r="E63" s="6">
        <v>5.183013001E9</v>
      </c>
      <c r="F63" s="6" t="b">
        <v>0</v>
      </c>
      <c r="G63" s="6" t="s">
        <v>703</v>
      </c>
      <c r="H63" s="6" t="s">
        <v>704</v>
      </c>
      <c r="I63" s="6" t="s">
        <v>105</v>
      </c>
      <c r="J63" s="28" t="s">
        <v>705</v>
      </c>
      <c r="K63" s="6" t="s">
        <v>706</v>
      </c>
      <c r="L63" s="6" t="s">
        <v>707</v>
      </c>
      <c r="N63" s="6" t="s">
        <v>204</v>
      </c>
      <c r="O63" s="6" t="s">
        <v>708</v>
      </c>
      <c r="W63" s="6">
        <v>2025.0</v>
      </c>
      <c r="X63" s="18">
        <v>1275000.0</v>
      </c>
      <c r="Y63" s="18">
        <v>0.0</v>
      </c>
      <c r="Z63" s="18">
        <f t="shared" si="5"/>
        <v>1275000</v>
      </c>
      <c r="AA63" s="6">
        <v>2025.0</v>
      </c>
      <c r="AC63" s="31"/>
      <c r="AD63" s="12">
        <v>4.0</v>
      </c>
      <c r="AE63" s="6" t="s">
        <v>115</v>
      </c>
      <c r="AF63" s="6">
        <v>34.04134208</v>
      </c>
      <c r="AG63" s="6">
        <v>-118.21155602</v>
      </c>
      <c r="AI63" s="6" t="s">
        <v>709</v>
      </c>
      <c r="AJ63" s="16">
        <f t="array" ref="AJ63">_xlfn.XLOOKUP(
  A63,
  'CMFA-CSCDA Grants'!A:A,
'CMFA-CSCDA Grants'!O:O)</f>
        <v>53</v>
      </c>
      <c r="AK63" s="16">
        <f t="array" ref="AK63">_xlfn.XLOOKUP(
  A63,
  'CMFA-CSCDA Grants'!A:A,
'CMFA-CSCDA Grants'!P:P)</f>
        <v>53</v>
      </c>
      <c r="AL63" s="8">
        <f t="array" ref="AL63">_xlfn.XLOOKUP(
  AD63,
  'Tax Rates'!A:A,
'Tax Rates'!B:B)</f>
        <v>0.0118738</v>
      </c>
    </row>
    <row r="64">
      <c r="A64" s="12">
        <v>38.0</v>
      </c>
      <c r="B64" s="6" t="str">
        <f t="array" ref="B64">_xlfn.XLOOKUP(
  A64,
  'CMFA-CSCDA Grants'!A:A,
'CMFA-CSCDA Grants'!E:E)</f>
        <v>Los Angeles</v>
      </c>
      <c r="C64" s="6" t="str">
        <f t="array" ref="C64">_xlfn.XLOOKUP(
  A64,
  'CMFA-CSCDA Grants'!A:A,
'CMFA-CSCDA Grants'!B:B)</f>
        <v>Marquee Apartments</v>
      </c>
      <c r="D64" s="12">
        <v>2.321001019E9</v>
      </c>
      <c r="F64" s="6" t="b">
        <v>0</v>
      </c>
      <c r="G64" s="6" t="s">
        <v>710</v>
      </c>
      <c r="H64" s="6" t="s">
        <v>711</v>
      </c>
      <c r="I64" s="6" t="s">
        <v>105</v>
      </c>
      <c r="J64" s="6" t="s">
        <v>712</v>
      </c>
      <c r="K64" s="6" t="s">
        <v>713</v>
      </c>
      <c r="L64" s="6" t="s">
        <v>714</v>
      </c>
      <c r="N64" s="6" t="s">
        <v>109</v>
      </c>
      <c r="O64" s="6" t="s">
        <v>110</v>
      </c>
      <c r="P64" s="6" t="s">
        <v>112</v>
      </c>
      <c r="Q64" s="6">
        <v>501.0</v>
      </c>
      <c r="R64" s="6">
        <v>1965.0</v>
      </c>
      <c r="S64" s="6">
        <v>236.0</v>
      </c>
      <c r="T64" s="6">
        <v>99.0</v>
      </c>
      <c r="U64" s="6">
        <v>99.0</v>
      </c>
      <c r="V64" s="6">
        <v>135223.0</v>
      </c>
      <c r="W64" s="6">
        <v>2025.0</v>
      </c>
      <c r="X64" s="18">
        <v>2.98E7</v>
      </c>
      <c r="Y64" s="18">
        <v>1.4E7</v>
      </c>
      <c r="Z64" s="18">
        <f t="shared" si="5"/>
        <v>43800000</v>
      </c>
      <c r="AA64" s="6">
        <v>2025.0</v>
      </c>
      <c r="AB64" s="6">
        <v>2025.0</v>
      </c>
      <c r="AC64" s="18">
        <v>0.0</v>
      </c>
      <c r="AD64" s="12">
        <v>13.0</v>
      </c>
      <c r="AE64" s="6" t="s">
        <v>115</v>
      </c>
      <c r="AF64" s="6">
        <v>34.19994479</v>
      </c>
      <c r="AG64" s="6">
        <v>-118.40139209</v>
      </c>
      <c r="AH64" s="6" t="s">
        <v>715</v>
      </c>
      <c r="AJ64" s="16">
        <f t="array" ref="AJ64">_xlfn.XLOOKUP(
  A64,
  'CMFA-CSCDA Grants'!A:A,
'CMFA-CSCDA Grants'!O:O)</f>
        <v>236</v>
      </c>
      <c r="AK64" s="16">
        <f t="array" ref="AK64">_xlfn.XLOOKUP(
  A64,
  'CMFA-CSCDA Grants'!A:A,
'CMFA-CSCDA Grants'!P:P)</f>
        <v>236</v>
      </c>
      <c r="AL64" s="8">
        <f t="array" ref="AL64">_xlfn.XLOOKUP(
  AD64,
  'Tax Rates'!A:A,
'Tax Rates'!B:B)</f>
        <v>0.0118738</v>
      </c>
    </row>
    <row r="65">
      <c r="A65" s="12">
        <v>39.0</v>
      </c>
      <c r="B65" s="6" t="str">
        <f t="array" ref="B65">_xlfn.XLOOKUP(
  A65,
  'CMFA-CSCDA Grants'!A:A,
'CMFA-CSCDA Grants'!E:E)</f>
        <v>Los Angeles</v>
      </c>
      <c r="C65" s="6" t="str">
        <f t="array" ref="C65">_xlfn.XLOOKUP(
  A65,
  'CMFA-CSCDA Grants'!A:A,
'CMFA-CSCDA Grants'!B:B)</f>
        <v>6200 S. Broadway Apartments</v>
      </c>
      <c r="D65" s="12">
        <v>6.005021032E9</v>
      </c>
      <c r="F65" s="6" t="b">
        <v>0</v>
      </c>
      <c r="G65" s="6" t="s">
        <v>720</v>
      </c>
      <c r="H65" s="6" t="s">
        <v>721</v>
      </c>
      <c r="I65" s="6" t="s">
        <v>105</v>
      </c>
      <c r="J65" s="6" t="s">
        <v>722</v>
      </c>
      <c r="K65" s="6" t="s">
        <v>723</v>
      </c>
      <c r="L65" s="6" t="s">
        <v>724</v>
      </c>
      <c r="N65" s="6" t="s">
        <v>109</v>
      </c>
      <c r="O65" s="6" t="s">
        <v>419</v>
      </c>
      <c r="P65" s="6" t="s">
        <v>419</v>
      </c>
      <c r="Q65" s="6" t="s">
        <v>725</v>
      </c>
      <c r="R65" s="6">
        <v>2012.0</v>
      </c>
      <c r="S65" s="6">
        <v>1.0</v>
      </c>
      <c r="T65" s="6">
        <v>0.0</v>
      </c>
      <c r="U65" s="6">
        <v>1.0</v>
      </c>
      <c r="V65" s="6">
        <v>1488.0</v>
      </c>
      <c r="W65" s="6">
        <v>2025.0</v>
      </c>
      <c r="X65" s="18">
        <v>1326510.0</v>
      </c>
      <c r="Y65" s="18">
        <v>0.0</v>
      </c>
      <c r="Z65" s="18">
        <f t="shared" si="5"/>
        <v>1326510</v>
      </c>
      <c r="AA65" s="6">
        <v>2023.0</v>
      </c>
      <c r="AB65" s="6">
        <v>2023.0</v>
      </c>
      <c r="AC65" s="18">
        <v>0.0</v>
      </c>
      <c r="AD65" s="12">
        <v>6659.0</v>
      </c>
      <c r="AE65" s="6" t="s">
        <v>115</v>
      </c>
      <c r="AF65" s="6">
        <v>33.98309442</v>
      </c>
      <c r="AG65" s="6">
        <v>-118.277933</v>
      </c>
      <c r="AH65" s="6" t="s">
        <v>726</v>
      </c>
      <c r="AJ65" s="16">
        <f t="array" ref="AJ65">_xlfn.XLOOKUP(
  A65,
  'CMFA-CSCDA Grants'!A:A,
'CMFA-CSCDA Grants'!O:O)</f>
        <v>66</v>
      </c>
      <c r="AK65" s="16">
        <f t="array" ref="AK65">_xlfn.XLOOKUP(
  A65,
  'CMFA-CSCDA Grants'!A:A,
'CMFA-CSCDA Grants'!P:P)</f>
        <v>51</v>
      </c>
      <c r="AL65" s="8">
        <f t="array" ref="AL65">_xlfn.XLOOKUP(
  AD65,
  'Tax Rates'!A:A,
'Tax Rates'!B:B)</f>
        <v>0.0118738</v>
      </c>
    </row>
    <row r="66">
      <c r="A66" s="12">
        <v>40.0</v>
      </c>
      <c r="B66" s="6" t="str">
        <f t="array" ref="B66">_xlfn.XLOOKUP(
  A66,
  'CMFA-CSCDA Grants'!A:A,
'CMFA-CSCDA Grants'!E:E)</f>
        <v>Los Angeles</v>
      </c>
      <c r="C66" s="6" t="str">
        <f t="array" ref="C66">_xlfn.XLOOKUP(
  A66,
  'CMFA-CSCDA Grants'!A:A,
'CMFA-CSCDA Grants'!B:B)</f>
        <v>4228 Western Ave. Apartments</v>
      </c>
      <c r="D66" s="12">
        <v>5.021009036E9</v>
      </c>
      <c r="F66" s="6" t="b">
        <v>0</v>
      </c>
      <c r="G66" s="6" t="s">
        <v>729</v>
      </c>
      <c r="H66" s="6" t="s">
        <v>730</v>
      </c>
      <c r="I66" s="6" t="s">
        <v>105</v>
      </c>
      <c r="J66" s="6" t="s">
        <v>731</v>
      </c>
      <c r="K66" s="6" t="s">
        <v>732</v>
      </c>
      <c r="L66" s="6" t="s">
        <v>733</v>
      </c>
      <c r="N66" s="6" t="s">
        <v>109</v>
      </c>
      <c r="O66" s="6" t="s">
        <v>418</v>
      </c>
      <c r="P66" s="6" t="s">
        <v>419</v>
      </c>
      <c r="Q66" s="6">
        <v>1100.0</v>
      </c>
      <c r="R66" s="6">
        <v>2024.0</v>
      </c>
      <c r="S66" s="6">
        <v>68.0</v>
      </c>
      <c r="T66" s="6">
        <v>76.0</v>
      </c>
      <c r="U66" s="6">
        <v>76.0</v>
      </c>
      <c r="V66" s="6">
        <v>40081.0</v>
      </c>
      <c r="W66" s="6">
        <v>2025.0</v>
      </c>
      <c r="X66" s="18">
        <v>1.779084E7</v>
      </c>
      <c r="Y66" s="18">
        <v>0.0</v>
      </c>
      <c r="Z66" s="18">
        <f t="shared" si="5"/>
        <v>17790840</v>
      </c>
      <c r="AA66" s="6">
        <v>2023.0</v>
      </c>
      <c r="AB66" s="6">
        <v>2023.0</v>
      </c>
      <c r="AC66" s="18">
        <v>0.0</v>
      </c>
      <c r="AD66" s="12">
        <v>212.0</v>
      </c>
      <c r="AE66" s="6" t="s">
        <v>115</v>
      </c>
      <c r="AF66" s="6">
        <v>34.00635241</v>
      </c>
      <c r="AG66" s="6">
        <v>-118.30856925</v>
      </c>
      <c r="AH66" s="6" t="s">
        <v>734</v>
      </c>
      <c r="AJ66" s="16">
        <f t="array" ref="AJ66">_xlfn.XLOOKUP(
  A66,
  'CMFA-CSCDA Grants'!A:A,
'CMFA-CSCDA Grants'!O:O)</f>
        <v>68</v>
      </c>
      <c r="AK66" s="16">
        <f t="array" ref="AK66">_xlfn.XLOOKUP(
  A66,
  'CMFA-CSCDA Grants'!A:A,
'CMFA-CSCDA Grants'!P:P)</f>
        <v>14</v>
      </c>
      <c r="AL66" s="8">
        <f t="array" ref="AL66">_xlfn.XLOOKUP(
  AD66,
  'Tax Rates'!A:A,
'Tax Rates'!B:B)</f>
        <v>0.0118738</v>
      </c>
    </row>
    <row r="67">
      <c r="A67" s="12">
        <v>41.0</v>
      </c>
      <c r="B67" s="6" t="str">
        <f t="array" ref="B67">_xlfn.XLOOKUP(
  A67,
  'CMFA-CSCDA Grants'!A:A,
'CMFA-CSCDA Grants'!E:E)</f>
        <v>Los Angeles</v>
      </c>
      <c r="C67" s="6" t="str">
        <f t="array" ref="C67">_xlfn.XLOOKUP(
  A67,
  'CMFA-CSCDA Grants'!A:A,
'CMFA-CSCDA Grants'!B:B)</f>
        <v>4327 S. Vermont Apartments</v>
      </c>
      <c r="D67" s="12">
        <v>5.020025039E9</v>
      </c>
      <c r="F67" s="6" t="b">
        <v>0</v>
      </c>
      <c r="G67" s="6" t="s">
        <v>741</v>
      </c>
      <c r="H67" s="6" t="s">
        <v>743</v>
      </c>
      <c r="I67" s="6" t="s">
        <v>105</v>
      </c>
      <c r="J67" s="6" t="s">
        <v>744</v>
      </c>
      <c r="K67" s="6" t="s">
        <v>745</v>
      </c>
      <c r="L67" s="6" t="s">
        <v>746</v>
      </c>
      <c r="N67" s="6" t="s">
        <v>109</v>
      </c>
      <c r="O67" s="6" t="s">
        <v>418</v>
      </c>
      <c r="P67" s="6" t="s">
        <v>419</v>
      </c>
      <c r="Q67" s="6">
        <v>1100.0</v>
      </c>
      <c r="R67" s="6">
        <v>1968.0</v>
      </c>
      <c r="S67" s="6">
        <v>11.0</v>
      </c>
      <c r="T67" s="6">
        <v>0.0</v>
      </c>
      <c r="U67" s="6">
        <v>0.0</v>
      </c>
      <c r="V67" s="6">
        <v>10486.0</v>
      </c>
      <c r="W67" s="6">
        <v>2025.0</v>
      </c>
      <c r="X67" s="18">
        <v>3529071.0</v>
      </c>
      <c r="Y67" s="18">
        <v>190487.0</v>
      </c>
      <c r="Z67" s="18">
        <f t="shared" si="5"/>
        <v>3719558</v>
      </c>
      <c r="AA67" s="6">
        <v>2023.0</v>
      </c>
      <c r="AB67" s="6">
        <v>2023.0</v>
      </c>
      <c r="AC67" s="18">
        <v>0.0</v>
      </c>
      <c r="AD67" s="12">
        <v>6660.0</v>
      </c>
      <c r="AE67" s="6" t="s">
        <v>115</v>
      </c>
      <c r="AF67" s="6">
        <v>34.00491555</v>
      </c>
      <c r="AG67" s="6">
        <v>-118.29205355</v>
      </c>
      <c r="AH67" s="6" t="s">
        <v>749</v>
      </c>
      <c r="AJ67" s="16">
        <f t="array" ref="AJ67">_xlfn.XLOOKUP(
  A67,
  'CMFA-CSCDA Grants'!A:A,
'CMFA-CSCDA Grants'!O:O)</f>
        <v>188</v>
      </c>
      <c r="AK67" s="16">
        <f t="array" ref="AK67">_xlfn.XLOOKUP(
  A67,
  'CMFA-CSCDA Grants'!A:A,
'CMFA-CSCDA Grants'!P:P)</f>
        <v>111</v>
      </c>
      <c r="AL67" s="8">
        <f t="array" ref="AL67">_xlfn.XLOOKUP(
  AD67,
  'Tax Rates'!A:A,
'Tax Rates'!B:B)</f>
        <v>0.0118738</v>
      </c>
    </row>
    <row r="68">
      <c r="A68" s="12">
        <v>42.0</v>
      </c>
      <c r="B68" s="6" t="str">
        <f t="array" ref="B68">_xlfn.XLOOKUP(
  A68,
  'CMFA-CSCDA Grants'!A:A,
'CMFA-CSCDA Grants'!E:E)</f>
        <v>Los Angeles</v>
      </c>
      <c r="C68" s="6" t="str">
        <f t="array" ref="C68">_xlfn.XLOOKUP(
  A68,
  'CMFA-CSCDA Grants'!A:A,
'CMFA-CSCDA Grants'!B:B)</f>
        <v>2023 Imperial Apartments</v>
      </c>
      <c r="D68" s="12">
        <v>6.083001009E9</v>
      </c>
      <c r="F68" s="6" t="b">
        <v>0</v>
      </c>
      <c r="G68" s="6" t="s">
        <v>759</v>
      </c>
      <c r="H68" s="6" t="s">
        <v>760</v>
      </c>
      <c r="I68" s="6" t="s">
        <v>105</v>
      </c>
      <c r="J68" s="6" t="s">
        <v>761</v>
      </c>
      <c r="K68" s="6" t="s">
        <v>762</v>
      </c>
      <c r="L68" s="6" t="s">
        <v>763</v>
      </c>
      <c r="N68" s="6" t="s">
        <v>109</v>
      </c>
      <c r="O68" s="6" t="s">
        <v>764</v>
      </c>
      <c r="P68" s="6" t="s">
        <v>765</v>
      </c>
      <c r="Q68" s="6">
        <v>3100.0</v>
      </c>
      <c r="R68" s="6">
        <v>1951.0</v>
      </c>
      <c r="S68" s="6">
        <v>0.0</v>
      </c>
      <c r="T68" s="6">
        <v>0.0</v>
      </c>
      <c r="U68" s="6">
        <v>0.0</v>
      </c>
      <c r="V68" s="6">
        <v>7675.0</v>
      </c>
      <c r="W68" s="6">
        <v>2025.0</v>
      </c>
      <c r="X68" s="18">
        <v>213261.0</v>
      </c>
      <c r="Y68" s="18">
        <v>216103.0</v>
      </c>
      <c r="Z68" s="18">
        <f t="shared" si="5"/>
        <v>429364</v>
      </c>
      <c r="AA68" s="6">
        <v>2004.0</v>
      </c>
      <c r="AB68" s="6">
        <v>2004.0</v>
      </c>
      <c r="AC68" s="18">
        <v>0.0</v>
      </c>
      <c r="AD68" s="12">
        <v>6654.0</v>
      </c>
      <c r="AE68" s="6" t="s">
        <v>115</v>
      </c>
      <c r="AF68" s="6">
        <v>33.93076254</v>
      </c>
      <c r="AG68" s="6">
        <v>-118.27311366</v>
      </c>
      <c r="AH68" s="6" t="s">
        <v>767</v>
      </c>
      <c r="AJ68" s="16">
        <f t="array" ref="AJ68">_xlfn.XLOOKUP(
  A68,
  'CMFA-CSCDA Grants'!A:A,
'CMFA-CSCDA Grants'!O:O)</f>
        <v>90</v>
      </c>
      <c r="AK68" s="16">
        <f t="array" ref="AK68">_xlfn.XLOOKUP(
  A68,
  'CMFA-CSCDA Grants'!A:A,
'CMFA-CSCDA Grants'!P:P)</f>
        <v>71</v>
      </c>
      <c r="AL68" s="8">
        <f t="array" ref="AL68">_xlfn.XLOOKUP(
  AD68,
  'Tax Rates'!A:A,
'Tax Rates'!B:B)</f>
        <v>0.0118738</v>
      </c>
    </row>
    <row r="69">
      <c r="A69" s="22">
        <v>43.0</v>
      </c>
      <c r="B69" s="6" t="str">
        <f t="array" ref="B69">_xlfn.XLOOKUP(
  A69,
  'CMFA-CSCDA Grants'!A:A,
'CMFA-CSCDA Grants'!E:E)</f>
        <v>Marin</v>
      </c>
      <c r="C69" s="6" t="str">
        <f t="array" ref="C69">_xlfn.XLOOKUP(
  A69,
  'CMFA-CSCDA Grants'!A:A,
'CMFA-CSCDA Grants'!B:B)</f>
        <v>Meridian Apartments</v>
      </c>
      <c r="D69" s="24" t="s">
        <v>768</v>
      </c>
      <c r="F69" s="6" t="b">
        <v>0</v>
      </c>
      <c r="H69" s="6" t="s">
        <v>769</v>
      </c>
      <c r="X69" s="18" t="s">
        <v>146</v>
      </c>
      <c r="Y69" s="18" t="s">
        <v>146</v>
      </c>
      <c r="Z69" s="18">
        <v>3.3879341E7</v>
      </c>
      <c r="AC69" s="18"/>
      <c r="AD69" s="12" t="s">
        <v>250</v>
      </c>
      <c r="AJ69" s="16">
        <f t="array" ref="AJ69">_xlfn.XLOOKUP(
  A69,
  'CMFA-CSCDA Grants'!A:A,
'CMFA-CSCDA Grants'!O:O)</f>
        <v>99</v>
      </c>
      <c r="AK69" s="16">
        <f t="array" ref="AK69">_xlfn.XLOOKUP(
  A69,
  'CMFA-CSCDA Grants'!A:A,
'CMFA-CSCDA Grants'!P:P)</f>
        <v>99</v>
      </c>
      <c r="AL69" s="10">
        <f t="array" ref="AL69">_xlfn.XLOOKUP(
  AD69,
  'Tax Rates'!A:A,
'Tax Rates'!B:B)</f>
        <v>0.01084</v>
      </c>
    </row>
    <row r="70">
      <c r="A70" s="12">
        <v>44.0</v>
      </c>
      <c r="B70" s="6" t="str">
        <f t="array" ref="B70">_xlfn.XLOOKUP(
  A70,
  'CMFA-CSCDA Grants'!A:A,
'CMFA-CSCDA Grants'!E:E)</f>
        <v>Los Angeles</v>
      </c>
      <c r="C70" s="6" t="str">
        <f t="array" ref="C70">_xlfn.XLOOKUP(
  A70,
  'CMFA-CSCDA Grants'!A:A,
'CMFA-CSCDA Grants'!B:B)</f>
        <v>Soto Apartments</v>
      </c>
      <c r="D70" s="12">
        <v>5.180001024E9</v>
      </c>
      <c r="E70" s="6">
        <v>5.180001013E9</v>
      </c>
      <c r="F70" s="6" t="b">
        <v>0</v>
      </c>
      <c r="G70" s="6" t="s">
        <v>773</v>
      </c>
      <c r="H70" s="6" t="s">
        <v>774</v>
      </c>
      <c r="I70" s="6" t="s">
        <v>105</v>
      </c>
      <c r="J70" s="6" t="s">
        <v>775</v>
      </c>
      <c r="K70" s="6" t="s">
        <v>776</v>
      </c>
      <c r="L70" s="6" t="s">
        <v>777</v>
      </c>
      <c r="N70" s="6" t="s">
        <v>204</v>
      </c>
      <c r="O70" s="6" t="s">
        <v>708</v>
      </c>
      <c r="W70" s="6">
        <v>2025.0</v>
      </c>
      <c r="X70" s="18">
        <v>1560600.0</v>
      </c>
      <c r="Y70" s="18">
        <v>948500.0</v>
      </c>
      <c r="Z70" s="18">
        <f>SUM(X70:Y70)</f>
        <v>2509100</v>
      </c>
      <c r="AA70" s="6">
        <v>2023.0</v>
      </c>
      <c r="AB70" s="6">
        <v>2025.0</v>
      </c>
      <c r="AC70" s="18">
        <v>0.0</v>
      </c>
      <c r="AD70" s="12">
        <v>12703.0</v>
      </c>
      <c r="AE70" s="6" t="s">
        <v>115</v>
      </c>
      <c r="AF70" s="6">
        <v>34.04586647</v>
      </c>
      <c r="AG70" s="6">
        <v>-118.2079048</v>
      </c>
      <c r="AI70" s="6" t="s">
        <v>778</v>
      </c>
      <c r="AJ70" s="16">
        <f t="array" ref="AJ70">_xlfn.XLOOKUP(
  A70,
  'CMFA-CSCDA Grants'!A:A,
'CMFA-CSCDA Grants'!O:O)</f>
        <v>41</v>
      </c>
      <c r="AK70" s="16">
        <f t="array" ref="AK70">_xlfn.XLOOKUP(
  A70,
  'CMFA-CSCDA Grants'!A:A,
'CMFA-CSCDA Grants'!P:P)</f>
        <v>40</v>
      </c>
      <c r="AL70" s="8">
        <f t="array" ref="AL70">_xlfn.XLOOKUP(
  AD70,
  'Tax Rates'!A:A,
'Tax Rates'!B:B)</f>
        <v>0.0118738</v>
      </c>
    </row>
    <row r="71">
      <c r="A71" s="22">
        <v>45.0</v>
      </c>
      <c r="B71" s="6" t="str">
        <f t="array" ref="B71">_xlfn.XLOOKUP(
  A71,
  'CMFA-CSCDA Grants'!A:A,
'CMFA-CSCDA Grants'!E:E)</f>
        <v>Orange</v>
      </c>
      <c r="C71" s="6" t="str">
        <f t="array" ref="C71">_xlfn.XLOOKUP(
  A71,
  'CMFA-CSCDA Grants'!A:A,
'CMFA-CSCDA Grants'!B:B)</f>
        <v>Horizon Apartments</v>
      </c>
      <c r="D71" s="24" t="s">
        <v>779</v>
      </c>
      <c r="F71" s="6" t="b">
        <v>0</v>
      </c>
      <c r="H71" s="6" t="s">
        <v>780</v>
      </c>
      <c r="X71" s="18">
        <v>2.2102919E7</v>
      </c>
      <c r="Y71" s="18">
        <v>3397081.0</v>
      </c>
      <c r="Z71" s="18">
        <v>2.55E7</v>
      </c>
      <c r="AC71" s="18"/>
      <c r="AD71" s="12" t="s">
        <v>268</v>
      </c>
      <c r="AJ71" s="16">
        <f t="array" ref="AJ71">_xlfn.XLOOKUP(
  A71,
  'CMFA-CSCDA Grants'!A:A,
'CMFA-CSCDA Grants'!O:O)</f>
        <v>406</v>
      </c>
      <c r="AK71" s="16">
        <f t="array" ref="AK71">_xlfn.XLOOKUP(
  A71,
  'CMFA-CSCDA Grants'!A:A,
'CMFA-CSCDA Grants'!P:P)</f>
        <v>406</v>
      </c>
      <c r="AL71" s="10">
        <f t="array" ref="AL71">_xlfn.XLOOKUP(
  AD71,
  'Tax Rates'!A:A,
'Tax Rates'!B:B)</f>
        <v>0.011195</v>
      </c>
    </row>
    <row r="72">
      <c r="A72" s="22">
        <v>45.0</v>
      </c>
      <c r="B72" s="6" t="str">
        <f t="array" ref="B72">_xlfn.XLOOKUP(
  A72,
  'CMFA-CSCDA Grants'!A:A,
'CMFA-CSCDA Grants'!E:E)</f>
        <v>Orange</v>
      </c>
      <c r="C72" s="6" t="str">
        <f t="array" ref="C72">_xlfn.XLOOKUP(
  A72,
  'CMFA-CSCDA Grants'!A:A,
'CMFA-CSCDA Grants'!B:B)</f>
        <v>Horizon Apartments</v>
      </c>
      <c r="D72" s="24" t="s">
        <v>781</v>
      </c>
      <c r="F72" s="6" t="b">
        <v>0</v>
      </c>
      <c r="H72" s="6" t="s">
        <v>780</v>
      </c>
      <c r="X72" s="18">
        <v>8.8942193E7</v>
      </c>
      <c r="Y72" s="18">
        <v>1.4757807E7</v>
      </c>
      <c r="Z72" s="18">
        <f>sum(Y72,X72)</f>
        <v>103700000</v>
      </c>
      <c r="AC72" s="18"/>
      <c r="AD72" s="12" t="s">
        <v>782</v>
      </c>
      <c r="AE72" s="6" t="s">
        <v>783</v>
      </c>
    </row>
    <row r="73">
      <c r="A73" s="12">
        <v>46.0</v>
      </c>
      <c r="B73" s="6" t="str">
        <f t="array" ref="B73">_xlfn.XLOOKUP(
  A73,
  'CMFA-CSCDA Grants'!A:A,
'CMFA-CSCDA Grants'!E:E)</f>
        <v>Los Angeles</v>
      </c>
      <c r="C73" s="6" t="str">
        <f t="array" ref="C73">_xlfn.XLOOKUP(
  A73,
  'CMFA-CSCDA Grants'!A:A,
'CMFA-CSCDA Grants'!B:B)</f>
        <v>4752 Main Street Apartments</v>
      </c>
      <c r="D73" s="12">
        <v>5.109003014E9</v>
      </c>
      <c r="F73" s="6" t="b">
        <v>0</v>
      </c>
      <c r="G73" s="6" t="s">
        <v>784</v>
      </c>
      <c r="H73" s="6" t="s">
        <v>785</v>
      </c>
      <c r="I73" s="6" t="s">
        <v>105</v>
      </c>
      <c r="J73" s="6" t="s">
        <v>786</v>
      </c>
      <c r="K73" s="6" t="s">
        <v>787</v>
      </c>
      <c r="L73" s="6" t="s">
        <v>788</v>
      </c>
      <c r="N73" s="6" t="s">
        <v>453</v>
      </c>
      <c r="O73" s="6" t="s">
        <v>789</v>
      </c>
      <c r="P73" s="6" t="s">
        <v>419</v>
      </c>
      <c r="Q73" s="6">
        <v>2700.0</v>
      </c>
      <c r="R73" s="6">
        <v>1955.0</v>
      </c>
      <c r="S73" s="6">
        <v>1.0</v>
      </c>
      <c r="T73" s="6">
        <v>0.0</v>
      </c>
      <c r="U73" s="6">
        <v>0.0</v>
      </c>
      <c r="V73" s="6">
        <v>5400.0</v>
      </c>
      <c r="W73" s="6">
        <v>2025.0</v>
      </c>
      <c r="X73" s="18">
        <v>599666.0</v>
      </c>
      <c r="Y73" s="18">
        <v>1081.0</v>
      </c>
      <c r="Z73" s="18">
        <f t="shared" ref="Z73:Z74" si="6">SUM(X73:Y73)</f>
        <v>600747</v>
      </c>
      <c r="AA73" s="6">
        <v>2021.0</v>
      </c>
      <c r="AB73" s="6">
        <v>2021.0</v>
      </c>
      <c r="AC73" s="18">
        <v>0.0</v>
      </c>
      <c r="AD73" s="12">
        <v>6659.0</v>
      </c>
      <c r="AE73" s="6" t="s">
        <v>115</v>
      </c>
      <c r="AF73" s="6">
        <v>33.99975865</v>
      </c>
      <c r="AG73" s="6">
        <v>-118.27360606</v>
      </c>
      <c r="AH73" s="6" t="s">
        <v>790</v>
      </c>
      <c r="AI73" s="6" t="s">
        <v>456</v>
      </c>
      <c r="AJ73" s="16">
        <f t="array" ref="AJ73">_xlfn.XLOOKUP(
  A73,
  'CMFA-CSCDA Grants'!A:A,
'CMFA-CSCDA Grants'!O:O)</f>
        <v>53</v>
      </c>
      <c r="AK73" s="16">
        <f t="array" ref="AK73">_xlfn.XLOOKUP(
  A73,
  'CMFA-CSCDA Grants'!A:A,
'CMFA-CSCDA Grants'!P:P)</f>
        <v>53</v>
      </c>
      <c r="AL73" s="8">
        <f t="array" ref="AL73">_xlfn.XLOOKUP(
  AD73,
  'Tax Rates'!A:A,
'Tax Rates'!B:B)</f>
        <v>0.0118738</v>
      </c>
    </row>
    <row r="74">
      <c r="A74" s="12">
        <v>46.0</v>
      </c>
      <c r="B74" s="6" t="str">
        <f t="array" ref="B74">_xlfn.XLOOKUP(
  A74,
  'CMFA-CSCDA Grants'!A:A,
'CMFA-CSCDA Grants'!E:E)</f>
        <v>Los Angeles</v>
      </c>
      <c r="C74" s="6" t="str">
        <f t="array" ref="C74">_xlfn.XLOOKUP(
  A74,
  'CMFA-CSCDA Grants'!A:A,
'CMFA-CSCDA Grants'!B:B)</f>
        <v>4752 Main Street Apartments</v>
      </c>
      <c r="D74" s="12">
        <v>5.109003001E9</v>
      </c>
      <c r="F74" s="6" t="b">
        <v>0</v>
      </c>
      <c r="G74" s="6" t="s">
        <v>795</v>
      </c>
      <c r="H74" s="6" t="s">
        <v>796</v>
      </c>
      <c r="I74" s="6" t="s">
        <v>105</v>
      </c>
      <c r="J74" s="6" t="s">
        <v>786</v>
      </c>
      <c r="K74" s="6" t="s">
        <v>787</v>
      </c>
      <c r="L74" s="6" t="s">
        <v>788</v>
      </c>
      <c r="N74" s="6" t="s">
        <v>453</v>
      </c>
      <c r="O74" s="6" t="s">
        <v>789</v>
      </c>
      <c r="P74" s="6" t="s">
        <v>419</v>
      </c>
      <c r="Q74" s="6">
        <v>2700.0</v>
      </c>
      <c r="R74" s="6">
        <v>1955.0</v>
      </c>
      <c r="S74" s="6">
        <v>1.0</v>
      </c>
      <c r="T74" s="6">
        <v>0.0</v>
      </c>
      <c r="U74" s="6">
        <v>0.0</v>
      </c>
      <c r="V74" s="6">
        <v>5625.0</v>
      </c>
      <c r="W74" s="6">
        <v>2025.0</v>
      </c>
      <c r="X74" s="18">
        <v>697085.0</v>
      </c>
      <c r="Y74" s="18">
        <v>1081.0</v>
      </c>
      <c r="Z74" s="18">
        <f t="shared" si="6"/>
        <v>698166</v>
      </c>
      <c r="AA74" s="6">
        <v>2021.0</v>
      </c>
      <c r="AB74" s="6">
        <v>2021.0</v>
      </c>
      <c r="AC74" s="18">
        <v>0.0</v>
      </c>
      <c r="AD74" s="12">
        <v>6659.0</v>
      </c>
      <c r="AE74" s="6" t="s">
        <v>115</v>
      </c>
      <c r="AF74" s="6">
        <v>33.99994304</v>
      </c>
      <c r="AG74" s="6">
        <v>-118.27370905</v>
      </c>
      <c r="AH74" s="6" t="s">
        <v>797</v>
      </c>
      <c r="AI74" s="6" t="s">
        <v>456</v>
      </c>
      <c r="AJ74" s="16">
        <f t="array" ref="AJ74">_xlfn.XLOOKUP(
  A74,
  'CMFA-CSCDA Grants'!A:A,
'CMFA-CSCDA Grants'!O:O)</f>
        <v>53</v>
      </c>
      <c r="AK74" s="16">
        <f t="array" ref="AK74">_xlfn.XLOOKUP(
  A74,
  'CMFA-CSCDA Grants'!A:A,
'CMFA-CSCDA Grants'!P:P)</f>
        <v>53</v>
      </c>
      <c r="AL74" s="8">
        <f t="array" ref="AL74">_xlfn.XLOOKUP(
  AD74,
  'Tax Rates'!A:A,
'Tax Rates'!B:B)</f>
        <v>0.0118738</v>
      </c>
    </row>
    <row r="75">
      <c r="A75" s="22">
        <v>47.0</v>
      </c>
      <c r="B75" s="6" t="str">
        <f t="array" ref="B75">_xlfn.XLOOKUP(
  A75,
  'CMFA-CSCDA Grants'!A:A,
'CMFA-CSCDA Grants'!E:E)</f>
        <v>San Diego</v>
      </c>
      <c r="C75" s="6" t="str">
        <f t="array" ref="C75">_xlfn.XLOOKUP(
  A75,
  'CMFA-CSCDA Grants'!A:A,
'CMFA-CSCDA Grants'!B:B)</f>
        <v>6171 Mission Gorge Apartments</v>
      </c>
      <c r="D75" s="24" t="s">
        <v>798</v>
      </c>
      <c r="F75" s="6" t="b">
        <v>0</v>
      </c>
      <c r="H75" s="6" t="s">
        <v>799</v>
      </c>
      <c r="X75" s="18" t="s">
        <v>146</v>
      </c>
      <c r="Y75" s="18" t="s">
        <v>146</v>
      </c>
      <c r="Z75" s="18">
        <v>1.3362E7</v>
      </c>
      <c r="AC75" s="18"/>
      <c r="AD75" s="12" t="s">
        <v>122</v>
      </c>
      <c r="AJ75" s="16">
        <f t="array" ref="AJ75">_xlfn.XLOOKUP(
  A75,
  'CMFA-CSCDA Grants'!A:A,
'CMFA-CSCDA Grants'!O:O)</f>
        <v>488</v>
      </c>
      <c r="AK75" s="16">
        <f t="array" ref="AK75">_xlfn.XLOOKUP(
  A75,
  'CMFA-CSCDA Grants'!A:A,
'CMFA-CSCDA Grants'!P:P)</f>
        <v>483</v>
      </c>
      <c r="AL75" s="10">
        <f t="array" ref="AL75">_xlfn.XLOOKUP(
  AD75,
  'Tax Rates'!A:A,
'Tax Rates'!B:B)</f>
        <v>0.0125114</v>
      </c>
    </row>
    <row r="76">
      <c r="A76" s="22">
        <v>48.0</v>
      </c>
      <c r="B76" s="6" t="str">
        <f t="array" ref="B76">_xlfn.XLOOKUP(
  A76,
  'CMFA-CSCDA Grants'!A:A,
'CMFA-CSCDA Grants'!E:E)</f>
        <v>San Mateo</v>
      </c>
      <c r="C76" s="6" t="str">
        <f t="array" ref="C76">_xlfn.XLOOKUP(
  A76,
  'CMFA-CSCDA Grants'!A:A,
'CMFA-CSCDA Grants'!B:B)</f>
        <v>Hillsdale Gardens Apartments</v>
      </c>
      <c r="D76" s="24" t="s">
        <v>802</v>
      </c>
      <c r="F76" s="6" t="b">
        <v>0</v>
      </c>
      <c r="H76" s="6" t="s">
        <v>803</v>
      </c>
      <c r="X76" s="18" t="s">
        <v>146</v>
      </c>
      <c r="Y76" s="18" t="s">
        <v>146</v>
      </c>
      <c r="Z76" s="18">
        <v>3.1083E7</v>
      </c>
      <c r="AC76" s="18">
        <v>7000.0</v>
      </c>
      <c r="AD76" s="12" t="s">
        <v>124</v>
      </c>
      <c r="AJ76" s="16">
        <f t="array" ref="AJ76">_xlfn.XLOOKUP(
  A76,
  'CMFA-CSCDA Grants'!A:A,
'CMFA-CSCDA Grants'!O:O)</f>
        <v>697</v>
      </c>
      <c r="AK76" s="16">
        <f t="array" ref="AK76">_xlfn.XLOOKUP(
  A76,
  'CMFA-CSCDA Grants'!A:A,
'CMFA-CSCDA Grants'!P:P)</f>
        <v>697</v>
      </c>
      <c r="AL76" s="10">
        <f t="array" ref="AL76">_xlfn.XLOOKUP(
  AD76,
  'Tax Rates'!A:A,
'Tax Rates'!B:B)</f>
        <v>0.011201</v>
      </c>
    </row>
    <row r="77">
      <c r="A77" s="22">
        <v>48.0</v>
      </c>
      <c r="B77" s="6" t="str">
        <f t="array" ref="B77">_xlfn.XLOOKUP(
  A77,
  'CMFA-CSCDA Grants'!A:A,
'CMFA-CSCDA Grants'!E:E)</f>
        <v>San Mateo</v>
      </c>
      <c r="C77" s="6" t="str">
        <f t="array" ref="C77">_xlfn.XLOOKUP(
  A77,
  'CMFA-CSCDA Grants'!A:A,
'CMFA-CSCDA Grants'!B:B)</f>
        <v>Hillsdale Gardens Apartments</v>
      </c>
      <c r="D77" s="24" t="s">
        <v>804</v>
      </c>
      <c r="F77" s="6" t="b">
        <v>0</v>
      </c>
      <c r="H77" s="6" t="s">
        <v>803</v>
      </c>
      <c r="X77" s="18" t="s">
        <v>146</v>
      </c>
      <c r="Y77" s="18" t="s">
        <v>146</v>
      </c>
      <c r="Z77" s="18">
        <v>6.29329E7</v>
      </c>
      <c r="AC77" s="18">
        <v>7000.0</v>
      </c>
      <c r="AD77" s="12" t="s">
        <v>124</v>
      </c>
      <c r="AJ77" s="16">
        <f t="array" ref="AJ77">_xlfn.XLOOKUP(
  A77,
  'CMFA-CSCDA Grants'!A:A,
'CMFA-CSCDA Grants'!O:O)</f>
        <v>697</v>
      </c>
      <c r="AK77" s="16">
        <f t="array" ref="AK77">_xlfn.XLOOKUP(
  A77,
  'CMFA-CSCDA Grants'!A:A,
'CMFA-CSCDA Grants'!P:P)</f>
        <v>697</v>
      </c>
      <c r="AL77" s="10">
        <f t="array" ref="AL77">_xlfn.XLOOKUP(
  AD77,
  'Tax Rates'!A:A,
'Tax Rates'!B:B)</f>
        <v>0.011201</v>
      </c>
    </row>
    <row r="78">
      <c r="A78" s="22">
        <v>48.0</v>
      </c>
      <c r="B78" s="6" t="str">
        <f t="array" ref="B78">_xlfn.XLOOKUP(
  A78,
  'CMFA-CSCDA Grants'!A:A,
'CMFA-CSCDA Grants'!E:E)</f>
        <v>San Mateo</v>
      </c>
      <c r="C78" s="6" t="str">
        <f t="array" ref="C78">_xlfn.XLOOKUP(
  A78,
  'CMFA-CSCDA Grants'!A:A,
'CMFA-CSCDA Grants'!B:B)</f>
        <v>Hillsdale Gardens Apartments</v>
      </c>
      <c r="D78" s="24" t="s">
        <v>808</v>
      </c>
      <c r="F78" s="6" t="b">
        <v>0</v>
      </c>
      <c r="H78" s="6" t="s">
        <v>810</v>
      </c>
      <c r="X78" s="18" t="s">
        <v>146</v>
      </c>
      <c r="Y78" s="18" t="s">
        <v>146</v>
      </c>
      <c r="Z78" s="18">
        <v>4.48214E7</v>
      </c>
      <c r="AC78" s="18">
        <v>7000.0</v>
      </c>
      <c r="AD78" s="12" t="s">
        <v>124</v>
      </c>
      <c r="AJ78" s="16">
        <f t="array" ref="AJ78">_xlfn.XLOOKUP(
  A78,
  'CMFA-CSCDA Grants'!A:A,
'CMFA-CSCDA Grants'!O:O)</f>
        <v>697</v>
      </c>
      <c r="AK78" s="16">
        <f t="array" ref="AK78">_xlfn.XLOOKUP(
  A78,
  'CMFA-CSCDA Grants'!A:A,
'CMFA-CSCDA Grants'!P:P)</f>
        <v>697</v>
      </c>
      <c r="AL78" s="10">
        <f t="array" ref="AL78">_xlfn.XLOOKUP(
  AD78,
  'Tax Rates'!A:A,
'Tax Rates'!B:B)</f>
        <v>0.011201</v>
      </c>
    </row>
    <row r="79">
      <c r="A79" s="22">
        <v>48.0</v>
      </c>
      <c r="B79" s="6" t="str">
        <f t="array" ref="B79">_xlfn.XLOOKUP(
  A79,
  'CMFA-CSCDA Grants'!A:A,
'CMFA-CSCDA Grants'!E:E)</f>
        <v>San Mateo</v>
      </c>
      <c r="C79" s="6" t="str">
        <f t="array" ref="C79">_xlfn.XLOOKUP(
  A79,
  'CMFA-CSCDA Grants'!A:A,
'CMFA-CSCDA Grants'!B:B)</f>
        <v>Hillsdale Gardens Apartments</v>
      </c>
      <c r="D79" s="24" t="s">
        <v>811</v>
      </c>
      <c r="F79" s="6" t="b">
        <v>0</v>
      </c>
      <c r="H79" s="6" t="s">
        <v>812</v>
      </c>
      <c r="X79" s="18" t="s">
        <v>146</v>
      </c>
      <c r="Y79" s="18" t="s">
        <v>146</v>
      </c>
      <c r="Z79" s="18">
        <v>3.11617E7</v>
      </c>
      <c r="AC79" s="18">
        <v>7000.0</v>
      </c>
      <c r="AD79" s="12" t="s">
        <v>124</v>
      </c>
      <c r="AJ79" s="16">
        <f t="array" ref="AJ79">_xlfn.XLOOKUP(
  A79,
  'CMFA-CSCDA Grants'!A:A,
'CMFA-CSCDA Grants'!O:O)</f>
        <v>697</v>
      </c>
      <c r="AK79" s="16">
        <f t="array" ref="AK79">_xlfn.XLOOKUP(
  A79,
  'CMFA-CSCDA Grants'!A:A,
'CMFA-CSCDA Grants'!P:P)</f>
        <v>697</v>
      </c>
      <c r="AL79" s="10">
        <f t="array" ref="AL79">_xlfn.XLOOKUP(
  AD79,
  'Tax Rates'!A:A,
'Tax Rates'!B:B)</f>
        <v>0.011201</v>
      </c>
    </row>
    <row r="80">
      <c r="A80" s="22">
        <v>48.0</v>
      </c>
      <c r="B80" s="6" t="str">
        <f t="array" ref="B80">_xlfn.XLOOKUP(
  A80,
  'CMFA-CSCDA Grants'!A:A,
'CMFA-CSCDA Grants'!E:E)</f>
        <v>San Mateo</v>
      </c>
      <c r="C80" s="6" t="str">
        <f t="array" ref="C80">_xlfn.XLOOKUP(
  A80,
  'CMFA-CSCDA Grants'!A:A,
'CMFA-CSCDA Grants'!B:B)</f>
        <v>Hillsdale Gardens Apartments</v>
      </c>
      <c r="D80" s="24" t="s">
        <v>813</v>
      </c>
      <c r="F80" s="6" t="b">
        <v>0</v>
      </c>
      <c r="H80" s="6" t="s">
        <v>814</v>
      </c>
      <c r="X80" s="18" t="s">
        <v>146</v>
      </c>
      <c r="Y80" s="18" t="s">
        <v>146</v>
      </c>
      <c r="Z80" s="18">
        <v>4.1355E7</v>
      </c>
      <c r="AC80" s="18">
        <v>0.0</v>
      </c>
      <c r="AD80" s="12" t="s">
        <v>124</v>
      </c>
      <c r="AJ80" s="16">
        <f t="array" ref="AJ80">_xlfn.XLOOKUP(
  A80,
  'CMFA-CSCDA Grants'!A:A,
'CMFA-CSCDA Grants'!O:O)</f>
        <v>697</v>
      </c>
      <c r="AK80" s="16">
        <f t="array" ref="AK80">_xlfn.XLOOKUP(
  A80,
  'CMFA-CSCDA Grants'!A:A,
'CMFA-CSCDA Grants'!P:P)</f>
        <v>697</v>
      </c>
      <c r="AL80" s="10">
        <f t="array" ref="AL80">_xlfn.XLOOKUP(
  AD80,
  'Tax Rates'!A:A,
'Tax Rates'!B:B)</f>
        <v>0.011201</v>
      </c>
    </row>
    <row r="81">
      <c r="A81" s="22">
        <v>48.0</v>
      </c>
      <c r="B81" s="6" t="str">
        <f t="array" ref="B81">_xlfn.XLOOKUP(
  A81,
  'CMFA-CSCDA Grants'!A:A,
'CMFA-CSCDA Grants'!E:E)</f>
        <v>San Mateo</v>
      </c>
      <c r="C81" s="6" t="str">
        <f t="array" ref="C81">_xlfn.XLOOKUP(
  A81,
  'CMFA-CSCDA Grants'!A:A,
'CMFA-CSCDA Grants'!B:B)</f>
        <v>Hillsdale Gardens Apartments</v>
      </c>
      <c r="D81" s="24" t="s">
        <v>817</v>
      </c>
      <c r="F81" s="6" t="b">
        <v>0</v>
      </c>
      <c r="H81" s="6" t="s">
        <v>818</v>
      </c>
      <c r="X81" s="18" t="s">
        <v>146</v>
      </c>
      <c r="Y81" s="18" t="s">
        <v>146</v>
      </c>
      <c r="Z81" s="18">
        <v>4.10085E7</v>
      </c>
      <c r="AC81" s="18">
        <v>0.0</v>
      </c>
      <c r="AD81" s="12" t="s">
        <v>124</v>
      </c>
      <c r="AJ81" s="16">
        <f t="array" ref="AJ81">_xlfn.XLOOKUP(
  A81,
  'CMFA-CSCDA Grants'!A:A,
'CMFA-CSCDA Grants'!O:O)</f>
        <v>697</v>
      </c>
      <c r="AK81" s="16">
        <f t="array" ref="AK81">_xlfn.XLOOKUP(
  A81,
  'CMFA-CSCDA Grants'!A:A,
'CMFA-CSCDA Grants'!P:P)</f>
        <v>697</v>
      </c>
      <c r="AL81" s="10">
        <f t="array" ref="AL81">_xlfn.XLOOKUP(
  AD81,
  'Tax Rates'!A:A,
'Tax Rates'!B:B)</f>
        <v>0.011201</v>
      </c>
    </row>
    <row r="82">
      <c r="A82" s="22">
        <v>49.0</v>
      </c>
      <c r="B82" s="6" t="str">
        <f t="array" ref="B82">_xlfn.XLOOKUP(
  A82,
  'CMFA-CSCDA Grants'!A:A,
'CMFA-CSCDA Grants'!E:E)</f>
        <v>Alameda</v>
      </c>
      <c r="C82" s="6" t="str">
        <f t="array" ref="C82">_xlfn.XLOOKUP(
  A82,
  'CMFA-CSCDA Grants'!A:A,
'CMFA-CSCDA Grants'!B:B)</f>
        <v>Summerwood Apartments Homes Apartments</v>
      </c>
      <c r="D82" s="24" t="s">
        <v>821</v>
      </c>
      <c r="F82" s="6" t="b">
        <v>0</v>
      </c>
      <c r="H82" s="6" t="s">
        <v>822</v>
      </c>
      <c r="X82" s="18">
        <v>9734661.0</v>
      </c>
      <c r="Y82" s="18">
        <v>2.884344E7</v>
      </c>
      <c r="Z82" s="18">
        <v>3.8656726E7</v>
      </c>
      <c r="AC82" s="18"/>
      <c r="AD82" s="12" t="s">
        <v>188</v>
      </c>
      <c r="AJ82" s="16">
        <f t="array" ref="AJ82">_xlfn.XLOOKUP(
  A82,
  'CMFA-CSCDA Grants'!A:A,
'CMFA-CSCDA Grants'!O:O)</f>
        <v>162</v>
      </c>
      <c r="AK82" s="16">
        <f t="array" ref="AK82">_xlfn.XLOOKUP(
  A82,
  'CMFA-CSCDA Grants'!A:A,
'CMFA-CSCDA Grants'!P:P)</f>
        <v>162</v>
      </c>
      <c r="AL82" s="10">
        <f t="array" ref="AL82">_xlfn.XLOOKUP(
  AD82,
  'Tax Rates'!A:A,
'Tax Rates'!B:B)</f>
        <v>0.011724</v>
      </c>
    </row>
    <row r="83">
      <c r="A83" s="22">
        <v>50.0</v>
      </c>
      <c r="B83" s="6" t="str">
        <f t="array" ref="B83">_xlfn.XLOOKUP(
  A83,
  'CMFA-CSCDA Grants'!A:A,
'CMFA-CSCDA Grants'!E:E)</f>
        <v>San Diego</v>
      </c>
      <c r="C83" s="6" t="str">
        <f t="array" ref="C83">_xlfn.XLOOKUP(
  A83,
  'CMFA-CSCDA Grants'!A:A,
'CMFA-CSCDA Grants'!B:B)</f>
        <v>Market Street Village Apartments</v>
      </c>
      <c r="D83" s="24" t="s">
        <v>828</v>
      </c>
      <c r="F83" s="6" t="b">
        <v>0</v>
      </c>
      <c r="H83" s="6" t="s">
        <v>829</v>
      </c>
      <c r="X83" s="18" t="s">
        <v>146</v>
      </c>
      <c r="Y83" s="18" t="s">
        <v>146</v>
      </c>
      <c r="Z83" s="18">
        <v>5.3339453E7</v>
      </c>
      <c r="AC83" s="18"/>
      <c r="AD83" s="12" t="s">
        <v>122</v>
      </c>
      <c r="AJ83" s="16">
        <f t="array" ref="AJ83">_xlfn.XLOOKUP(
  A83,
  'CMFA-CSCDA Grants'!A:A,
'CMFA-CSCDA Grants'!O:O)</f>
        <v>229</v>
      </c>
      <c r="AK83" s="16">
        <f t="array" ref="AK83">_xlfn.XLOOKUP(
  A83,
  'CMFA-CSCDA Grants'!A:A,
'CMFA-CSCDA Grants'!P:P)</f>
        <v>229</v>
      </c>
      <c r="AL83" s="10">
        <f t="array" ref="AL83">_xlfn.XLOOKUP(
  AD83,
  'Tax Rates'!A:A,
'Tax Rates'!B:B)</f>
        <v>0.0125114</v>
      </c>
    </row>
    <row r="84">
      <c r="A84" s="22">
        <v>51.0</v>
      </c>
      <c r="B84" s="6" t="str">
        <f t="array" ref="B84">_xlfn.XLOOKUP(
  A84,
  'CMFA-CSCDA Grants'!A:A,
'CMFA-CSCDA Grants'!E:E)</f>
        <v>San Diego</v>
      </c>
      <c r="C84" s="6" t="str">
        <f t="array" ref="C84">_xlfn.XLOOKUP(
  A84,
  'CMFA-CSCDA Grants'!A:A,
'CMFA-CSCDA Grants'!B:B)</f>
        <v>Creekside Villas Apartments</v>
      </c>
      <c r="D84" s="24" t="s">
        <v>830</v>
      </c>
      <c r="F84" s="6" t="b">
        <v>0</v>
      </c>
      <c r="H84" s="6" t="s">
        <v>831</v>
      </c>
      <c r="X84" s="18" t="s">
        <v>146</v>
      </c>
      <c r="Y84" s="18" t="s">
        <v>146</v>
      </c>
      <c r="Z84" s="18">
        <v>5832864.0</v>
      </c>
      <c r="AC84" s="18"/>
      <c r="AD84" s="12" t="s">
        <v>122</v>
      </c>
      <c r="AJ84" s="16">
        <f t="array" ref="AJ84">_xlfn.XLOOKUP(
  A84,
  'CMFA-CSCDA Grants'!A:A,
'CMFA-CSCDA Grants'!O:O)</f>
        <v>145</v>
      </c>
      <c r="AK84" s="16">
        <f t="array" ref="AK84">_xlfn.XLOOKUP(
  A84,
  'CMFA-CSCDA Grants'!A:A,
'CMFA-CSCDA Grants'!P:P)</f>
        <v>144</v>
      </c>
      <c r="AL84" s="10">
        <f t="array" ref="AL84">_xlfn.XLOOKUP(
  AD84,
  'Tax Rates'!A:A,
'Tax Rates'!B:B)</f>
        <v>0.0125114</v>
      </c>
    </row>
    <row r="85">
      <c r="A85" s="22">
        <v>52.0</v>
      </c>
      <c r="B85" s="6" t="str">
        <f t="array" ref="B85">_xlfn.XLOOKUP(
  A85,
  'CMFA-CSCDA Grants'!A:A,
'CMFA-CSCDA Grants'!E:E)</f>
        <v>Sacramento</v>
      </c>
      <c r="C85" s="6" t="str">
        <f t="array" ref="C85">_xlfn.XLOOKUP(
  A85,
  'CMFA-CSCDA Grants'!A:A,
'CMFA-CSCDA Grants'!B:B)</f>
        <v>The Carla Apartments</v>
      </c>
      <c r="D85" s="24" t="s">
        <v>836</v>
      </c>
      <c r="F85" s="6" t="b">
        <v>0</v>
      </c>
      <c r="H85" s="6" t="s">
        <v>838</v>
      </c>
      <c r="X85" s="18" t="s">
        <v>146</v>
      </c>
      <c r="Y85" s="18" t="s">
        <v>146</v>
      </c>
      <c r="Z85" s="18">
        <v>1.511181E7</v>
      </c>
      <c r="AC85" s="18"/>
      <c r="AD85" s="12" t="s">
        <v>120</v>
      </c>
      <c r="AJ85" s="16">
        <f t="array" ref="AJ85">_xlfn.XLOOKUP(
  A85,
  'CMFA-CSCDA Grants'!A:A,
'CMFA-CSCDA Grants'!O:O)</f>
        <v>63</v>
      </c>
      <c r="AK85" s="16">
        <f t="array" ref="AK85">_xlfn.XLOOKUP(
  A85,
  'CMFA-CSCDA Grants'!A:A,
'CMFA-CSCDA Grants'!P:P)</f>
        <v>62</v>
      </c>
      <c r="AL85" s="10">
        <f t="array" ref="AL85">_xlfn.XLOOKUP(
  AD85,
  'Tax Rates'!A:A,
'Tax Rates'!B:B)</f>
        <v>0.011454</v>
      </c>
    </row>
    <row r="86">
      <c r="A86" s="22">
        <v>53.0</v>
      </c>
      <c r="B86" s="6" t="str">
        <f t="array" ref="B86">_xlfn.XLOOKUP(
  A86,
  'CMFA-CSCDA Grants'!A:A,
'CMFA-CSCDA Grants'!E:E)</f>
        <v>Sacramento</v>
      </c>
      <c r="C86" s="6" t="str">
        <f t="array" ref="C86">_xlfn.XLOOKUP(
  A86,
  'CMFA-CSCDA Grants'!A:A,
'CMFA-CSCDA Grants'!B:B)</f>
        <v>Skylark Place by Trion Living Apartments</v>
      </c>
      <c r="D86" s="24" t="s">
        <v>840</v>
      </c>
      <c r="F86" s="6" t="b">
        <v>0</v>
      </c>
      <c r="H86" s="6" t="s">
        <v>841</v>
      </c>
      <c r="X86" s="18" t="s">
        <v>146</v>
      </c>
      <c r="Y86" s="18" t="s">
        <v>146</v>
      </c>
      <c r="Z86" s="18">
        <v>1.2145525E7</v>
      </c>
      <c r="AC86" s="18"/>
      <c r="AD86" s="12" t="s">
        <v>350</v>
      </c>
      <c r="AJ86" s="16">
        <f t="array" ref="AJ86">_xlfn.XLOOKUP(
  A86,
  'CMFA-CSCDA Grants'!A:A,
'CMFA-CSCDA Grants'!O:O)</f>
        <v>198</v>
      </c>
      <c r="AK86" s="16">
        <f t="array" ref="AK86">_xlfn.XLOOKUP(
  A86,
  'CMFA-CSCDA Grants'!A:A,
'CMFA-CSCDA Grants'!P:P)</f>
        <v>198</v>
      </c>
      <c r="AL86" s="10">
        <f t="array" ref="AL86">_xlfn.XLOOKUP(
  AD86,
  'Tax Rates'!A:A,
'Tax Rates'!B:B)</f>
        <v>0.011873</v>
      </c>
    </row>
    <row r="87">
      <c r="A87" s="12">
        <v>54.0</v>
      </c>
      <c r="B87" s="6" t="str">
        <f t="array" ref="B87">_xlfn.XLOOKUP(
  A87,
  'CMFA-CSCDA Grants'!A:A,
'CMFA-CSCDA Grants'!E:E)</f>
        <v>Los Angeles</v>
      </c>
      <c r="C87" s="6" t="str">
        <f t="array" ref="C87">_xlfn.XLOOKUP(
  A87,
  'CMFA-CSCDA Grants'!A:A,
'CMFA-CSCDA Grants'!B:B)</f>
        <v>Seaport Village Apartments</v>
      </c>
      <c r="D87" s="12">
        <v>7.157031001E9</v>
      </c>
      <c r="F87" s="6" t="b">
        <v>0</v>
      </c>
      <c r="G87" s="6" t="s">
        <v>844</v>
      </c>
      <c r="H87" s="6" t="s">
        <v>845</v>
      </c>
      <c r="I87" s="6" t="s">
        <v>846</v>
      </c>
      <c r="J87" s="6" t="s">
        <v>847</v>
      </c>
      <c r="K87" s="6" t="s">
        <v>848</v>
      </c>
      <c r="L87" s="6" t="s">
        <v>849</v>
      </c>
      <c r="N87" s="6" t="s">
        <v>453</v>
      </c>
      <c r="O87" s="6" t="s">
        <v>110</v>
      </c>
      <c r="P87" s="6" t="s">
        <v>112</v>
      </c>
      <c r="Q87" s="6">
        <v>501.0</v>
      </c>
      <c r="R87" s="6">
        <v>1963.0</v>
      </c>
      <c r="S87" s="6">
        <v>10.0</v>
      </c>
      <c r="T87" s="6">
        <v>21.0</v>
      </c>
      <c r="U87" s="6">
        <v>16.0</v>
      </c>
      <c r="V87" s="6">
        <v>9608.0</v>
      </c>
      <c r="W87" s="6">
        <v>2025.0</v>
      </c>
      <c r="X87" s="18">
        <v>857455.0</v>
      </c>
      <c r="Y87" s="18">
        <v>2000377.0</v>
      </c>
      <c r="Z87" s="18">
        <f t="shared" ref="Z87:Z120" si="7">SUM(X87:Y87)</f>
        <v>2857832</v>
      </c>
      <c r="AA87" s="6">
        <v>2022.0</v>
      </c>
      <c r="AB87" s="6">
        <v>2022.0</v>
      </c>
      <c r="AC87" s="18">
        <v>1693979.0</v>
      </c>
      <c r="AD87" s="12">
        <v>7211.0</v>
      </c>
      <c r="AE87" s="6" t="s">
        <v>850</v>
      </c>
      <c r="AF87" s="6">
        <v>33.85882359</v>
      </c>
      <c r="AG87" s="6">
        <v>-118.16026011</v>
      </c>
      <c r="AH87" s="6" t="s">
        <v>851</v>
      </c>
      <c r="AI87" s="6" t="s">
        <v>852</v>
      </c>
      <c r="AJ87" s="16">
        <f t="array" ref="AJ87">_xlfn.XLOOKUP(
  A87,
  'CMFA-CSCDA Grants'!A:A,
'CMFA-CSCDA Grants'!O:O)</f>
        <v>356</v>
      </c>
      <c r="AK87" s="16">
        <f t="array" ref="AK87">_xlfn.XLOOKUP(
  A87,
  'CMFA-CSCDA Grants'!A:A,
'CMFA-CSCDA Grants'!P:P)</f>
        <v>144</v>
      </c>
      <c r="AL87" s="8">
        <f t="array" ref="AL87">_xlfn.XLOOKUP(
  AD87,
  'Tax Rates'!A:A,
'Tax Rates'!B:B)</f>
        <v>0.01206499</v>
      </c>
    </row>
    <row r="88">
      <c r="A88" s="12">
        <v>54.0</v>
      </c>
      <c r="B88" s="6" t="str">
        <f t="array" ref="B88">_xlfn.XLOOKUP(
  A88,
  'CMFA-CSCDA Grants'!A:A,
'CMFA-CSCDA Grants'!E:E)</f>
        <v>Los Angeles</v>
      </c>
      <c r="C88" s="6" t="str">
        <f t="array" ref="C88">_xlfn.XLOOKUP(
  A88,
  'CMFA-CSCDA Grants'!A:A,
'CMFA-CSCDA Grants'!B:B)</f>
        <v>Seaport Village Apartments</v>
      </c>
      <c r="D88" s="12">
        <v>7.157031002E9</v>
      </c>
      <c r="F88" s="6" t="b">
        <v>0</v>
      </c>
      <c r="G88" s="6" t="s">
        <v>853</v>
      </c>
      <c r="H88" s="6" t="s">
        <v>854</v>
      </c>
      <c r="I88" s="6" t="s">
        <v>846</v>
      </c>
      <c r="J88" s="6" t="s">
        <v>855</v>
      </c>
      <c r="K88" s="6" t="s">
        <v>848</v>
      </c>
      <c r="L88" s="6" t="s">
        <v>849</v>
      </c>
      <c r="N88" s="6" t="s">
        <v>453</v>
      </c>
      <c r="O88" s="6" t="s">
        <v>110</v>
      </c>
      <c r="P88" s="6" t="s">
        <v>112</v>
      </c>
      <c r="Q88" s="6">
        <v>500.0</v>
      </c>
      <c r="R88" s="6">
        <v>1963.0</v>
      </c>
      <c r="S88" s="6">
        <v>11.0</v>
      </c>
      <c r="T88" s="6">
        <v>19.0</v>
      </c>
      <c r="U88" s="6">
        <v>16.0</v>
      </c>
      <c r="V88" s="6">
        <v>9608.0</v>
      </c>
      <c r="W88" s="6">
        <v>2025.0</v>
      </c>
      <c r="X88" s="18">
        <v>779987.0</v>
      </c>
      <c r="Y88" s="18">
        <v>2000377.0</v>
      </c>
      <c r="Z88" s="18">
        <f t="shared" si="7"/>
        <v>2780364</v>
      </c>
      <c r="AA88" s="6">
        <v>2022.0</v>
      </c>
      <c r="AB88" s="6">
        <v>2022.0</v>
      </c>
      <c r="AC88" s="18">
        <v>1263955.0</v>
      </c>
      <c r="AD88" s="12">
        <v>7211.0</v>
      </c>
      <c r="AE88" s="6" t="s">
        <v>850</v>
      </c>
      <c r="AF88" s="6">
        <v>33.85881999</v>
      </c>
      <c r="AG88" s="6">
        <v>-118.16060543</v>
      </c>
      <c r="AH88" s="6" t="s">
        <v>856</v>
      </c>
      <c r="AI88" s="6" t="s">
        <v>852</v>
      </c>
      <c r="AJ88" s="16">
        <f t="array" ref="AJ88">_xlfn.XLOOKUP(
  A88,
  'CMFA-CSCDA Grants'!A:A,
'CMFA-CSCDA Grants'!O:O)</f>
        <v>356</v>
      </c>
      <c r="AK88" s="16">
        <f t="array" ref="AK88">_xlfn.XLOOKUP(
  A88,
  'CMFA-CSCDA Grants'!A:A,
'CMFA-CSCDA Grants'!P:P)</f>
        <v>144</v>
      </c>
      <c r="AL88" s="8">
        <f t="array" ref="AL88">_xlfn.XLOOKUP(
  AD88,
  'Tax Rates'!A:A,
'Tax Rates'!B:B)</f>
        <v>0.01206499</v>
      </c>
    </row>
    <row r="89">
      <c r="A89" s="12">
        <v>54.0</v>
      </c>
      <c r="B89" s="6" t="str">
        <f t="array" ref="B89">_xlfn.XLOOKUP(
  A89,
  'CMFA-CSCDA Grants'!A:A,
'CMFA-CSCDA Grants'!E:E)</f>
        <v>Los Angeles</v>
      </c>
      <c r="C89" s="6" t="str">
        <f t="array" ref="C89">_xlfn.XLOOKUP(
  A89,
  'CMFA-CSCDA Grants'!A:A,
'CMFA-CSCDA Grants'!B:B)</f>
        <v>Seaport Village Apartments</v>
      </c>
      <c r="D89" s="12">
        <v>7.157031003E9</v>
      </c>
      <c r="F89" s="6" t="b">
        <v>0</v>
      </c>
      <c r="G89" s="6" t="s">
        <v>861</v>
      </c>
      <c r="H89" s="6" t="s">
        <v>862</v>
      </c>
      <c r="I89" s="6" t="s">
        <v>846</v>
      </c>
      <c r="J89" s="6" t="s">
        <v>863</v>
      </c>
      <c r="K89" s="6" t="s">
        <v>848</v>
      </c>
      <c r="L89" s="6" t="s">
        <v>849</v>
      </c>
      <c r="N89" s="6" t="s">
        <v>453</v>
      </c>
      <c r="O89" s="6" t="s">
        <v>110</v>
      </c>
      <c r="P89" s="6" t="s">
        <v>112</v>
      </c>
      <c r="Q89" s="6">
        <v>500.0</v>
      </c>
      <c r="R89" s="6">
        <v>1963.0</v>
      </c>
      <c r="S89" s="6">
        <v>11.0</v>
      </c>
      <c r="T89" s="6">
        <v>19.0</v>
      </c>
      <c r="U89" s="6">
        <v>16.0</v>
      </c>
      <c r="V89" s="6">
        <v>9608.0</v>
      </c>
      <c r="W89" s="6">
        <v>2025.0</v>
      </c>
      <c r="X89" s="18">
        <v>779987.0</v>
      </c>
      <c r="Y89" s="18">
        <v>2000377.0</v>
      </c>
      <c r="Z89" s="18">
        <f t="shared" si="7"/>
        <v>2780364</v>
      </c>
      <c r="AA89" s="6">
        <v>2022.0</v>
      </c>
      <c r="AB89" s="6">
        <v>2022.0</v>
      </c>
      <c r="AC89" s="18">
        <v>1516689.0</v>
      </c>
      <c r="AD89" s="12">
        <v>7211.0</v>
      </c>
      <c r="AE89" s="6" t="s">
        <v>850</v>
      </c>
      <c r="AF89" s="6">
        <v>33.85881736</v>
      </c>
      <c r="AG89" s="6">
        <v>-118.16093316</v>
      </c>
      <c r="AH89" s="6" t="s">
        <v>864</v>
      </c>
      <c r="AI89" s="6" t="s">
        <v>852</v>
      </c>
      <c r="AJ89" s="16">
        <f t="array" ref="AJ89">_xlfn.XLOOKUP(
  A89,
  'CMFA-CSCDA Grants'!A:A,
'CMFA-CSCDA Grants'!O:O)</f>
        <v>356</v>
      </c>
      <c r="AK89" s="16">
        <f t="array" ref="AK89">_xlfn.XLOOKUP(
  A89,
  'CMFA-CSCDA Grants'!A:A,
'CMFA-CSCDA Grants'!P:P)</f>
        <v>144</v>
      </c>
      <c r="AL89" s="8">
        <f t="array" ref="AL89">_xlfn.XLOOKUP(
  AD89,
  'Tax Rates'!A:A,
'Tax Rates'!B:B)</f>
        <v>0.01206499</v>
      </c>
    </row>
    <row r="90">
      <c r="A90" s="12">
        <v>54.0</v>
      </c>
      <c r="B90" s="6" t="str">
        <f t="array" ref="B90">_xlfn.XLOOKUP(
  A90,
  'CMFA-CSCDA Grants'!A:A,
'CMFA-CSCDA Grants'!E:E)</f>
        <v>Los Angeles</v>
      </c>
      <c r="C90" s="6" t="str">
        <f t="array" ref="C90">_xlfn.XLOOKUP(
  A90,
  'CMFA-CSCDA Grants'!A:A,
'CMFA-CSCDA Grants'!B:B)</f>
        <v>Seaport Village Apartments</v>
      </c>
      <c r="D90" s="12">
        <v>7.157031004E9</v>
      </c>
      <c r="F90" s="6" t="b">
        <v>0</v>
      </c>
      <c r="G90" s="6" t="s">
        <v>865</v>
      </c>
      <c r="H90" s="6" t="s">
        <v>866</v>
      </c>
      <c r="I90" s="6" t="s">
        <v>846</v>
      </c>
      <c r="J90" s="6" t="s">
        <v>867</v>
      </c>
      <c r="K90" s="6" t="s">
        <v>848</v>
      </c>
      <c r="L90" s="6" t="s">
        <v>849</v>
      </c>
      <c r="N90" s="6" t="s">
        <v>453</v>
      </c>
      <c r="O90" s="6" t="s">
        <v>110</v>
      </c>
      <c r="P90" s="6" t="s">
        <v>112</v>
      </c>
      <c r="Q90" s="6">
        <v>500.0</v>
      </c>
      <c r="R90" s="6">
        <v>1963.0</v>
      </c>
      <c r="S90" s="6">
        <v>11.0</v>
      </c>
      <c r="T90" s="6">
        <v>19.0</v>
      </c>
      <c r="U90" s="6">
        <v>16.0</v>
      </c>
      <c r="V90" s="6">
        <v>9608.0</v>
      </c>
      <c r="W90" s="6">
        <v>2025.0</v>
      </c>
      <c r="X90" s="18">
        <v>806518.0</v>
      </c>
      <c r="Y90" s="18">
        <v>2000377.0</v>
      </c>
      <c r="Z90" s="18">
        <f t="shared" si="7"/>
        <v>2806895</v>
      </c>
      <c r="AA90" s="6">
        <v>2022.0</v>
      </c>
      <c r="AB90" s="6">
        <v>2022.0</v>
      </c>
      <c r="AC90" s="18">
        <v>1276016.0</v>
      </c>
      <c r="AD90" s="12">
        <v>7211.0</v>
      </c>
      <c r="AE90" s="6" t="s">
        <v>850</v>
      </c>
      <c r="AF90" s="6">
        <v>33.85881516</v>
      </c>
      <c r="AG90" s="6">
        <v>-118.16126232</v>
      </c>
      <c r="AH90" s="6" t="s">
        <v>870</v>
      </c>
      <c r="AI90" s="6" t="s">
        <v>852</v>
      </c>
      <c r="AJ90" s="16">
        <f t="array" ref="AJ90">_xlfn.XLOOKUP(
  A90,
  'CMFA-CSCDA Grants'!A:A,
'CMFA-CSCDA Grants'!O:O)</f>
        <v>356</v>
      </c>
      <c r="AK90" s="16">
        <f t="array" ref="AK90">_xlfn.XLOOKUP(
  A90,
  'CMFA-CSCDA Grants'!A:A,
'CMFA-CSCDA Grants'!P:P)</f>
        <v>144</v>
      </c>
      <c r="AL90" s="8">
        <f t="array" ref="AL90">_xlfn.XLOOKUP(
  AD90,
  'Tax Rates'!A:A,
'Tax Rates'!B:B)</f>
        <v>0.01206499</v>
      </c>
    </row>
    <row r="91">
      <c r="A91" s="12">
        <v>54.0</v>
      </c>
      <c r="B91" s="6" t="str">
        <f t="array" ref="B91">_xlfn.XLOOKUP(
  A91,
  'CMFA-CSCDA Grants'!A:A,
'CMFA-CSCDA Grants'!E:E)</f>
        <v>Los Angeles</v>
      </c>
      <c r="C91" s="6" t="str">
        <f t="array" ref="C91">_xlfn.XLOOKUP(
  A91,
  'CMFA-CSCDA Grants'!A:A,
'CMFA-CSCDA Grants'!B:B)</f>
        <v>Seaport Village Apartments</v>
      </c>
      <c r="D91" s="12">
        <v>7.157031005E9</v>
      </c>
      <c r="F91" s="6" t="b">
        <v>0</v>
      </c>
      <c r="G91" s="6" t="s">
        <v>872</v>
      </c>
      <c r="H91" s="6" t="s">
        <v>873</v>
      </c>
      <c r="I91" s="6" t="s">
        <v>846</v>
      </c>
      <c r="J91" s="6" t="s">
        <v>874</v>
      </c>
      <c r="K91" s="6" t="s">
        <v>848</v>
      </c>
      <c r="L91" s="6" t="s">
        <v>849</v>
      </c>
      <c r="N91" s="6" t="s">
        <v>453</v>
      </c>
      <c r="O91" s="6" t="s">
        <v>110</v>
      </c>
      <c r="P91" s="6" t="s">
        <v>112</v>
      </c>
      <c r="Q91" s="6">
        <v>501.0</v>
      </c>
      <c r="R91" s="6">
        <v>1963.0</v>
      </c>
      <c r="S91" s="6">
        <v>21.0</v>
      </c>
      <c r="T91" s="6">
        <v>33.0</v>
      </c>
      <c r="U91" s="6">
        <v>25.0</v>
      </c>
      <c r="V91" s="6">
        <v>16663.0</v>
      </c>
      <c r="W91" s="6">
        <v>2025.0</v>
      </c>
      <c r="X91" s="18">
        <v>1580138.0</v>
      </c>
      <c r="Y91" s="18">
        <v>4276668.0</v>
      </c>
      <c r="Z91" s="18">
        <f t="shared" si="7"/>
        <v>5856806</v>
      </c>
      <c r="AA91" s="6">
        <v>2022.0</v>
      </c>
      <c r="AB91" s="6">
        <v>2022.0</v>
      </c>
      <c r="AC91" s="18">
        <v>2231444.0</v>
      </c>
      <c r="AD91" s="12">
        <v>7211.0</v>
      </c>
      <c r="AE91" s="6" t="s">
        <v>850</v>
      </c>
      <c r="AF91" s="6">
        <v>33.8588042</v>
      </c>
      <c r="AG91" s="6">
        <v>-118.16169206</v>
      </c>
      <c r="AH91" s="6" t="s">
        <v>875</v>
      </c>
      <c r="AI91" s="6" t="s">
        <v>852</v>
      </c>
      <c r="AJ91" s="16">
        <f t="array" ref="AJ91">_xlfn.XLOOKUP(
  A91,
  'CMFA-CSCDA Grants'!A:A,
'CMFA-CSCDA Grants'!O:O)</f>
        <v>356</v>
      </c>
      <c r="AK91" s="16">
        <f t="array" ref="AK91">_xlfn.XLOOKUP(
  A91,
  'CMFA-CSCDA Grants'!A:A,
'CMFA-CSCDA Grants'!P:P)</f>
        <v>144</v>
      </c>
      <c r="AL91" s="8">
        <f t="array" ref="AL91">_xlfn.XLOOKUP(
  AD91,
  'Tax Rates'!A:A,
'Tax Rates'!B:B)</f>
        <v>0.01206499</v>
      </c>
    </row>
    <row r="92">
      <c r="A92" s="12">
        <v>54.0</v>
      </c>
      <c r="B92" s="6" t="str">
        <f t="array" ref="B92">_xlfn.XLOOKUP(
  A92,
  'CMFA-CSCDA Grants'!A:A,
'CMFA-CSCDA Grants'!E:E)</f>
        <v>Los Angeles</v>
      </c>
      <c r="C92" s="6" t="str">
        <f t="array" ref="C92">_xlfn.XLOOKUP(
  A92,
  'CMFA-CSCDA Grants'!A:A,
'CMFA-CSCDA Grants'!B:B)</f>
        <v>Seaport Village Apartments</v>
      </c>
      <c r="D92" s="12">
        <v>7.157031006E9</v>
      </c>
      <c r="F92" s="6" t="b">
        <v>0</v>
      </c>
      <c r="G92" s="6" t="s">
        <v>879</v>
      </c>
      <c r="H92" s="6" t="s">
        <v>880</v>
      </c>
      <c r="I92" s="6" t="s">
        <v>846</v>
      </c>
      <c r="J92" s="6" t="s">
        <v>881</v>
      </c>
      <c r="K92" s="6" t="s">
        <v>848</v>
      </c>
      <c r="L92" s="6" t="s">
        <v>849</v>
      </c>
      <c r="N92" s="6" t="s">
        <v>453</v>
      </c>
      <c r="O92" s="6" t="s">
        <v>110</v>
      </c>
      <c r="P92" s="6" t="s">
        <v>112</v>
      </c>
      <c r="Q92" s="6">
        <v>500.0</v>
      </c>
      <c r="R92" s="6">
        <v>1963.0</v>
      </c>
      <c r="S92" s="6">
        <v>10.0</v>
      </c>
      <c r="T92" s="6">
        <v>20.0</v>
      </c>
      <c r="U92" s="6">
        <v>16.0</v>
      </c>
      <c r="V92" s="6">
        <v>9280.0</v>
      </c>
      <c r="W92" s="6">
        <v>2025.0</v>
      </c>
      <c r="X92" s="18">
        <v>702518.0</v>
      </c>
      <c r="Y92" s="18">
        <v>1931398.0</v>
      </c>
      <c r="Z92" s="18">
        <f t="shared" si="7"/>
        <v>2633916</v>
      </c>
      <c r="AA92" s="6">
        <v>2022.0</v>
      </c>
      <c r="AB92" s="6">
        <v>2022.0</v>
      </c>
      <c r="AC92" s="18">
        <v>1580350.0</v>
      </c>
      <c r="AD92" s="12">
        <v>7211.0</v>
      </c>
      <c r="AE92" s="6" t="s">
        <v>850</v>
      </c>
      <c r="AF92" s="6">
        <v>33.85853736</v>
      </c>
      <c r="AG92" s="6">
        <v>-118.1617871</v>
      </c>
      <c r="AH92" s="6" t="s">
        <v>882</v>
      </c>
      <c r="AI92" s="6" t="s">
        <v>852</v>
      </c>
      <c r="AJ92" s="16">
        <f t="array" ref="AJ92">_xlfn.XLOOKUP(
  A92,
  'CMFA-CSCDA Grants'!A:A,
'CMFA-CSCDA Grants'!O:O)</f>
        <v>356</v>
      </c>
      <c r="AK92" s="16">
        <f t="array" ref="AK92">_xlfn.XLOOKUP(
  A92,
  'CMFA-CSCDA Grants'!A:A,
'CMFA-CSCDA Grants'!P:P)</f>
        <v>144</v>
      </c>
      <c r="AL92" s="8">
        <f t="array" ref="AL92">_xlfn.XLOOKUP(
  AD92,
  'Tax Rates'!A:A,
'Tax Rates'!B:B)</f>
        <v>0.01206499</v>
      </c>
    </row>
    <row r="93">
      <c r="A93" s="12">
        <v>54.0</v>
      </c>
      <c r="B93" s="6" t="str">
        <f t="array" ref="B93">_xlfn.XLOOKUP(
  A93,
  'CMFA-CSCDA Grants'!A:A,
'CMFA-CSCDA Grants'!E:E)</f>
        <v>Los Angeles</v>
      </c>
      <c r="C93" s="6" t="str">
        <f t="array" ref="C93">_xlfn.XLOOKUP(
  A93,
  'CMFA-CSCDA Grants'!A:A,
'CMFA-CSCDA Grants'!B:B)</f>
        <v>Seaport Village Apartments</v>
      </c>
      <c r="D93" s="12">
        <v>7.157031007E9</v>
      </c>
      <c r="F93" s="6" t="b">
        <v>0</v>
      </c>
      <c r="G93" s="6" t="s">
        <v>883</v>
      </c>
      <c r="H93" s="6" t="s">
        <v>884</v>
      </c>
      <c r="I93" s="6" t="s">
        <v>846</v>
      </c>
      <c r="J93" s="6" t="s">
        <v>885</v>
      </c>
      <c r="K93" s="6" t="s">
        <v>848</v>
      </c>
      <c r="L93" s="6" t="s">
        <v>849</v>
      </c>
      <c r="N93" s="6" t="s">
        <v>453</v>
      </c>
      <c r="O93" s="6" t="s">
        <v>110</v>
      </c>
      <c r="P93" s="6" t="s">
        <v>112</v>
      </c>
      <c r="Q93" s="6">
        <v>500.0</v>
      </c>
      <c r="R93" s="6">
        <v>1963.0</v>
      </c>
      <c r="S93" s="6">
        <v>10.0</v>
      </c>
      <c r="T93" s="6">
        <v>20.0</v>
      </c>
      <c r="U93" s="6">
        <v>16.0</v>
      </c>
      <c r="V93" s="6">
        <v>9280.0</v>
      </c>
      <c r="W93" s="6">
        <v>2025.0</v>
      </c>
      <c r="X93" s="18">
        <v>702518.0</v>
      </c>
      <c r="Y93" s="18">
        <v>1931398.0</v>
      </c>
      <c r="Z93" s="18">
        <f t="shared" si="7"/>
        <v>2633916</v>
      </c>
      <c r="AA93" s="6">
        <v>2022.0</v>
      </c>
      <c r="AB93" s="6">
        <v>2022.0</v>
      </c>
      <c r="AC93" s="18">
        <v>790176.0</v>
      </c>
      <c r="AD93" s="12">
        <v>7211.0</v>
      </c>
      <c r="AE93" s="6" t="s">
        <v>850</v>
      </c>
      <c r="AF93" s="6">
        <v>33.85828173</v>
      </c>
      <c r="AG93" s="6">
        <v>-118.161799</v>
      </c>
      <c r="AH93" s="6" t="s">
        <v>888</v>
      </c>
      <c r="AI93" s="6" t="s">
        <v>852</v>
      </c>
      <c r="AJ93" s="16">
        <f t="array" ref="AJ93">_xlfn.XLOOKUP(
  A93,
  'CMFA-CSCDA Grants'!A:A,
'CMFA-CSCDA Grants'!O:O)</f>
        <v>356</v>
      </c>
      <c r="AK93" s="16">
        <f t="array" ref="AK93">_xlfn.XLOOKUP(
  A93,
  'CMFA-CSCDA Grants'!A:A,
'CMFA-CSCDA Grants'!P:P)</f>
        <v>144</v>
      </c>
      <c r="AL93" s="8">
        <f t="array" ref="AL93">_xlfn.XLOOKUP(
  AD93,
  'Tax Rates'!A:A,
'Tax Rates'!B:B)</f>
        <v>0.01206499</v>
      </c>
    </row>
    <row r="94">
      <c r="A94" s="12">
        <v>54.0</v>
      </c>
      <c r="B94" s="6" t="str">
        <f t="array" ref="B94">_xlfn.XLOOKUP(
  A94,
  'CMFA-CSCDA Grants'!A:A,
'CMFA-CSCDA Grants'!E:E)</f>
        <v>Los Angeles</v>
      </c>
      <c r="C94" s="6" t="str">
        <f t="array" ref="C94">_xlfn.XLOOKUP(
  A94,
  'CMFA-CSCDA Grants'!A:A,
'CMFA-CSCDA Grants'!B:B)</f>
        <v>Seaport Village Apartments</v>
      </c>
      <c r="D94" s="12">
        <v>7.157031008E9</v>
      </c>
      <c r="F94" s="6" t="b">
        <v>0</v>
      </c>
      <c r="G94" s="6" t="s">
        <v>890</v>
      </c>
      <c r="H94" s="6" t="s">
        <v>891</v>
      </c>
      <c r="I94" s="6" t="s">
        <v>846</v>
      </c>
      <c r="J94" s="6" t="s">
        <v>892</v>
      </c>
      <c r="K94" s="6" t="s">
        <v>848</v>
      </c>
      <c r="L94" s="6" t="s">
        <v>849</v>
      </c>
      <c r="N94" s="6" t="s">
        <v>453</v>
      </c>
      <c r="O94" s="6" t="s">
        <v>110</v>
      </c>
      <c r="P94" s="6" t="s">
        <v>112</v>
      </c>
      <c r="Q94" s="6">
        <v>500.0</v>
      </c>
      <c r="R94" s="6">
        <v>1963.0</v>
      </c>
      <c r="S94" s="6">
        <v>10.0</v>
      </c>
      <c r="T94" s="6">
        <v>20.0</v>
      </c>
      <c r="U94" s="6">
        <v>16.0</v>
      </c>
      <c r="V94" s="6">
        <v>9280.0</v>
      </c>
      <c r="W94" s="6">
        <v>2025.0</v>
      </c>
      <c r="X94" s="18">
        <v>702518.0</v>
      </c>
      <c r="Y94" s="18">
        <v>1931398.0</v>
      </c>
      <c r="Z94" s="18">
        <f t="shared" si="7"/>
        <v>2633916</v>
      </c>
      <c r="AA94" s="6">
        <v>2022.0</v>
      </c>
      <c r="AB94" s="6">
        <v>2022.0</v>
      </c>
      <c r="AC94" s="18">
        <v>790176.0</v>
      </c>
      <c r="AD94" s="12">
        <v>7211.0</v>
      </c>
      <c r="AE94" s="6" t="s">
        <v>850</v>
      </c>
      <c r="AF94" s="6">
        <v>33.85803056</v>
      </c>
      <c r="AG94" s="6">
        <v>-118.16179713</v>
      </c>
      <c r="AH94" s="6" t="s">
        <v>893</v>
      </c>
      <c r="AI94" s="6" t="s">
        <v>852</v>
      </c>
      <c r="AJ94" s="16">
        <f t="array" ref="AJ94">_xlfn.XLOOKUP(
  A94,
  'CMFA-CSCDA Grants'!A:A,
'CMFA-CSCDA Grants'!O:O)</f>
        <v>356</v>
      </c>
      <c r="AK94" s="16">
        <f t="array" ref="AK94">_xlfn.XLOOKUP(
  A94,
  'CMFA-CSCDA Grants'!A:A,
'CMFA-CSCDA Grants'!P:P)</f>
        <v>144</v>
      </c>
      <c r="AL94" s="8">
        <f t="array" ref="AL94">_xlfn.XLOOKUP(
  AD94,
  'Tax Rates'!A:A,
'Tax Rates'!B:B)</f>
        <v>0.01206499</v>
      </c>
    </row>
    <row r="95">
      <c r="A95" s="12">
        <v>54.0</v>
      </c>
      <c r="B95" s="6" t="str">
        <f t="array" ref="B95">_xlfn.XLOOKUP(
  A95,
  'CMFA-CSCDA Grants'!A:A,
'CMFA-CSCDA Grants'!E:E)</f>
        <v>Los Angeles</v>
      </c>
      <c r="C95" s="6" t="str">
        <f t="array" ref="C95">_xlfn.XLOOKUP(
  A95,
  'CMFA-CSCDA Grants'!A:A,
'CMFA-CSCDA Grants'!B:B)</f>
        <v>Seaport Village Apartments</v>
      </c>
      <c r="D95" s="12">
        <v>7.157031009E9</v>
      </c>
      <c r="F95" s="6" t="b">
        <v>0</v>
      </c>
      <c r="G95" s="6" t="s">
        <v>900</v>
      </c>
      <c r="H95" s="6" t="s">
        <v>901</v>
      </c>
      <c r="I95" s="6" t="s">
        <v>846</v>
      </c>
      <c r="J95" s="6" t="s">
        <v>902</v>
      </c>
      <c r="K95" s="6" t="s">
        <v>848</v>
      </c>
      <c r="L95" s="6" t="s">
        <v>849</v>
      </c>
      <c r="N95" s="6" t="s">
        <v>453</v>
      </c>
      <c r="O95" s="6" t="s">
        <v>110</v>
      </c>
      <c r="P95" s="6" t="s">
        <v>112</v>
      </c>
      <c r="Q95" s="6">
        <v>500.0</v>
      </c>
      <c r="R95" s="6">
        <v>1963.0</v>
      </c>
      <c r="S95" s="6">
        <v>10.0</v>
      </c>
      <c r="T95" s="6">
        <v>20.0</v>
      </c>
      <c r="U95" s="6">
        <v>16.0</v>
      </c>
      <c r="V95" s="6">
        <v>9280.0</v>
      </c>
      <c r="W95" s="6">
        <v>2025.0</v>
      </c>
      <c r="X95" s="18">
        <v>702518.0</v>
      </c>
      <c r="Y95" s="18">
        <v>1931398.0</v>
      </c>
      <c r="Z95" s="18">
        <f t="shared" si="7"/>
        <v>2633916</v>
      </c>
      <c r="AA95" s="6">
        <v>2022.0</v>
      </c>
      <c r="AB95" s="6">
        <v>2022.0</v>
      </c>
      <c r="AC95" s="18">
        <v>526784.0</v>
      </c>
      <c r="AD95" s="12">
        <v>7211.0</v>
      </c>
      <c r="AE95" s="6" t="s">
        <v>850</v>
      </c>
      <c r="AF95" s="6">
        <v>33.85777776</v>
      </c>
      <c r="AG95" s="6">
        <v>-118.16179606</v>
      </c>
      <c r="AH95" s="6" t="s">
        <v>903</v>
      </c>
      <c r="AI95" s="6" t="s">
        <v>852</v>
      </c>
      <c r="AJ95" s="16">
        <f t="array" ref="AJ95">_xlfn.XLOOKUP(
  A95,
  'CMFA-CSCDA Grants'!A:A,
'CMFA-CSCDA Grants'!O:O)</f>
        <v>356</v>
      </c>
      <c r="AK95" s="16">
        <f t="array" ref="AK95">_xlfn.XLOOKUP(
  A95,
  'CMFA-CSCDA Grants'!A:A,
'CMFA-CSCDA Grants'!P:P)</f>
        <v>144</v>
      </c>
      <c r="AL95" s="8">
        <f t="array" ref="AL95">_xlfn.XLOOKUP(
  AD95,
  'Tax Rates'!A:A,
'Tax Rates'!B:B)</f>
        <v>0.01206499</v>
      </c>
    </row>
    <row r="96">
      <c r="A96" s="12">
        <v>54.0</v>
      </c>
      <c r="B96" s="6" t="str">
        <f t="array" ref="B96">_xlfn.XLOOKUP(
  A96,
  'CMFA-CSCDA Grants'!A:A,
'CMFA-CSCDA Grants'!E:E)</f>
        <v>Los Angeles</v>
      </c>
      <c r="C96" s="6" t="str">
        <f t="array" ref="C96">_xlfn.XLOOKUP(
  A96,
  'CMFA-CSCDA Grants'!A:A,
'CMFA-CSCDA Grants'!B:B)</f>
        <v>Seaport Village Apartments</v>
      </c>
      <c r="D96" s="12">
        <v>7.15703101E9</v>
      </c>
      <c r="F96" s="6" t="b">
        <v>0</v>
      </c>
      <c r="G96" s="6" t="s">
        <v>904</v>
      </c>
      <c r="H96" s="6" t="s">
        <v>905</v>
      </c>
      <c r="I96" s="6" t="s">
        <v>846</v>
      </c>
      <c r="J96" s="6" t="s">
        <v>906</v>
      </c>
      <c r="K96" s="6" t="s">
        <v>848</v>
      </c>
      <c r="L96" s="6" t="s">
        <v>849</v>
      </c>
      <c r="N96" s="6" t="s">
        <v>453</v>
      </c>
      <c r="O96" s="6" t="s">
        <v>110</v>
      </c>
      <c r="P96" s="6" t="s">
        <v>112</v>
      </c>
      <c r="Q96" s="6">
        <v>500.0</v>
      </c>
      <c r="R96" s="6">
        <v>1963.0</v>
      </c>
      <c r="S96" s="6">
        <v>10.0</v>
      </c>
      <c r="T96" s="6">
        <v>20.0</v>
      </c>
      <c r="U96" s="6">
        <v>16.0</v>
      </c>
      <c r="V96" s="6">
        <v>9280.0</v>
      </c>
      <c r="W96" s="6">
        <v>2025.0</v>
      </c>
      <c r="X96" s="18">
        <v>702518.0</v>
      </c>
      <c r="Y96" s="18">
        <v>1931398.0</v>
      </c>
      <c r="Z96" s="18">
        <f t="shared" si="7"/>
        <v>2633916</v>
      </c>
      <c r="AA96" s="6">
        <v>2022.0</v>
      </c>
      <c r="AB96" s="6">
        <v>2022.0</v>
      </c>
      <c r="AC96" s="18">
        <v>1316958.0</v>
      </c>
      <c r="AD96" s="12">
        <v>7211.0</v>
      </c>
      <c r="AE96" s="6" t="s">
        <v>850</v>
      </c>
      <c r="AF96" s="6">
        <v>33.8575211</v>
      </c>
      <c r="AG96" s="6">
        <v>-118.16179379</v>
      </c>
      <c r="AH96" s="6" t="s">
        <v>907</v>
      </c>
      <c r="AI96" s="6" t="s">
        <v>852</v>
      </c>
      <c r="AJ96" s="16">
        <f t="array" ref="AJ96">_xlfn.XLOOKUP(
  A96,
  'CMFA-CSCDA Grants'!A:A,
'CMFA-CSCDA Grants'!O:O)</f>
        <v>356</v>
      </c>
      <c r="AK96" s="16">
        <f t="array" ref="AK96">_xlfn.XLOOKUP(
  A96,
  'CMFA-CSCDA Grants'!A:A,
'CMFA-CSCDA Grants'!P:P)</f>
        <v>144</v>
      </c>
      <c r="AL96" s="8">
        <f t="array" ref="AL96">_xlfn.XLOOKUP(
  AD96,
  'Tax Rates'!A:A,
'Tax Rates'!B:B)</f>
        <v>0.01206499</v>
      </c>
    </row>
    <row r="97">
      <c r="A97" s="12">
        <v>54.0</v>
      </c>
      <c r="B97" s="6" t="str">
        <f t="array" ref="B97">_xlfn.XLOOKUP(
  A97,
  'CMFA-CSCDA Grants'!A:A,
'CMFA-CSCDA Grants'!E:E)</f>
        <v>Los Angeles</v>
      </c>
      <c r="C97" s="6" t="str">
        <f t="array" ref="C97">_xlfn.XLOOKUP(
  A97,
  'CMFA-CSCDA Grants'!A:A,
'CMFA-CSCDA Grants'!B:B)</f>
        <v>Seaport Village Apartments</v>
      </c>
      <c r="D97" s="12">
        <v>7.157031011E9</v>
      </c>
      <c r="F97" s="6" t="b">
        <v>0</v>
      </c>
      <c r="G97" s="6" t="s">
        <v>910</v>
      </c>
      <c r="H97" s="6" t="s">
        <v>911</v>
      </c>
      <c r="I97" s="6" t="s">
        <v>846</v>
      </c>
      <c r="J97" s="6" t="s">
        <v>912</v>
      </c>
      <c r="K97" s="6" t="s">
        <v>848</v>
      </c>
      <c r="L97" s="6" t="s">
        <v>849</v>
      </c>
      <c r="N97" s="6" t="s">
        <v>453</v>
      </c>
      <c r="O97" s="6" t="s">
        <v>110</v>
      </c>
      <c r="P97" s="6" t="s">
        <v>112</v>
      </c>
      <c r="Q97" s="6">
        <v>500.0</v>
      </c>
      <c r="R97" s="6">
        <v>1962.0</v>
      </c>
      <c r="S97" s="6">
        <v>10.0</v>
      </c>
      <c r="T97" s="6">
        <v>20.0</v>
      </c>
      <c r="U97" s="6">
        <v>16.0</v>
      </c>
      <c r="V97" s="6">
        <v>9280.0</v>
      </c>
      <c r="W97" s="6">
        <v>2025.0</v>
      </c>
      <c r="X97" s="18">
        <v>702518.0</v>
      </c>
      <c r="Y97" s="18">
        <v>1931398.0</v>
      </c>
      <c r="Z97" s="18">
        <f t="shared" si="7"/>
        <v>2633916</v>
      </c>
      <c r="AA97" s="6">
        <v>2022.0</v>
      </c>
      <c r="AB97" s="6">
        <v>2022.0</v>
      </c>
      <c r="AC97" s="18">
        <v>1316958.0</v>
      </c>
      <c r="AD97" s="12">
        <v>7211.0</v>
      </c>
      <c r="AE97" s="6" t="s">
        <v>850</v>
      </c>
      <c r="AF97" s="6">
        <v>33.85726332</v>
      </c>
      <c r="AG97" s="6">
        <v>-118.16179233</v>
      </c>
      <c r="AH97" s="6" t="s">
        <v>914</v>
      </c>
      <c r="AI97" s="6" t="s">
        <v>852</v>
      </c>
      <c r="AJ97" s="16">
        <f t="array" ref="AJ97">_xlfn.XLOOKUP(
  A97,
  'CMFA-CSCDA Grants'!A:A,
'CMFA-CSCDA Grants'!O:O)</f>
        <v>356</v>
      </c>
      <c r="AK97" s="16">
        <f t="array" ref="AK97">_xlfn.XLOOKUP(
  A97,
  'CMFA-CSCDA Grants'!A:A,
'CMFA-CSCDA Grants'!P:P)</f>
        <v>144</v>
      </c>
      <c r="AL97" s="8">
        <f t="array" ref="AL97">_xlfn.XLOOKUP(
  AD97,
  'Tax Rates'!A:A,
'Tax Rates'!B:B)</f>
        <v>0.01206499</v>
      </c>
    </row>
    <row r="98">
      <c r="A98" s="12">
        <v>54.0</v>
      </c>
      <c r="B98" s="6" t="str">
        <f t="array" ref="B98">_xlfn.XLOOKUP(
  A98,
  'CMFA-CSCDA Grants'!A:A,
'CMFA-CSCDA Grants'!E:E)</f>
        <v>Los Angeles</v>
      </c>
      <c r="C98" s="6" t="str">
        <f t="array" ref="C98">_xlfn.XLOOKUP(
  A98,
  'CMFA-CSCDA Grants'!A:A,
'CMFA-CSCDA Grants'!B:B)</f>
        <v>Seaport Village Apartments</v>
      </c>
      <c r="D98" s="12">
        <v>7.157031012E9</v>
      </c>
      <c r="F98" s="6" t="b">
        <v>0</v>
      </c>
      <c r="G98" s="6" t="s">
        <v>915</v>
      </c>
      <c r="H98" s="6" t="s">
        <v>916</v>
      </c>
      <c r="I98" s="6" t="s">
        <v>846</v>
      </c>
      <c r="J98" s="6" t="s">
        <v>917</v>
      </c>
      <c r="K98" s="6" t="s">
        <v>848</v>
      </c>
      <c r="L98" s="6" t="s">
        <v>849</v>
      </c>
      <c r="N98" s="6" t="s">
        <v>453</v>
      </c>
      <c r="O98" s="6" t="s">
        <v>110</v>
      </c>
      <c r="P98" s="6" t="s">
        <v>112</v>
      </c>
      <c r="Q98" s="6">
        <v>500.0</v>
      </c>
      <c r="R98" s="6">
        <v>1962.0</v>
      </c>
      <c r="S98" s="6">
        <v>10.0</v>
      </c>
      <c r="T98" s="6">
        <v>20.0</v>
      </c>
      <c r="U98" s="6">
        <v>16.0</v>
      </c>
      <c r="V98" s="6">
        <v>9280.0</v>
      </c>
      <c r="W98" s="6">
        <v>2025.0</v>
      </c>
      <c r="X98" s="18">
        <v>727988.0</v>
      </c>
      <c r="Y98" s="18">
        <v>1931398.0</v>
      </c>
      <c r="Z98" s="18">
        <f t="shared" si="7"/>
        <v>2659386</v>
      </c>
      <c r="AA98" s="6">
        <v>2022.0</v>
      </c>
      <c r="AB98" s="6">
        <v>2022.0</v>
      </c>
      <c r="AC98" s="18">
        <v>797817.0</v>
      </c>
      <c r="AD98" s="12">
        <v>7211.0</v>
      </c>
      <c r="AE98" s="6" t="s">
        <v>850</v>
      </c>
      <c r="AF98" s="6">
        <v>33.85700307</v>
      </c>
      <c r="AG98" s="6">
        <v>-118.1617762</v>
      </c>
      <c r="AH98" s="6" t="s">
        <v>918</v>
      </c>
      <c r="AI98" s="6" t="s">
        <v>852</v>
      </c>
      <c r="AJ98" s="16">
        <f t="array" ref="AJ98">_xlfn.XLOOKUP(
  A98,
  'CMFA-CSCDA Grants'!A:A,
'CMFA-CSCDA Grants'!O:O)</f>
        <v>356</v>
      </c>
      <c r="AK98" s="16">
        <f t="array" ref="AK98">_xlfn.XLOOKUP(
  A98,
  'CMFA-CSCDA Grants'!A:A,
'CMFA-CSCDA Grants'!P:P)</f>
        <v>144</v>
      </c>
      <c r="AL98" s="8">
        <f t="array" ref="AL98">_xlfn.XLOOKUP(
  AD98,
  'Tax Rates'!A:A,
'Tax Rates'!B:B)</f>
        <v>0.01206499</v>
      </c>
    </row>
    <row r="99">
      <c r="A99" s="12">
        <v>54.0</v>
      </c>
      <c r="B99" s="6" t="str">
        <f t="array" ref="B99">_xlfn.XLOOKUP(
  A99,
  'CMFA-CSCDA Grants'!A:A,
'CMFA-CSCDA Grants'!E:E)</f>
        <v>Los Angeles</v>
      </c>
      <c r="C99" s="6" t="str">
        <f t="array" ref="C99">_xlfn.XLOOKUP(
  A99,
  'CMFA-CSCDA Grants'!A:A,
'CMFA-CSCDA Grants'!B:B)</f>
        <v>Seaport Village Apartments</v>
      </c>
      <c r="D99" s="12">
        <v>7.157031013E9</v>
      </c>
      <c r="F99" s="6" t="b">
        <v>0</v>
      </c>
      <c r="G99" s="6" t="s">
        <v>921</v>
      </c>
      <c r="H99" s="6" t="s">
        <v>922</v>
      </c>
      <c r="I99" s="6" t="s">
        <v>846</v>
      </c>
      <c r="J99" s="6" t="s">
        <v>923</v>
      </c>
      <c r="K99" s="6" t="s">
        <v>848</v>
      </c>
      <c r="L99" s="6" t="s">
        <v>849</v>
      </c>
      <c r="N99" s="6" t="s">
        <v>453</v>
      </c>
      <c r="O99" s="6" t="s">
        <v>110</v>
      </c>
      <c r="P99" s="6" t="s">
        <v>112</v>
      </c>
      <c r="Q99" s="6">
        <v>501.0</v>
      </c>
      <c r="R99" s="6">
        <v>1962.0</v>
      </c>
      <c r="S99" s="6">
        <v>20.0</v>
      </c>
      <c r="T99" s="6">
        <v>30.0</v>
      </c>
      <c r="U99" s="6">
        <v>24.0</v>
      </c>
      <c r="V99" s="6">
        <v>15036.0</v>
      </c>
      <c r="W99" s="6">
        <v>2025.0</v>
      </c>
      <c r="X99" s="18">
        <v>1299979.0</v>
      </c>
      <c r="Y99" s="18">
        <v>3173011.0</v>
      </c>
      <c r="Z99" s="18">
        <f t="shared" si="7"/>
        <v>4472990</v>
      </c>
      <c r="AA99" s="6">
        <v>2022.0</v>
      </c>
      <c r="AB99" s="6">
        <v>2022.0</v>
      </c>
      <c r="AC99" s="18">
        <v>2343400.0</v>
      </c>
      <c r="AD99" s="12">
        <v>7211.0</v>
      </c>
      <c r="AE99" s="6" t="s">
        <v>850</v>
      </c>
      <c r="AF99" s="6">
        <v>33.85674802</v>
      </c>
      <c r="AG99" s="6">
        <v>-118.16167703</v>
      </c>
      <c r="AH99" s="6" t="s">
        <v>928</v>
      </c>
      <c r="AI99" s="6" t="s">
        <v>852</v>
      </c>
      <c r="AJ99" s="16">
        <f t="array" ref="AJ99">_xlfn.XLOOKUP(
  A99,
  'CMFA-CSCDA Grants'!A:A,
'CMFA-CSCDA Grants'!O:O)</f>
        <v>356</v>
      </c>
      <c r="AK99" s="16">
        <f t="array" ref="AK99">_xlfn.XLOOKUP(
  A99,
  'CMFA-CSCDA Grants'!A:A,
'CMFA-CSCDA Grants'!P:P)</f>
        <v>144</v>
      </c>
      <c r="AL99" s="8">
        <f t="array" ref="AL99">_xlfn.XLOOKUP(
  AD99,
  'Tax Rates'!A:A,
'Tax Rates'!B:B)</f>
        <v>0.01206499</v>
      </c>
    </row>
    <row r="100">
      <c r="A100" s="12">
        <v>54.0</v>
      </c>
      <c r="B100" s="6" t="str">
        <f t="array" ref="B100">_xlfn.XLOOKUP(
  A100,
  'CMFA-CSCDA Grants'!A:A,
'CMFA-CSCDA Grants'!E:E)</f>
        <v>Los Angeles</v>
      </c>
      <c r="C100" s="6" t="str">
        <f t="array" ref="C100">_xlfn.XLOOKUP(
  A100,
  'CMFA-CSCDA Grants'!A:A,
'CMFA-CSCDA Grants'!B:B)</f>
        <v>Seaport Village Apartments</v>
      </c>
      <c r="D100" s="12">
        <v>7.157031014E9</v>
      </c>
      <c r="F100" s="6" t="b">
        <v>0</v>
      </c>
      <c r="G100" s="6" t="s">
        <v>930</v>
      </c>
      <c r="H100" s="6" t="s">
        <v>931</v>
      </c>
      <c r="I100" s="6" t="s">
        <v>846</v>
      </c>
      <c r="J100" s="6" t="s">
        <v>932</v>
      </c>
      <c r="K100" s="6" t="s">
        <v>848</v>
      </c>
      <c r="L100" s="6" t="s">
        <v>849</v>
      </c>
      <c r="N100" s="6" t="s">
        <v>453</v>
      </c>
      <c r="O100" s="6" t="s">
        <v>110</v>
      </c>
      <c r="P100" s="6" t="s">
        <v>112</v>
      </c>
      <c r="Q100" s="6">
        <v>500.0</v>
      </c>
      <c r="R100" s="6">
        <v>1962.0</v>
      </c>
      <c r="S100" s="6">
        <v>10.0</v>
      </c>
      <c r="T100" s="6">
        <v>21.0</v>
      </c>
      <c r="U100" s="6">
        <v>16.0</v>
      </c>
      <c r="V100" s="6">
        <v>9608.0</v>
      </c>
      <c r="W100" s="6">
        <v>2025.0</v>
      </c>
      <c r="X100" s="18">
        <v>727988.0</v>
      </c>
      <c r="Y100" s="18">
        <v>2000377.0</v>
      </c>
      <c r="Z100" s="18">
        <f t="shared" si="7"/>
        <v>2728365</v>
      </c>
      <c r="AA100" s="6">
        <v>2022.0</v>
      </c>
      <c r="AB100" s="6">
        <v>2022.0</v>
      </c>
      <c r="AC100" s="18">
        <v>1091347.0</v>
      </c>
      <c r="AD100" s="12">
        <v>7211.0</v>
      </c>
      <c r="AE100" s="6" t="s">
        <v>850</v>
      </c>
      <c r="AF100" s="6">
        <v>33.85674328</v>
      </c>
      <c r="AG100" s="6">
        <v>-118.16124518</v>
      </c>
      <c r="AH100" s="6" t="s">
        <v>934</v>
      </c>
      <c r="AI100" s="6" t="s">
        <v>852</v>
      </c>
      <c r="AJ100" s="16">
        <f t="array" ref="AJ100">_xlfn.XLOOKUP(
  A100,
  'CMFA-CSCDA Grants'!A:A,
'CMFA-CSCDA Grants'!O:O)</f>
        <v>356</v>
      </c>
      <c r="AK100" s="16">
        <f t="array" ref="AK100">_xlfn.XLOOKUP(
  A100,
  'CMFA-CSCDA Grants'!A:A,
'CMFA-CSCDA Grants'!P:P)</f>
        <v>144</v>
      </c>
      <c r="AL100" s="8">
        <f t="array" ref="AL100">_xlfn.XLOOKUP(
  AD100,
  'Tax Rates'!A:A,
'Tax Rates'!B:B)</f>
        <v>0.01206499</v>
      </c>
    </row>
    <row r="101">
      <c r="A101" s="12">
        <v>54.0</v>
      </c>
      <c r="B101" s="6" t="str">
        <f t="array" ref="B101">_xlfn.XLOOKUP(
  A101,
  'CMFA-CSCDA Grants'!A:A,
'CMFA-CSCDA Grants'!E:E)</f>
        <v>Los Angeles</v>
      </c>
      <c r="C101" s="6" t="str">
        <f t="array" ref="C101">_xlfn.XLOOKUP(
  A101,
  'CMFA-CSCDA Grants'!A:A,
'CMFA-CSCDA Grants'!B:B)</f>
        <v>Seaport Village Apartments</v>
      </c>
      <c r="D101" s="12">
        <v>7.157031015E9</v>
      </c>
      <c r="F101" s="6" t="b">
        <v>0</v>
      </c>
      <c r="G101" s="6" t="s">
        <v>940</v>
      </c>
      <c r="H101" s="6" t="s">
        <v>941</v>
      </c>
      <c r="I101" s="6" t="s">
        <v>846</v>
      </c>
      <c r="J101" s="6" t="s">
        <v>942</v>
      </c>
      <c r="K101" s="6" t="s">
        <v>848</v>
      </c>
      <c r="L101" s="6" t="s">
        <v>849</v>
      </c>
      <c r="N101" s="6" t="s">
        <v>453</v>
      </c>
      <c r="O101" s="6" t="s">
        <v>110</v>
      </c>
      <c r="P101" s="6" t="s">
        <v>112</v>
      </c>
      <c r="Q101" s="6">
        <v>500.0</v>
      </c>
      <c r="R101" s="6">
        <v>1962.0</v>
      </c>
      <c r="S101" s="6">
        <v>10.0</v>
      </c>
      <c r="T101" s="6">
        <v>21.0</v>
      </c>
      <c r="U101" s="6">
        <v>16.0</v>
      </c>
      <c r="V101" s="6">
        <v>9608.0</v>
      </c>
      <c r="W101" s="6">
        <v>2025.0</v>
      </c>
      <c r="X101" s="18">
        <v>727988.0</v>
      </c>
      <c r="Y101" s="18">
        <v>2000377.0</v>
      </c>
      <c r="Z101" s="18">
        <f t="shared" si="7"/>
        <v>2728365</v>
      </c>
      <c r="AA101" s="6">
        <v>2022.0</v>
      </c>
      <c r="AB101" s="6">
        <v>2022.0</v>
      </c>
      <c r="AC101" s="18">
        <v>818511.0</v>
      </c>
      <c r="AD101" s="12">
        <v>7211.0</v>
      </c>
      <c r="AE101" s="6" t="s">
        <v>850</v>
      </c>
      <c r="AF101" s="6">
        <v>33.85674563</v>
      </c>
      <c r="AG101" s="6">
        <v>-118.16091751</v>
      </c>
      <c r="AH101" s="6" t="s">
        <v>943</v>
      </c>
      <c r="AI101" s="6" t="s">
        <v>852</v>
      </c>
      <c r="AJ101" s="16">
        <f t="array" ref="AJ101">_xlfn.XLOOKUP(
  A101,
  'CMFA-CSCDA Grants'!A:A,
'CMFA-CSCDA Grants'!O:O)</f>
        <v>356</v>
      </c>
      <c r="AK101" s="16">
        <f t="array" ref="AK101">_xlfn.XLOOKUP(
  A101,
  'CMFA-CSCDA Grants'!A:A,
'CMFA-CSCDA Grants'!P:P)</f>
        <v>144</v>
      </c>
      <c r="AL101" s="8">
        <f t="array" ref="AL101">_xlfn.XLOOKUP(
  AD101,
  'Tax Rates'!A:A,
'Tax Rates'!B:B)</f>
        <v>0.01206499</v>
      </c>
    </row>
    <row r="102">
      <c r="A102" s="12">
        <v>54.0</v>
      </c>
      <c r="B102" s="6" t="str">
        <f t="array" ref="B102">_xlfn.XLOOKUP(
  A102,
  'CMFA-CSCDA Grants'!A:A,
'CMFA-CSCDA Grants'!E:E)</f>
        <v>Los Angeles</v>
      </c>
      <c r="C102" s="6" t="str">
        <f t="array" ref="C102">_xlfn.XLOOKUP(
  A102,
  'CMFA-CSCDA Grants'!A:A,
'CMFA-CSCDA Grants'!B:B)</f>
        <v>Seaport Village Apartments</v>
      </c>
      <c r="D102" s="12">
        <v>7.157031016E9</v>
      </c>
      <c r="F102" s="6" t="b">
        <v>0</v>
      </c>
      <c r="G102" s="6" t="s">
        <v>946</v>
      </c>
      <c r="H102" s="6" t="s">
        <v>947</v>
      </c>
      <c r="I102" s="6" t="s">
        <v>846</v>
      </c>
      <c r="J102" s="6" t="s">
        <v>949</v>
      </c>
      <c r="K102" s="6" t="s">
        <v>848</v>
      </c>
      <c r="L102" s="6" t="s">
        <v>849</v>
      </c>
      <c r="N102" s="6" t="s">
        <v>453</v>
      </c>
      <c r="O102" s="6" t="s">
        <v>110</v>
      </c>
      <c r="P102" s="6" t="s">
        <v>112</v>
      </c>
      <c r="Q102" s="6">
        <v>501.0</v>
      </c>
      <c r="R102" s="6">
        <v>1962.0</v>
      </c>
      <c r="S102" s="6">
        <v>10.0</v>
      </c>
      <c r="T102" s="6">
        <v>21.0</v>
      </c>
      <c r="U102" s="6">
        <v>16.0</v>
      </c>
      <c r="V102" s="6">
        <v>9608.0</v>
      </c>
      <c r="W102" s="6">
        <v>2025.0</v>
      </c>
      <c r="X102" s="18">
        <v>727988.0</v>
      </c>
      <c r="Y102" s="18">
        <v>2000377.0</v>
      </c>
      <c r="Z102" s="18">
        <f t="shared" si="7"/>
        <v>2728365</v>
      </c>
      <c r="AA102" s="6">
        <v>2022.0</v>
      </c>
      <c r="AB102" s="6">
        <v>2022.0</v>
      </c>
      <c r="AC102" s="18">
        <v>545674.0</v>
      </c>
      <c r="AD102" s="12">
        <v>7211.0</v>
      </c>
      <c r="AE102" s="6" t="s">
        <v>850</v>
      </c>
      <c r="AF102" s="6">
        <v>33.8567476</v>
      </c>
      <c r="AG102" s="6">
        <v>-118.16059029</v>
      </c>
      <c r="AH102" s="6" t="s">
        <v>953</v>
      </c>
      <c r="AI102" s="6" t="s">
        <v>852</v>
      </c>
      <c r="AJ102" s="16">
        <f t="array" ref="AJ102">_xlfn.XLOOKUP(
  A102,
  'CMFA-CSCDA Grants'!A:A,
'CMFA-CSCDA Grants'!O:O)</f>
        <v>356</v>
      </c>
      <c r="AK102" s="16">
        <f t="array" ref="AK102">_xlfn.XLOOKUP(
  A102,
  'CMFA-CSCDA Grants'!A:A,
'CMFA-CSCDA Grants'!P:P)</f>
        <v>144</v>
      </c>
      <c r="AL102" s="8">
        <f t="array" ref="AL102">_xlfn.XLOOKUP(
  AD102,
  'Tax Rates'!A:A,
'Tax Rates'!B:B)</f>
        <v>0.01206499</v>
      </c>
    </row>
    <row r="103">
      <c r="A103" s="12">
        <v>54.0</v>
      </c>
      <c r="B103" s="6" t="str">
        <f t="array" ref="B103">_xlfn.XLOOKUP(
  A103,
  'CMFA-CSCDA Grants'!A:A,
'CMFA-CSCDA Grants'!E:E)</f>
        <v>Los Angeles</v>
      </c>
      <c r="C103" s="6" t="str">
        <f t="array" ref="C103">_xlfn.XLOOKUP(
  A103,
  'CMFA-CSCDA Grants'!A:A,
'CMFA-CSCDA Grants'!B:B)</f>
        <v>Seaport Village Apartments</v>
      </c>
      <c r="D103" s="12">
        <v>7.157031017E9</v>
      </c>
      <c r="F103" s="6" t="b">
        <v>0</v>
      </c>
      <c r="G103" s="6" t="s">
        <v>955</v>
      </c>
      <c r="H103" s="6" t="s">
        <v>956</v>
      </c>
      <c r="I103" s="6" t="s">
        <v>846</v>
      </c>
      <c r="J103" s="6" t="s">
        <v>957</v>
      </c>
      <c r="K103" s="6" t="s">
        <v>848</v>
      </c>
      <c r="L103" s="6" t="s">
        <v>849</v>
      </c>
      <c r="N103" s="6" t="s">
        <v>453</v>
      </c>
      <c r="O103" s="6" t="s">
        <v>110</v>
      </c>
      <c r="P103" s="6" t="s">
        <v>112</v>
      </c>
      <c r="Q103" s="6">
        <v>500.0</v>
      </c>
      <c r="R103" s="6">
        <v>1962.0</v>
      </c>
      <c r="S103" s="6">
        <v>10.0</v>
      </c>
      <c r="T103" s="6">
        <v>21.0</v>
      </c>
      <c r="U103" s="6">
        <v>16.0</v>
      </c>
      <c r="V103" s="6">
        <v>9608.0</v>
      </c>
      <c r="W103" s="6">
        <v>2025.0</v>
      </c>
      <c r="X103" s="18">
        <v>806518.0</v>
      </c>
      <c r="Y103" s="18">
        <v>2000377.0</v>
      </c>
      <c r="Z103" s="18">
        <f t="shared" si="7"/>
        <v>2806895</v>
      </c>
      <c r="AA103" s="6">
        <v>2022.0</v>
      </c>
      <c r="AB103" s="6">
        <v>2022.0</v>
      </c>
      <c r="AC103" s="18">
        <v>1403448.0</v>
      </c>
      <c r="AD103" s="12">
        <v>7211.0</v>
      </c>
      <c r="AE103" s="6" t="s">
        <v>850</v>
      </c>
      <c r="AF103" s="6">
        <v>33.85674922</v>
      </c>
      <c r="AG103" s="6">
        <v>-118.1602458</v>
      </c>
      <c r="AH103" s="6" t="s">
        <v>958</v>
      </c>
      <c r="AI103" s="6" t="s">
        <v>852</v>
      </c>
      <c r="AJ103" s="16">
        <f t="array" ref="AJ103">_xlfn.XLOOKUP(
  A103,
  'CMFA-CSCDA Grants'!A:A,
'CMFA-CSCDA Grants'!O:O)</f>
        <v>356</v>
      </c>
      <c r="AK103" s="16">
        <f t="array" ref="AK103">_xlfn.XLOOKUP(
  A103,
  'CMFA-CSCDA Grants'!A:A,
'CMFA-CSCDA Grants'!P:P)</f>
        <v>144</v>
      </c>
      <c r="AL103" s="8">
        <f t="array" ref="AL103">_xlfn.XLOOKUP(
  AD103,
  'Tax Rates'!A:A,
'Tax Rates'!B:B)</f>
        <v>0.01206499</v>
      </c>
    </row>
    <row r="104">
      <c r="A104" s="12">
        <v>54.0</v>
      </c>
      <c r="B104" s="6" t="str">
        <f t="array" ref="B104">_xlfn.XLOOKUP(
  A104,
  'CMFA-CSCDA Grants'!A:A,
'CMFA-CSCDA Grants'!E:E)</f>
        <v>Los Angeles</v>
      </c>
      <c r="C104" s="6" t="str">
        <f t="array" ref="C104">_xlfn.XLOOKUP(
  A104,
  'CMFA-CSCDA Grants'!A:A,
'CMFA-CSCDA Grants'!B:B)</f>
        <v>Seaport Village Apartments</v>
      </c>
      <c r="D104" s="12">
        <v>7.157031018E9</v>
      </c>
      <c r="F104" s="6" t="b">
        <v>0</v>
      </c>
      <c r="G104" s="6" t="s">
        <v>962</v>
      </c>
      <c r="H104" s="6" t="s">
        <v>963</v>
      </c>
      <c r="I104" s="6" t="s">
        <v>846</v>
      </c>
      <c r="J104" s="6" t="s">
        <v>964</v>
      </c>
      <c r="K104" s="6" t="s">
        <v>848</v>
      </c>
      <c r="L104" s="6" t="s">
        <v>849</v>
      </c>
      <c r="N104" s="6" t="s">
        <v>453</v>
      </c>
      <c r="O104" s="6" t="s">
        <v>110</v>
      </c>
      <c r="P104" s="6" t="s">
        <v>112</v>
      </c>
      <c r="Q104" s="6">
        <v>501.0</v>
      </c>
      <c r="R104" s="6">
        <v>1963.0</v>
      </c>
      <c r="S104" s="6">
        <v>11.0</v>
      </c>
      <c r="T104" s="6">
        <v>19.0</v>
      </c>
      <c r="U104" s="6">
        <v>16.0</v>
      </c>
      <c r="V104" s="6">
        <v>9584.0</v>
      </c>
      <c r="W104" s="6">
        <v>2025.0</v>
      </c>
      <c r="X104" s="18">
        <v>727988.0</v>
      </c>
      <c r="Y104" s="18">
        <v>2000377.0</v>
      </c>
      <c r="Z104" s="18">
        <f t="shared" si="7"/>
        <v>2728365</v>
      </c>
      <c r="AA104" s="6">
        <v>2022.0</v>
      </c>
      <c r="AB104" s="6">
        <v>2022.0</v>
      </c>
      <c r="AC104" s="18">
        <v>744299.0</v>
      </c>
      <c r="AD104" s="12">
        <v>7211.0</v>
      </c>
      <c r="AE104" s="6" t="s">
        <v>850</v>
      </c>
      <c r="AF104" s="6">
        <v>33.85835122</v>
      </c>
      <c r="AG104" s="6">
        <v>-118.16125983</v>
      </c>
      <c r="AH104" s="6" t="s">
        <v>965</v>
      </c>
      <c r="AI104" s="6" t="s">
        <v>852</v>
      </c>
      <c r="AJ104" s="16">
        <f t="array" ref="AJ104">_xlfn.XLOOKUP(
  A104,
  'CMFA-CSCDA Grants'!A:A,
'CMFA-CSCDA Grants'!O:O)</f>
        <v>356</v>
      </c>
      <c r="AK104" s="16">
        <f t="array" ref="AK104">_xlfn.XLOOKUP(
  A104,
  'CMFA-CSCDA Grants'!A:A,
'CMFA-CSCDA Grants'!P:P)</f>
        <v>144</v>
      </c>
      <c r="AL104" s="8">
        <f t="array" ref="AL104">_xlfn.XLOOKUP(
  AD104,
  'Tax Rates'!A:A,
'Tax Rates'!B:B)</f>
        <v>0.01206499</v>
      </c>
    </row>
    <row r="105">
      <c r="A105" s="12">
        <v>54.0</v>
      </c>
      <c r="B105" s="6" t="str">
        <f t="array" ref="B105">_xlfn.XLOOKUP(
  A105,
  'CMFA-CSCDA Grants'!A:A,
'CMFA-CSCDA Grants'!E:E)</f>
        <v>Los Angeles</v>
      </c>
      <c r="C105" s="6" t="str">
        <f t="array" ref="C105">_xlfn.XLOOKUP(
  A105,
  'CMFA-CSCDA Grants'!A:A,
'CMFA-CSCDA Grants'!B:B)</f>
        <v>Seaport Village Apartments</v>
      </c>
      <c r="D105" s="12">
        <v>7.157031019E9</v>
      </c>
      <c r="F105" s="6" t="b">
        <v>0</v>
      </c>
      <c r="G105" s="6" t="s">
        <v>966</v>
      </c>
      <c r="H105" s="6" t="s">
        <v>968</v>
      </c>
      <c r="I105" s="6" t="s">
        <v>846</v>
      </c>
      <c r="J105" s="6" t="s">
        <v>970</v>
      </c>
      <c r="K105" s="6" t="s">
        <v>848</v>
      </c>
      <c r="L105" s="6" t="s">
        <v>849</v>
      </c>
      <c r="N105" s="6" t="s">
        <v>453</v>
      </c>
      <c r="O105" s="6" t="s">
        <v>110</v>
      </c>
      <c r="P105" s="6" t="s">
        <v>112</v>
      </c>
      <c r="Q105" s="6">
        <v>500.0</v>
      </c>
      <c r="R105" s="6">
        <v>1963.0</v>
      </c>
      <c r="S105" s="6">
        <v>11.0</v>
      </c>
      <c r="T105" s="6">
        <v>19.0</v>
      </c>
      <c r="U105" s="6">
        <v>16.0</v>
      </c>
      <c r="V105" s="6">
        <v>9608.0</v>
      </c>
      <c r="W105" s="6">
        <v>2025.0</v>
      </c>
      <c r="X105" s="18">
        <v>727988.0</v>
      </c>
      <c r="Y105" s="18">
        <v>2000377.0</v>
      </c>
      <c r="Z105" s="18">
        <f t="shared" si="7"/>
        <v>2728365</v>
      </c>
      <c r="AA105" s="6">
        <v>2022.0</v>
      </c>
      <c r="AB105" s="6">
        <v>2022.0</v>
      </c>
      <c r="AC105" s="18">
        <v>2232349.0</v>
      </c>
      <c r="AD105" s="12">
        <v>7211.0</v>
      </c>
      <c r="AE105" s="6" t="s">
        <v>850</v>
      </c>
      <c r="AF105" s="6">
        <v>33.85835534</v>
      </c>
      <c r="AG105" s="6">
        <v>-118.16093556</v>
      </c>
      <c r="AH105" s="6" t="s">
        <v>972</v>
      </c>
      <c r="AI105" s="6" t="s">
        <v>852</v>
      </c>
      <c r="AJ105" s="16">
        <f t="array" ref="AJ105">_xlfn.XLOOKUP(
  A105,
  'CMFA-CSCDA Grants'!A:A,
'CMFA-CSCDA Grants'!O:O)</f>
        <v>356</v>
      </c>
      <c r="AK105" s="16">
        <f t="array" ref="AK105">_xlfn.XLOOKUP(
  A105,
  'CMFA-CSCDA Grants'!A:A,
'CMFA-CSCDA Grants'!P:P)</f>
        <v>144</v>
      </c>
      <c r="AL105" s="8">
        <f t="array" ref="AL105">_xlfn.XLOOKUP(
  AD105,
  'Tax Rates'!A:A,
'Tax Rates'!B:B)</f>
        <v>0.01206499</v>
      </c>
    </row>
    <row r="106">
      <c r="A106" s="12">
        <v>54.0</v>
      </c>
      <c r="B106" s="6" t="str">
        <f t="array" ref="B106">_xlfn.XLOOKUP(
  A106,
  'CMFA-CSCDA Grants'!A:A,
'CMFA-CSCDA Grants'!E:E)</f>
        <v>Los Angeles</v>
      </c>
      <c r="C106" s="6" t="str">
        <f t="array" ref="C106">_xlfn.XLOOKUP(
  A106,
  'CMFA-CSCDA Grants'!A:A,
'CMFA-CSCDA Grants'!B:B)</f>
        <v>Seaport Village Apartments</v>
      </c>
      <c r="D106" s="12">
        <v>7.15703102E9</v>
      </c>
      <c r="F106" s="6" t="b">
        <v>0</v>
      </c>
      <c r="G106" s="6" t="s">
        <v>976</v>
      </c>
      <c r="H106" s="6" t="s">
        <v>977</v>
      </c>
      <c r="I106" s="6" t="s">
        <v>846</v>
      </c>
      <c r="J106" s="6" t="s">
        <v>978</v>
      </c>
      <c r="K106" s="6" t="s">
        <v>848</v>
      </c>
      <c r="L106" s="6" t="s">
        <v>849</v>
      </c>
      <c r="N106" s="6" t="s">
        <v>453</v>
      </c>
      <c r="O106" s="6" t="s">
        <v>110</v>
      </c>
      <c r="P106" s="6" t="s">
        <v>112</v>
      </c>
      <c r="Q106" s="6">
        <v>500.0</v>
      </c>
      <c r="R106" s="6">
        <v>1962.0</v>
      </c>
      <c r="S106" s="6">
        <v>11.0</v>
      </c>
      <c r="T106" s="6">
        <v>19.0</v>
      </c>
      <c r="U106" s="6">
        <v>16.0</v>
      </c>
      <c r="V106" s="6">
        <v>9608.0</v>
      </c>
      <c r="W106" s="6">
        <v>2025.0</v>
      </c>
      <c r="X106" s="18">
        <v>727988.0</v>
      </c>
      <c r="Y106" s="18">
        <v>2000377.0</v>
      </c>
      <c r="Z106" s="18">
        <f t="shared" si="7"/>
        <v>2728365</v>
      </c>
      <c r="AA106" s="6">
        <v>2022.0</v>
      </c>
      <c r="AB106" s="6">
        <v>2022.0</v>
      </c>
      <c r="AC106" s="18">
        <v>992308.0</v>
      </c>
      <c r="AD106" s="12">
        <v>7211.0</v>
      </c>
      <c r="AE106" s="6" t="s">
        <v>850</v>
      </c>
      <c r="AF106" s="6">
        <v>33.85835784</v>
      </c>
      <c r="AG106" s="6">
        <v>-118.16060718</v>
      </c>
      <c r="AH106" s="6" t="s">
        <v>979</v>
      </c>
      <c r="AI106" s="6" t="s">
        <v>852</v>
      </c>
      <c r="AJ106" s="16">
        <f t="array" ref="AJ106">_xlfn.XLOOKUP(
  A106,
  'CMFA-CSCDA Grants'!A:A,
'CMFA-CSCDA Grants'!O:O)</f>
        <v>356</v>
      </c>
      <c r="AK106" s="16">
        <f t="array" ref="AK106">_xlfn.XLOOKUP(
  A106,
  'CMFA-CSCDA Grants'!A:A,
'CMFA-CSCDA Grants'!P:P)</f>
        <v>144</v>
      </c>
      <c r="AL106" s="8">
        <f t="array" ref="AL106">_xlfn.XLOOKUP(
  AD106,
  'Tax Rates'!A:A,
'Tax Rates'!B:B)</f>
        <v>0.01206499</v>
      </c>
    </row>
    <row r="107">
      <c r="A107" s="12">
        <v>54.0</v>
      </c>
      <c r="B107" s="6" t="str">
        <f t="array" ref="B107">_xlfn.XLOOKUP(
  A107,
  'CMFA-CSCDA Grants'!A:A,
'CMFA-CSCDA Grants'!E:E)</f>
        <v>Los Angeles</v>
      </c>
      <c r="C107" s="6" t="str">
        <f t="array" ref="C107">_xlfn.XLOOKUP(
  A107,
  'CMFA-CSCDA Grants'!A:A,
'CMFA-CSCDA Grants'!B:B)</f>
        <v>Seaport Village Apartments</v>
      </c>
      <c r="D107" s="12">
        <v>7.157031021E9</v>
      </c>
      <c r="F107" s="6" t="b">
        <v>0</v>
      </c>
      <c r="G107" s="6" t="s">
        <v>982</v>
      </c>
      <c r="H107" s="6" t="s">
        <v>983</v>
      </c>
      <c r="I107" s="6" t="s">
        <v>846</v>
      </c>
      <c r="J107" s="6" t="s">
        <v>984</v>
      </c>
      <c r="K107" s="6" t="s">
        <v>848</v>
      </c>
      <c r="L107" s="6" t="s">
        <v>849</v>
      </c>
      <c r="N107" s="6" t="s">
        <v>453</v>
      </c>
      <c r="O107" s="6" t="s">
        <v>110</v>
      </c>
      <c r="P107" s="6" t="s">
        <v>112</v>
      </c>
      <c r="Q107" s="6">
        <v>500.0</v>
      </c>
      <c r="R107" s="6">
        <v>1963.0</v>
      </c>
      <c r="S107" s="6">
        <v>10.0</v>
      </c>
      <c r="T107" s="6">
        <v>21.0</v>
      </c>
      <c r="U107" s="6">
        <v>16.0</v>
      </c>
      <c r="V107" s="6">
        <v>9608.0</v>
      </c>
      <c r="W107" s="6">
        <v>2025.0</v>
      </c>
      <c r="X107" s="18">
        <v>806518.0</v>
      </c>
      <c r="Y107" s="18">
        <v>2000377.0</v>
      </c>
      <c r="Z107" s="18">
        <f t="shared" si="7"/>
        <v>2806895</v>
      </c>
      <c r="AA107" s="6">
        <v>2022.0</v>
      </c>
      <c r="AB107" s="6">
        <v>2022.0</v>
      </c>
      <c r="AC107" s="18">
        <v>1122759.0</v>
      </c>
      <c r="AD107" s="12">
        <v>7211.0</v>
      </c>
      <c r="AE107" s="6" t="s">
        <v>850</v>
      </c>
      <c r="AF107" s="6">
        <v>33.85835922</v>
      </c>
      <c r="AG107" s="6">
        <v>-118.16025866</v>
      </c>
      <c r="AH107" s="6" t="s">
        <v>989</v>
      </c>
      <c r="AI107" s="6" t="s">
        <v>852</v>
      </c>
      <c r="AJ107" s="16">
        <f t="array" ref="AJ107">_xlfn.XLOOKUP(
  A107,
  'CMFA-CSCDA Grants'!A:A,
'CMFA-CSCDA Grants'!O:O)</f>
        <v>356</v>
      </c>
      <c r="AK107" s="16">
        <f t="array" ref="AK107">_xlfn.XLOOKUP(
  A107,
  'CMFA-CSCDA Grants'!A:A,
'CMFA-CSCDA Grants'!P:P)</f>
        <v>144</v>
      </c>
      <c r="AL107" s="8">
        <f t="array" ref="AL107">_xlfn.XLOOKUP(
  AD107,
  'Tax Rates'!A:A,
'Tax Rates'!B:B)</f>
        <v>0.01206499</v>
      </c>
    </row>
    <row r="108">
      <c r="A108" s="12">
        <v>54.0</v>
      </c>
      <c r="B108" s="6" t="str">
        <f t="array" ref="B108">_xlfn.XLOOKUP(
  A108,
  'CMFA-CSCDA Grants'!A:A,
'CMFA-CSCDA Grants'!E:E)</f>
        <v>Los Angeles</v>
      </c>
      <c r="C108" s="6" t="str">
        <f t="array" ref="C108">_xlfn.XLOOKUP(
  A108,
  'CMFA-CSCDA Grants'!A:A,
'CMFA-CSCDA Grants'!B:B)</f>
        <v>Seaport Village Apartments</v>
      </c>
      <c r="D108" s="12">
        <v>7.157031022E9</v>
      </c>
      <c r="F108" s="6" t="b">
        <v>0</v>
      </c>
      <c r="G108" s="6" t="s">
        <v>991</v>
      </c>
      <c r="H108" s="6" t="s">
        <v>993</v>
      </c>
      <c r="I108" s="6" t="s">
        <v>846</v>
      </c>
      <c r="J108" s="6" t="s">
        <v>994</v>
      </c>
      <c r="K108" s="6" t="s">
        <v>848</v>
      </c>
      <c r="L108" s="6" t="s">
        <v>849</v>
      </c>
      <c r="N108" s="6" t="s">
        <v>453</v>
      </c>
      <c r="O108" s="6" t="s">
        <v>110</v>
      </c>
      <c r="P108" s="6" t="s">
        <v>112</v>
      </c>
      <c r="Q108" s="6">
        <v>500.0</v>
      </c>
      <c r="R108" s="6">
        <v>1963.0</v>
      </c>
      <c r="S108" s="6">
        <v>11.0</v>
      </c>
      <c r="T108" s="6">
        <v>21.0</v>
      </c>
      <c r="U108" s="6">
        <v>16.0</v>
      </c>
      <c r="V108" s="6">
        <v>9608.0</v>
      </c>
      <c r="W108" s="6">
        <v>2025.0</v>
      </c>
      <c r="X108" s="18">
        <v>727988.0</v>
      </c>
      <c r="Y108" s="18">
        <v>2000377.0</v>
      </c>
      <c r="Z108" s="18">
        <f t="shared" si="7"/>
        <v>2728365</v>
      </c>
      <c r="AA108" s="6">
        <v>2022.0</v>
      </c>
      <c r="AB108" s="6">
        <v>2022.0</v>
      </c>
      <c r="AC108" s="18">
        <v>1736332.0</v>
      </c>
      <c r="AD108" s="12">
        <v>7211.0</v>
      </c>
      <c r="AE108" s="6" t="s">
        <v>850</v>
      </c>
      <c r="AF108" s="6">
        <v>33.85800741</v>
      </c>
      <c r="AG108" s="6">
        <v>-118.16125906</v>
      </c>
      <c r="AH108" s="6" t="s">
        <v>998</v>
      </c>
      <c r="AI108" s="6" t="s">
        <v>852</v>
      </c>
      <c r="AJ108" s="16">
        <f t="array" ref="AJ108">_xlfn.XLOOKUP(
  A108,
  'CMFA-CSCDA Grants'!A:A,
'CMFA-CSCDA Grants'!O:O)</f>
        <v>356</v>
      </c>
      <c r="AK108" s="16">
        <f t="array" ref="AK108">_xlfn.XLOOKUP(
  A108,
  'CMFA-CSCDA Grants'!A:A,
'CMFA-CSCDA Grants'!P:P)</f>
        <v>144</v>
      </c>
      <c r="AL108" s="8">
        <f t="array" ref="AL108">_xlfn.XLOOKUP(
  AD108,
  'Tax Rates'!A:A,
'Tax Rates'!B:B)</f>
        <v>0.01206499</v>
      </c>
    </row>
    <row r="109">
      <c r="A109" s="12">
        <v>54.0</v>
      </c>
      <c r="B109" s="6" t="str">
        <f t="array" ref="B109">_xlfn.XLOOKUP(
  A109,
  'CMFA-CSCDA Grants'!A:A,
'CMFA-CSCDA Grants'!E:E)</f>
        <v>Los Angeles</v>
      </c>
      <c r="C109" s="6" t="str">
        <f t="array" ref="C109">_xlfn.XLOOKUP(
  A109,
  'CMFA-CSCDA Grants'!A:A,
'CMFA-CSCDA Grants'!B:B)</f>
        <v>Seaport Village Apartments</v>
      </c>
      <c r="D109" s="12">
        <v>7.157031023E9</v>
      </c>
      <c r="F109" s="6" t="b">
        <v>0</v>
      </c>
      <c r="G109" s="6" t="s">
        <v>1000</v>
      </c>
      <c r="H109" s="6" t="s">
        <v>1001</v>
      </c>
      <c r="I109" s="6" t="s">
        <v>846</v>
      </c>
      <c r="J109" s="6" t="s">
        <v>1002</v>
      </c>
      <c r="K109" s="6" t="s">
        <v>848</v>
      </c>
      <c r="L109" s="6" t="s">
        <v>849</v>
      </c>
      <c r="N109" s="6" t="s">
        <v>453</v>
      </c>
      <c r="O109" s="6" t="s">
        <v>110</v>
      </c>
      <c r="P109" s="6" t="s">
        <v>112</v>
      </c>
      <c r="Q109" s="6">
        <v>501.0</v>
      </c>
      <c r="R109" s="6">
        <v>1963.0</v>
      </c>
      <c r="S109" s="6">
        <v>10.0</v>
      </c>
      <c r="T109" s="6">
        <v>21.0</v>
      </c>
      <c r="U109" s="6">
        <v>16.0</v>
      </c>
      <c r="V109" s="6">
        <v>9608.0</v>
      </c>
      <c r="W109" s="6">
        <v>2025.0</v>
      </c>
      <c r="X109" s="18">
        <v>727988.0</v>
      </c>
      <c r="Y109" s="18">
        <v>2000377.0</v>
      </c>
      <c r="Z109" s="18">
        <f t="shared" si="7"/>
        <v>2728365</v>
      </c>
      <c r="AA109" s="6">
        <v>2022.0</v>
      </c>
      <c r="AB109" s="6">
        <v>2022.0</v>
      </c>
      <c r="AC109" s="18">
        <v>1091347.0</v>
      </c>
      <c r="AD109" s="12">
        <v>7211.0</v>
      </c>
      <c r="AE109" s="6" t="s">
        <v>850</v>
      </c>
      <c r="AF109" s="6">
        <v>33.85800917</v>
      </c>
      <c r="AG109" s="6">
        <v>-118.16093487</v>
      </c>
      <c r="AH109" s="6" t="s">
        <v>1003</v>
      </c>
      <c r="AI109" s="6" t="s">
        <v>852</v>
      </c>
      <c r="AJ109" s="16">
        <f t="array" ref="AJ109">_xlfn.XLOOKUP(
  A109,
  'CMFA-CSCDA Grants'!A:A,
'CMFA-CSCDA Grants'!O:O)</f>
        <v>356</v>
      </c>
      <c r="AK109" s="16">
        <f t="array" ref="AK109">_xlfn.XLOOKUP(
  A109,
  'CMFA-CSCDA Grants'!A:A,
'CMFA-CSCDA Grants'!P:P)</f>
        <v>144</v>
      </c>
      <c r="AL109" s="8">
        <f t="array" ref="AL109">_xlfn.XLOOKUP(
  AD109,
  'Tax Rates'!A:A,
'Tax Rates'!B:B)</f>
        <v>0.01206499</v>
      </c>
    </row>
    <row r="110">
      <c r="A110" s="12">
        <v>54.0</v>
      </c>
      <c r="B110" s="6" t="str">
        <f t="array" ref="B110">_xlfn.XLOOKUP(
  A110,
  'CMFA-CSCDA Grants'!A:A,
'CMFA-CSCDA Grants'!E:E)</f>
        <v>Los Angeles</v>
      </c>
      <c r="C110" s="6" t="str">
        <f t="array" ref="C110">_xlfn.XLOOKUP(
  A110,
  'CMFA-CSCDA Grants'!A:A,
'CMFA-CSCDA Grants'!B:B)</f>
        <v>Seaport Village Apartments</v>
      </c>
      <c r="D110" s="12">
        <v>7.157031024E9</v>
      </c>
      <c r="F110" s="6" t="b">
        <v>0</v>
      </c>
      <c r="G110" s="6" t="s">
        <v>1009</v>
      </c>
      <c r="H110" s="6" t="s">
        <v>1010</v>
      </c>
      <c r="I110" s="6" t="s">
        <v>846</v>
      </c>
      <c r="J110" s="6" t="s">
        <v>1011</v>
      </c>
      <c r="K110" s="6" t="s">
        <v>848</v>
      </c>
      <c r="L110" s="6" t="s">
        <v>849</v>
      </c>
      <c r="N110" s="6" t="s">
        <v>453</v>
      </c>
      <c r="O110" s="6" t="s">
        <v>110</v>
      </c>
      <c r="P110" s="6" t="s">
        <v>112</v>
      </c>
      <c r="Q110" s="6">
        <v>500.0</v>
      </c>
      <c r="R110" s="6">
        <v>1963.0</v>
      </c>
      <c r="S110" s="6">
        <v>10.0</v>
      </c>
      <c r="T110" s="6">
        <v>21.0</v>
      </c>
      <c r="U110" s="6">
        <v>16.0</v>
      </c>
      <c r="V110" s="6">
        <v>9608.0</v>
      </c>
      <c r="W110" s="6">
        <v>2025.0</v>
      </c>
      <c r="X110" s="18">
        <v>727988.0</v>
      </c>
      <c r="Y110" s="18">
        <v>2000377.0</v>
      </c>
      <c r="Z110" s="18">
        <f t="shared" si="7"/>
        <v>2728365</v>
      </c>
      <c r="AA110" s="6">
        <v>2022.0</v>
      </c>
      <c r="AB110" s="6">
        <v>2022.0</v>
      </c>
      <c r="AC110" s="18">
        <v>818511.0</v>
      </c>
      <c r="AD110" s="12">
        <v>7211.0</v>
      </c>
      <c r="AE110" s="6" t="s">
        <v>850</v>
      </c>
      <c r="AF110" s="6">
        <v>33.85801184</v>
      </c>
      <c r="AG110" s="6">
        <v>-118.16060595</v>
      </c>
      <c r="AH110" s="6" t="s">
        <v>1012</v>
      </c>
      <c r="AI110" s="6" t="s">
        <v>852</v>
      </c>
      <c r="AJ110" s="16">
        <f t="array" ref="AJ110">_xlfn.XLOOKUP(
  A110,
  'CMFA-CSCDA Grants'!A:A,
'CMFA-CSCDA Grants'!O:O)</f>
        <v>356</v>
      </c>
      <c r="AK110" s="16">
        <f t="array" ref="AK110">_xlfn.XLOOKUP(
  A110,
  'CMFA-CSCDA Grants'!A:A,
'CMFA-CSCDA Grants'!P:P)</f>
        <v>144</v>
      </c>
      <c r="AL110" s="8">
        <f t="array" ref="AL110">_xlfn.XLOOKUP(
  AD110,
  'Tax Rates'!A:A,
'Tax Rates'!B:B)</f>
        <v>0.01206499</v>
      </c>
    </row>
    <row r="111">
      <c r="A111" s="12">
        <v>54.0</v>
      </c>
      <c r="B111" s="6" t="str">
        <f t="array" ref="B111">_xlfn.XLOOKUP(
  A111,
  'CMFA-CSCDA Grants'!A:A,
'CMFA-CSCDA Grants'!E:E)</f>
        <v>Los Angeles</v>
      </c>
      <c r="C111" s="6" t="str">
        <f t="array" ref="C111">_xlfn.XLOOKUP(
  A111,
  'CMFA-CSCDA Grants'!A:A,
'CMFA-CSCDA Grants'!B:B)</f>
        <v>Seaport Village Apartments</v>
      </c>
      <c r="D111" s="12">
        <v>7.157031025E9</v>
      </c>
      <c r="F111" s="6" t="b">
        <v>0</v>
      </c>
      <c r="G111" s="6" t="s">
        <v>1015</v>
      </c>
      <c r="H111" s="6" t="s">
        <v>1016</v>
      </c>
      <c r="I111" s="6" t="s">
        <v>846</v>
      </c>
      <c r="J111" s="6" t="s">
        <v>1017</v>
      </c>
      <c r="K111" s="6" t="s">
        <v>848</v>
      </c>
      <c r="L111" s="6" t="s">
        <v>849</v>
      </c>
      <c r="N111" s="6" t="s">
        <v>453</v>
      </c>
      <c r="O111" s="6" t="s">
        <v>110</v>
      </c>
      <c r="P111" s="6" t="s">
        <v>112</v>
      </c>
      <c r="Q111" s="6">
        <v>501.0</v>
      </c>
      <c r="R111" s="6">
        <v>1963.0</v>
      </c>
      <c r="S111" s="6">
        <v>10.0</v>
      </c>
      <c r="T111" s="6">
        <v>21.0</v>
      </c>
      <c r="U111" s="6">
        <v>16.0</v>
      </c>
      <c r="V111" s="6">
        <v>9608.0</v>
      </c>
      <c r="W111" s="6">
        <v>2025.0</v>
      </c>
      <c r="X111" s="18">
        <v>806518.0</v>
      </c>
      <c r="Y111" s="18">
        <v>2000377.0</v>
      </c>
      <c r="Z111" s="18">
        <f t="shared" si="7"/>
        <v>2806895</v>
      </c>
      <c r="AA111" s="6">
        <v>2022.0</v>
      </c>
      <c r="AB111" s="6">
        <v>2022.0</v>
      </c>
      <c r="AC111" s="18">
        <v>2245517.0</v>
      </c>
      <c r="AD111" s="12">
        <v>7211.0</v>
      </c>
      <c r="AE111" s="6" t="s">
        <v>850</v>
      </c>
      <c r="AF111" s="6">
        <v>33.85801591</v>
      </c>
      <c r="AG111" s="6">
        <v>-118.16025654</v>
      </c>
      <c r="AH111" s="6" t="s">
        <v>1021</v>
      </c>
      <c r="AI111" s="6" t="s">
        <v>852</v>
      </c>
      <c r="AJ111" s="16">
        <f t="array" ref="AJ111">_xlfn.XLOOKUP(
  A111,
  'CMFA-CSCDA Grants'!A:A,
'CMFA-CSCDA Grants'!O:O)</f>
        <v>356</v>
      </c>
      <c r="AK111" s="16">
        <f t="array" ref="AK111">_xlfn.XLOOKUP(
  A111,
  'CMFA-CSCDA Grants'!A:A,
'CMFA-CSCDA Grants'!P:P)</f>
        <v>144</v>
      </c>
      <c r="AL111" s="8">
        <f t="array" ref="AL111">_xlfn.XLOOKUP(
  AD111,
  'Tax Rates'!A:A,
'Tax Rates'!B:B)</f>
        <v>0.01206499</v>
      </c>
    </row>
    <row r="112">
      <c r="A112" s="12">
        <v>54.0</v>
      </c>
      <c r="B112" s="6" t="str">
        <f t="array" ref="B112">_xlfn.XLOOKUP(
  A112,
  'CMFA-CSCDA Grants'!A:A,
'CMFA-CSCDA Grants'!E:E)</f>
        <v>Los Angeles</v>
      </c>
      <c r="C112" s="6" t="str">
        <f t="array" ref="C112">_xlfn.XLOOKUP(
  A112,
  'CMFA-CSCDA Grants'!A:A,
'CMFA-CSCDA Grants'!B:B)</f>
        <v>Seaport Village Apartments</v>
      </c>
      <c r="D112" s="12">
        <v>7.157031026E9</v>
      </c>
      <c r="F112" s="6" t="b">
        <v>0</v>
      </c>
      <c r="G112" s="6" t="s">
        <v>1023</v>
      </c>
      <c r="H112" s="6" t="s">
        <v>1024</v>
      </c>
      <c r="I112" s="6" t="s">
        <v>846</v>
      </c>
      <c r="J112" s="6" t="s">
        <v>1025</v>
      </c>
      <c r="K112" s="6" t="s">
        <v>848</v>
      </c>
      <c r="L112" s="6" t="s">
        <v>849</v>
      </c>
      <c r="N112" s="6" t="s">
        <v>453</v>
      </c>
      <c r="O112" s="6" t="s">
        <v>110</v>
      </c>
      <c r="P112" s="6" t="s">
        <v>112</v>
      </c>
      <c r="Q112" s="6">
        <v>501.0</v>
      </c>
      <c r="R112" s="6">
        <v>1963.0</v>
      </c>
      <c r="S112" s="6">
        <v>10.0</v>
      </c>
      <c r="T112" s="6">
        <v>21.0</v>
      </c>
      <c r="U112" s="6">
        <v>16.0</v>
      </c>
      <c r="V112" s="6">
        <v>9560.0</v>
      </c>
      <c r="W112" s="6">
        <v>2025.0</v>
      </c>
      <c r="X112" s="18">
        <v>727988.0</v>
      </c>
      <c r="Y112" s="18">
        <v>2000377.0</v>
      </c>
      <c r="Z112" s="18">
        <f t="shared" si="7"/>
        <v>2728365</v>
      </c>
      <c r="AA112" s="6">
        <v>2022.0</v>
      </c>
      <c r="AB112" s="6">
        <v>2022.0</v>
      </c>
      <c r="AC112" s="18">
        <v>545674.0</v>
      </c>
      <c r="AD112" s="12">
        <v>7211.0</v>
      </c>
      <c r="AE112" s="6" t="s">
        <v>850</v>
      </c>
      <c r="AF112" s="6">
        <v>33.85754308</v>
      </c>
      <c r="AG112" s="6">
        <v>-118.1612564</v>
      </c>
      <c r="AH112" s="6" t="s">
        <v>1026</v>
      </c>
      <c r="AI112" s="6" t="s">
        <v>852</v>
      </c>
      <c r="AJ112" s="16">
        <f t="array" ref="AJ112">_xlfn.XLOOKUP(
  A112,
  'CMFA-CSCDA Grants'!A:A,
'CMFA-CSCDA Grants'!O:O)</f>
        <v>356</v>
      </c>
      <c r="AK112" s="16">
        <f t="array" ref="AK112">_xlfn.XLOOKUP(
  A112,
  'CMFA-CSCDA Grants'!A:A,
'CMFA-CSCDA Grants'!P:P)</f>
        <v>144</v>
      </c>
      <c r="AL112" s="8">
        <f t="array" ref="AL112">_xlfn.XLOOKUP(
  AD112,
  'Tax Rates'!A:A,
'Tax Rates'!B:B)</f>
        <v>0.01206499</v>
      </c>
    </row>
    <row r="113">
      <c r="A113" s="12">
        <v>54.0</v>
      </c>
      <c r="B113" s="6" t="str">
        <f t="array" ref="B113">_xlfn.XLOOKUP(
  A113,
  'CMFA-CSCDA Grants'!A:A,
'CMFA-CSCDA Grants'!E:E)</f>
        <v>Los Angeles</v>
      </c>
      <c r="C113" s="6" t="str">
        <f t="array" ref="C113">_xlfn.XLOOKUP(
  A113,
  'CMFA-CSCDA Grants'!A:A,
'CMFA-CSCDA Grants'!B:B)</f>
        <v>Seaport Village Apartments</v>
      </c>
      <c r="D113" s="12">
        <v>7.157031027E9</v>
      </c>
      <c r="F113" s="6" t="b">
        <v>0</v>
      </c>
      <c r="G113" s="6" t="s">
        <v>1027</v>
      </c>
      <c r="H113" s="6" t="s">
        <v>1028</v>
      </c>
      <c r="I113" s="6" t="s">
        <v>846</v>
      </c>
      <c r="J113" s="6" t="s">
        <v>1029</v>
      </c>
      <c r="K113" s="6" t="s">
        <v>848</v>
      </c>
      <c r="L113" s="6" t="s">
        <v>849</v>
      </c>
      <c r="N113" s="6" t="s">
        <v>453</v>
      </c>
      <c r="O113" s="6" t="s">
        <v>110</v>
      </c>
      <c r="P113" s="6" t="s">
        <v>112</v>
      </c>
      <c r="Q113" s="6">
        <v>500.0</v>
      </c>
      <c r="R113" s="6">
        <v>1963.0</v>
      </c>
      <c r="S113" s="6">
        <v>10.0</v>
      </c>
      <c r="T113" s="6">
        <v>21.0</v>
      </c>
      <c r="U113" s="6">
        <v>16.0</v>
      </c>
      <c r="V113" s="6">
        <v>9608.0</v>
      </c>
      <c r="W113" s="6">
        <v>2025.0</v>
      </c>
      <c r="X113" s="18">
        <v>727988.0</v>
      </c>
      <c r="Y113" s="18">
        <v>2000377.0</v>
      </c>
      <c r="Z113" s="18">
        <f t="shared" si="7"/>
        <v>2728365</v>
      </c>
      <c r="AA113" s="6">
        <v>2022.0</v>
      </c>
      <c r="AB113" s="6">
        <v>2022.0</v>
      </c>
      <c r="AC113" s="18">
        <v>818511.0</v>
      </c>
      <c r="AD113" s="12">
        <v>7211.0</v>
      </c>
      <c r="AE113" s="6" t="s">
        <v>850</v>
      </c>
      <c r="AF113" s="6">
        <v>33.85754745</v>
      </c>
      <c r="AG113" s="6">
        <v>-118.16093277</v>
      </c>
      <c r="AH113" s="6" t="s">
        <v>1031</v>
      </c>
      <c r="AI113" s="6" t="s">
        <v>852</v>
      </c>
      <c r="AJ113" s="16">
        <f t="array" ref="AJ113">_xlfn.XLOOKUP(
  A113,
  'CMFA-CSCDA Grants'!A:A,
'CMFA-CSCDA Grants'!O:O)</f>
        <v>356</v>
      </c>
      <c r="AK113" s="16">
        <f t="array" ref="AK113">_xlfn.XLOOKUP(
  A113,
  'CMFA-CSCDA Grants'!A:A,
'CMFA-CSCDA Grants'!P:P)</f>
        <v>144</v>
      </c>
      <c r="AL113" s="8">
        <f t="array" ref="AL113">_xlfn.XLOOKUP(
  AD113,
  'Tax Rates'!A:A,
'Tax Rates'!B:B)</f>
        <v>0.01206499</v>
      </c>
    </row>
    <row r="114">
      <c r="A114" s="12">
        <v>54.0</v>
      </c>
      <c r="B114" s="6" t="str">
        <f t="array" ref="B114">_xlfn.XLOOKUP(
  A114,
  'CMFA-CSCDA Grants'!A:A,
'CMFA-CSCDA Grants'!E:E)</f>
        <v>Los Angeles</v>
      </c>
      <c r="C114" s="6" t="str">
        <f t="array" ref="C114">_xlfn.XLOOKUP(
  A114,
  'CMFA-CSCDA Grants'!A:A,
'CMFA-CSCDA Grants'!B:B)</f>
        <v>Seaport Village Apartments</v>
      </c>
      <c r="D114" s="12">
        <v>7.157031028E9</v>
      </c>
      <c r="F114" s="6" t="b">
        <v>0</v>
      </c>
      <c r="G114" s="6" t="s">
        <v>1038</v>
      </c>
      <c r="H114" s="6" t="s">
        <v>1039</v>
      </c>
      <c r="I114" s="6" t="s">
        <v>846</v>
      </c>
      <c r="J114" s="6" t="s">
        <v>1040</v>
      </c>
      <c r="K114" s="6" t="s">
        <v>848</v>
      </c>
      <c r="L114" s="6" t="s">
        <v>849</v>
      </c>
      <c r="N114" s="6" t="s">
        <v>453</v>
      </c>
      <c r="O114" s="6" t="s">
        <v>110</v>
      </c>
      <c r="P114" s="6" t="s">
        <v>112</v>
      </c>
      <c r="Q114" s="6">
        <v>501.0</v>
      </c>
      <c r="R114" s="6">
        <v>1963.0</v>
      </c>
      <c r="S114" s="6">
        <v>10.0</v>
      </c>
      <c r="T114" s="6">
        <v>21.0</v>
      </c>
      <c r="U114" s="6">
        <v>16.0</v>
      </c>
      <c r="V114" s="6">
        <v>9608.0</v>
      </c>
      <c r="W114" s="6">
        <v>2025.0</v>
      </c>
      <c r="X114" s="18">
        <v>727988.0</v>
      </c>
      <c r="Y114" s="18">
        <v>2000377.0</v>
      </c>
      <c r="Z114" s="18">
        <f t="shared" si="7"/>
        <v>2728365</v>
      </c>
      <c r="AA114" s="6">
        <v>2022.0</v>
      </c>
      <c r="AB114" s="6">
        <v>2022.0</v>
      </c>
      <c r="AC114" s="18">
        <v>1364183.0</v>
      </c>
      <c r="AD114" s="12">
        <v>7211.0</v>
      </c>
      <c r="AE114" s="6" t="s">
        <v>850</v>
      </c>
      <c r="AF114" s="6">
        <v>33.85755009</v>
      </c>
      <c r="AG114" s="6">
        <v>-118.16060404</v>
      </c>
      <c r="AH114" s="6" t="s">
        <v>1041</v>
      </c>
      <c r="AI114" s="6" t="s">
        <v>852</v>
      </c>
      <c r="AJ114" s="16">
        <f t="array" ref="AJ114">_xlfn.XLOOKUP(
  A114,
  'CMFA-CSCDA Grants'!A:A,
'CMFA-CSCDA Grants'!O:O)</f>
        <v>356</v>
      </c>
      <c r="AK114" s="16">
        <f t="array" ref="AK114">_xlfn.XLOOKUP(
  A114,
  'CMFA-CSCDA Grants'!A:A,
'CMFA-CSCDA Grants'!P:P)</f>
        <v>144</v>
      </c>
      <c r="AL114" s="8">
        <f t="array" ref="AL114">_xlfn.XLOOKUP(
  AD114,
  'Tax Rates'!A:A,
'Tax Rates'!B:B)</f>
        <v>0.01206499</v>
      </c>
    </row>
    <row r="115">
      <c r="A115" s="12">
        <v>54.0</v>
      </c>
      <c r="B115" s="6" t="str">
        <f t="array" ref="B115">_xlfn.XLOOKUP(
  A115,
  'CMFA-CSCDA Grants'!A:A,
'CMFA-CSCDA Grants'!E:E)</f>
        <v>Los Angeles</v>
      </c>
      <c r="C115" s="6" t="str">
        <f t="array" ref="C115">_xlfn.XLOOKUP(
  A115,
  'CMFA-CSCDA Grants'!A:A,
'CMFA-CSCDA Grants'!B:B)</f>
        <v>Seaport Village Apartments</v>
      </c>
      <c r="D115" s="12">
        <v>7.157031029E9</v>
      </c>
      <c r="F115" s="6" t="b">
        <v>0</v>
      </c>
      <c r="G115" s="6" t="s">
        <v>1042</v>
      </c>
      <c r="H115" s="6" t="s">
        <v>983</v>
      </c>
      <c r="I115" s="6" t="s">
        <v>846</v>
      </c>
      <c r="J115" s="6" t="s">
        <v>984</v>
      </c>
      <c r="K115" s="6" t="s">
        <v>848</v>
      </c>
      <c r="L115" s="6" t="s">
        <v>849</v>
      </c>
      <c r="N115" s="6" t="s">
        <v>453</v>
      </c>
      <c r="O115" s="6" t="s">
        <v>110</v>
      </c>
      <c r="P115" s="6" t="s">
        <v>112</v>
      </c>
      <c r="Q115" s="6">
        <v>501.0</v>
      </c>
      <c r="R115" s="6">
        <v>1963.0</v>
      </c>
      <c r="S115" s="6">
        <v>10.0</v>
      </c>
      <c r="T115" s="6">
        <v>21.0</v>
      </c>
      <c r="U115" s="6">
        <v>16.0</v>
      </c>
      <c r="V115" s="6">
        <v>9608.0</v>
      </c>
      <c r="W115" s="6">
        <v>2025.0</v>
      </c>
      <c r="X115" s="18">
        <v>806518.0</v>
      </c>
      <c r="Y115" s="18">
        <v>2000377.0</v>
      </c>
      <c r="Z115" s="18">
        <f t="shared" si="7"/>
        <v>2806895</v>
      </c>
      <c r="AA115" s="6">
        <v>2022.0</v>
      </c>
      <c r="AB115" s="6">
        <v>2022.0</v>
      </c>
      <c r="AC115" s="18">
        <v>1403448.0</v>
      </c>
      <c r="AD115" s="12">
        <v>7211.0</v>
      </c>
      <c r="AE115" s="6" t="s">
        <v>850</v>
      </c>
      <c r="AF115" s="6">
        <v>33.85755188</v>
      </c>
      <c r="AG115" s="6">
        <v>-118.16025406</v>
      </c>
      <c r="AH115" s="6" t="s">
        <v>1046</v>
      </c>
      <c r="AI115" s="6" t="s">
        <v>852</v>
      </c>
      <c r="AJ115" s="16">
        <f t="array" ref="AJ115">_xlfn.XLOOKUP(
  A115,
  'CMFA-CSCDA Grants'!A:A,
'CMFA-CSCDA Grants'!O:O)</f>
        <v>356</v>
      </c>
      <c r="AK115" s="16">
        <f t="array" ref="AK115">_xlfn.XLOOKUP(
  A115,
  'CMFA-CSCDA Grants'!A:A,
'CMFA-CSCDA Grants'!P:P)</f>
        <v>144</v>
      </c>
      <c r="AL115" s="8">
        <f t="array" ref="AL115">_xlfn.XLOOKUP(
  AD115,
  'Tax Rates'!A:A,
'Tax Rates'!B:B)</f>
        <v>0.01206499</v>
      </c>
    </row>
    <row r="116">
      <c r="A116" s="12">
        <v>54.0</v>
      </c>
      <c r="B116" s="6" t="str">
        <f t="array" ref="B116">_xlfn.XLOOKUP(
  A116,
  'CMFA-CSCDA Grants'!A:A,
'CMFA-CSCDA Grants'!E:E)</f>
        <v>Los Angeles</v>
      </c>
      <c r="C116" s="6" t="str">
        <f t="array" ref="C116">_xlfn.XLOOKUP(
  A116,
  'CMFA-CSCDA Grants'!A:A,
'CMFA-CSCDA Grants'!B:B)</f>
        <v>Seaport Village Apartments</v>
      </c>
      <c r="D116" s="12">
        <v>7.15703103E9</v>
      </c>
      <c r="F116" s="6" t="b">
        <v>0</v>
      </c>
      <c r="G116" s="6" t="s">
        <v>1049</v>
      </c>
      <c r="H116" s="6" t="s">
        <v>1050</v>
      </c>
      <c r="I116" s="6" t="s">
        <v>846</v>
      </c>
      <c r="J116" s="6" t="s">
        <v>1051</v>
      </c>
      <c r="K116" s="6" t="s">
        <v>848</v>
      </c>
      <c r="L116" s="6" t="s">
        <v>849</v>
      </c>
      <c r="N116" s="6" t="s">
        <v>453</v>
      </c>
      <c r="O116" s="6" t="s">
        <v>110</v>
      </c>
      <c r="P116" s="6" t="s">
        <v>112</v>
      </c>
      <c r="Q116" s="6">
        <v>500.0</v>
      </c>
      <c r="R116" s="6">
        <v>1962.0</v>
      </c>
      <c r="S116" s="6">
        <v>10.0</v>
      </c>
      <c r="T116" s="6">
        <v>21.0</v>
      </c>
      <c r="U116" s="6">
        <v>16.0</v>
      </c>
      <c r="V116" s="6">
        <v>9560.0</v>
      </c>
      <c r="W116" s="6">
        <v>2025.0</v>
      </c>
      <c r="X116" s="18">
        <v>727988.0</v>
      </c>
      <c r="Y116" s="18">
        <v>2000377.0</v>
      </c>
      <c r="Z116" s="18">
        <f t="shared" si="7"/>
        <v>2728365</v>
      </c>
      <c r="AA116" s="6">
        <v>2022.0</v>
      </c>
      <c r="AB116" s="6">
        <v>2022.0</v>
      </c>
      <c r="AC116" s="18">
        <v>1637020.0</v>
      </c>
      <c r="AD116" s="12">
        <v>7211.0</v>
      </c>
      <c r="AE116" s="6" t="s">
        <v>850</v>
      </c>
      <c r="AF116" s="6">
        <v>33.85719572</v>
      </c>
      <c r="AG116" s="6">
        <v>-118.16125246</v>
      </c>
      <c r="AH116" s="6" t="s">
        <v>1052</v>
      </c>
      <c r="AI116" s="6" t="s">
        <v>852</v>
      </c>
      <c r="AJ116" s="16">
        <f t="array" ref="AJ116">_xlfn.XLOOKUP(
  A116,
  'CMFA-CSCDA Grants'!A:A,
'CMFA-CSCDA Grants'!O:O)</f>
        <v>356</v>
      </c>
      <c r="AK116" s="16">
        <f t="array" ref="AK116">_xlfn.XLOOKUP(
  A116,
  'CMFA-CSCDA Grants'!A:A,
'CMFA-CSCDA Grants'!P:P)</f>
        <v>144</v>
      </c>
      <c r="AL116" s="8">
        <f t="array" ref="AL116">_xlfn.XLOOKUP(
  AD116,
  'Tax Rates'!A:A,
'Tax Rates'!B:B)</f>
        <v>0.01206499</v>
      </c>
    </row>
    <row r="117">
      <c r="A117" s="12">
        <v>54.0</v>
      </c>
      <c r="B117" s="6" t="str">
        <f t="array" ref="B117">_xlfn.XLOOKUP(
  A117,
  'CMFA-CSCDA Grants'!A:A,
'CMFA-CSCDA Grants'!E:E)</f>
        <v>Los Angeles</v>
      </c>
      <c r="C117" s="6" t="str">
        <f t="array" ref="C117">_xlfn.XLOOKUP(
  A117,
  'CMFA-CSCDA Grants'!A:A,
'CMFA-CSCDA Grants'!B:B)</f>
        <v>Seaport Village Apartments</v>
      </c>
      <c r="D117" s="12">
        <v>7.157031031E9</v>
      </c>
      <c r="F117" s="6" t="b">
        <v>0</v>
      </c>
      <c r="G117" s="6" t="s">
        <v>1055</v>
      </c>
      <c r="H117" s="6" t="s">
        <v>1056</v>
      </c>
      <c r="I117" s="6" t="s">
        <v>846</v>
      </c>
      <c r="J117" s="6" t="s">
        <v>1057</v>
      </c>
      <c r="K117" s="6" t="s">
        <v>848</v>
      </c>
      <c r="L117" s="6" t="s">
        <v>849</v>
      </c>
      <c r="N117" s="6" t="s">
        <v>453</v>
      </c>
      <c r="O117" s="6" t="s">
        <v>110</v>
      </c>
      <c r="P117" s="6" t="s">
        <v>112</v>
      </c>
      <c r="Q117" s="6">
        <v>501.0</v>
      </c>
      <c r="R117" s="6">
        <v>1962.0</v>
      </c>
      <c r="S117" s="6">
        <v>10.0</v>
      </c>
      <c r="T117" s="6">
        <v>21.0</v>
      </c>
      <c r="U117" s="6">
        <v>16.0</v>
      </c>
      <c r="V117" s="6">
        <v>9608.0</v>
      </c>
      <c r="W117" s="6">
        <v>2025.0</v>
      </c>
      <c r="X117" s="18">
        <v>727988.0</v>
      </c>
      <c r="Y117" s="18">
        <v>2000377.0</v>
      </c>
      <c r="Z117" s="18">
        <f t="shared" si="7"/>
        <v>2728365</v>
      </c>
      <c r="AA117" s="6">
        <v>2022.0</v>
      </c>
      <c r="AB117" s="6">
        <v>2022.0</v>
      </c>
      <c r="AC117" s="18">
        <v>1091347.0</v>
      </c>
      <c r="AD117" s="12">
        <v>7211.0</v>
      </c>
      <c r="AE117" s="6" t="s">
        <v>850</v>
      </c>
      <c r="AF117" s="6">
        <v>33.85719651</v>
      </c>
      <c r="AG117" s="6">
        <v>-118.16092894</v>
      </c>
      <c r="AH117" s="6" t="s">
        <v>1058</v>
      </c>
      <c r="AI117" s="6" t="s">
        <v>852</v>
      </c>
      <c r="AJ117" s="16">
        <f t="array" ref="AJ117">_xlfn.XLOOKUP(
  A117,
  'CMFA-CSCDA Grants'!A:A,
'CMFA-CSCDA Grants'!O:O)</f>
        <v>356</v>
      </c>
      <c r="AK117" s="16">
        <f t="array" ref="AK117">_xlfn.XLOOKUP(
  A117,
  'CMFA-CSCDA Grants'!A:A,
'CMFA-CSCDA Grants'!P:P)</f>
        <v>144</v>
      </c>
      <c r="AL117" s="8">
        <f t="array" ref="AL117">_xlfn.XLOOKUP(
  AD117,
  'Tax Rates'!A:A,
'Tax Rates'!B:B)</f>
        <v>0.01206499</v>
      </c>
    </row>
    <row r="118">
      <c r="A118" s="12">
        <v>54.0</v>
      </c>
      <c r="B118" s="6" t="str">
        <f t="array" ref="B118">_xlfn.XLOOKUP(
  A118,
  'CMFA-CSCDA Grants'!A:A,
'CMFA-CSCDA Grants'!E:E)</f>
        <v>Los Angeles</v>
      </c>
      <c r="C118" s="6" t="str">
        <f t="array" ref="C118">_xlfn.XLOOKUP(
  A118,
  'CMFA-CSCDA Grants'!A:A,
'CMFA-CSCDA Grants'!B:B)</f>
        <v>Seaport Village Apartments</v>
      </c>
      <c r="D118" s="12">
        <v>7.157031032E9</v>
      </c>
      <c r="F118" s="6" t="b">
        <v>0</v>
      </c>
      <c r="G118" s="6" t="s">
        <v>1065</v>
      </c>
      <c r="H118" s="6" t="s">
        <v>1066</v>
      </c>
      <c r="I118" s="6" t="s">
        <v>846</v>
      </c>
      <c r="J118" s="6" t="s">
        <v>1067</v>
      </c>
      <c r="K118" s="6" t="s">
        <v>848</v>
      </c>
      <c r="L118" s="6" t="s">
        <v>849</v>
      </c>
      <c r="N118" s="6" t="s">
        <v>453</v>
      </c>
      <c r="O118" s="6" t="s">
        <v>110</v>
      </c>
      <c r="P118" s="6" t="s">
        <v>112</v>
      </c>
      <c r="Q118" s="6">
        <v>500.0</v>
      </c>
      <c r="R118" s="6">
        <v>1962.0</v>
      </c>
      <c r="S118" s="6">
        <v>10.0</v>
      </c>
      <c r="T118" s="6">
        <v>21.0</v>
      </c>
      <c r="U118" s="6">
        <v>16.0</v>
      </c>
      <c r="V118" s="6">
        <v>9608.0</v>
      </c>
      <c r="W118" s="6">
        <v>2025.0</v>
      </c>
      <c r="X118" s="18">
        <v>727988.0</v>
      </c>
      <c r="Y118" s="18">
        <v>2000377.0</v>
      </c>
      <c r="Z118" s="18">
        <f t="shared" si="7"/>
        <v>2728365</v>
      </c>
      <c r="AA118" s="6">
        <v>2022.0</v>
      </c>
      <c r="AB118" s="6">
        <v>2022.0</v>
      </c>
      <c r="AC118" s="18">
        <v>1091347.0</v>
      </c>
      <c r="AD118" s="12">
        <v>7211.0</v>
      </c>
      <c r="AE118" s="6" t="s">
        <v>850</v>
      </c>
      <c r="AF118" s="6">
        <v>33.85719975</v>
      </c>
      <c r="AG118" s="6">
        <v>-118.1606007</v>
      </c>
      <c r="AH118" s="6" t="s">
        <v>1068</v>
      </c>
      <c r="AI118" s="6" t="s">
        <v>852</v>
      </c>
      <c r="AJ118" s="16">
        <f t="array" ref="AJ118">_xlfn.XLOOKUP(
  A118,
  'CMFA-CSCDA Grants'!A:A,
'CMFA-CSCDA Grants'!O:O)</f>
        <v>356</v>
      </c>
      <c r="AK118" s="16">
        <f t="array" ref="AK118">_xlfn.XLOOKUP(
  A118,
  'CMFA-CSCDA Grants'!A:A,
'CMFA-CSCDA Grants'!P:P)</f>
        <v>144</v>
      </c>
      <c r="AL118" s="8">
        <f t="array" ref="AL118">_xlfn.XLOOKUP(
  AD118,
  'Tax Rates'!A:A,
'Tax Rates'!B:B)</f>
        <v>0.01206499</v>
      </c>
    </row>
    <row r="119">
      <c r="A119" s="12">
        <v>54.0</v>
      </c>
      <c r="B119" s="6" t="str">
        <f t="array" ref="B119">_xlfn.XLOOKUP(
  A119,
  'CMFA-CSCDA Grants'!A:A,
'CMFA-CSCDA Grants'!E:E)</f>
        <v>Los Angeles</v>
      </c>
      <c r="C119" s="6" t="str">
        <f t="array" ref="C119">_xlfn.XLOOKUP(
  A119,
  'CMFA-CSCDA Grants'!A:A,
'CMFA-CSCDA Grants'!B:B)</f>
        <v>Seaport Village Apartments</v>
      </c>
      <c r="D119" s="12">
        <v>7.157031033E9</v>
      </c>
      <c r="F119" s="6" t="b">
        <v>0</v>
      </c>
      <c r="G119" s="6" t="s">
        <v>1069</v>
      </c>
      <c r="H119" s="6" t="s">
        <v>1070</v>
      </c>
      <c r="I119" s="6" t="s">
        <v>846</v>
      </c>
      <c r="J119" s="6" t="s">
        <v>1071</v>
      </c>
      <c r="K119" s="6" t="s">
        <v>848</v>
      </c>
      <c r="L119" s="6" t="s">
        <v>849</v>
      </c>
      <c r="N119" s="6" t="s">
        <v>453</v>
      </c>
      <c r="O119" s="6" t="s">
        <v>110</v>
      </c>
      <c r="P119" s="6" t="s">
        <v>112</v>
      </c>
      <c r="Q119" s="6">
        <v>501.0</v>
      </c>
      <c r="R119" s="6">
        <v>1962.0</v>
      </c>
      <c r="S119" s="6">
        <v>10.0</v>
      </c>
      <c r="T119" s="6">
        <v>21.0</v>
      </c>
      <c r="U119" s="6">
        <v>16.0</v>
      </c>
      <c r="V119" s="6">
        <v>9608.0</v>
      </c>
      <c r="W119" s="6">
        <v>2025.0</v>
      </c>
      <c r="X119" s="18">
        <v>806518.0</v>
      </c>
      <c r="Y119" s="18">
        <v>2000377.0</v>
      </c>
      <c r="Z119" s="18">
        <f t="shared" si="7"/>
        <v>2806895</v>
      </c>
      <c r="AA119" s="6">
        <v>2022.0</v>
      </c>
      <c r="AB119" s="6">
        <v>2022.0</v>
      </c>
      <c r="AC119" s="18">
        <v>1403448.0</v>
      </c>
      <c r="AD119" s="12">
        <v>7211.0</v>
      </c>
      <c r="AE119" s="6" t="s">
        <v>850</v>
      </c>
      <c r="AF119" s="6">
        <v>33.85720432</v>
      </c>
      <c r="AG119" s="6">
        <v>-118.16025148</v>
      </c>
      <c r="AH119" s="6" t="s">
        <v>1072</v>
      </c>
      <c r="AI119" s="6" t="s">
        <v>852</v>
      </c>
      <c r="AJ119" s="16">
        <f t="array" ref="AJ119">_xlfn.XLOOKUP(
  A119,
  'CMFA-CSCDA Grants'!A:A,
'CMFA-CSCDA Grants'!O:O)</f>
        <v>356</v>
      </c>
      <c r="AK119" s="16">
        <f t="array" ref="AK119">_xlfn.XLOOKUP(
  A119,
  'CMFA-CSCDA Grants'!A:A,
'CMFA-CSCDA Grants'!P:P)</f>
        <v>144</v>
      </c>
      <c r="AL119" s="8">
        <f t="array" ref="AL119">_xlfn.XLOOKUP(
  AD119,
  'Tax Rates'!A:A,
'Tax Rates'!B:B)</f>
        <v>0.01206499</v>
      </c>
    </row>
    <row r="120">
      <c r="A120" s="12">
        <v>55.0</v>
      </c>
      <c r="B120" s="6" t="str">
        <f t="array" ref="B120">_xlfn.XLOOKUP(
  A120,
  'CMFA-CSCDA Grants'!A:A,
'CMFA-CSCDA Grants'!E:E)</f>
        <v>Los Angeles</v>
      </c>
      <c r="C120" s="6" t="str">
        <f t="array" ref="C120">_xlfn.XLOOKUP(
  A120,
  'CMFA-CSCDA Grants'!A:A,
'CMFA-CSCDA Grants'!B:B)</f>
        <v>1457 Main Street Apartments</v>
      </c>
      <c r="D120" s="12">
        <v>5.40900503E9</v>
      </c>
      <c r="F120" s="6" t="b">
        <v>0</v>
      </c>
      <c r="G120" s="6" t="s">
        <v>1078</v>
      </c>
      <c r="H120" s="6" t="s">
        <v>1079</v>
      </c>
      <c r="I120" s="6" t="s">
        <v>105</v>
      </c>
      <c r="J120" s="6" t="s">
        <v>1080</v>
      </c>
      <c r="K120" s="6" t="s">
        <v>1036</v>
      </c>
      <c r="L120" s="6" t="s">
        <v>1032</v>
      </c>
      <c r="N120" s="6" t="s">
        <v>109</v>
      </c>
      <c r="O120" s="6" t="s">
        <v>1081</v>
      </c>
      <c r="P120" s="6" t="s">
        <v>765</v>
      </c>
      <c r="Q120" s="6">
        <v>3420.0</v>
      </c>
      <c r="W120" s="6">
        <v>2025.0</v>
      </c>
      <c r="X120" s="18">
        <v>1.3753255E7</v>
      </c>
      <c r="Y120" s="18">
        <v>3540000.0</v>
      </c>
      <c r="Z120" s="18">
        <f t="shared" si="7"/>
        <v>17293255</v>
      </c>
      <c r="AA120" s="6">
        <v>2022.0</v>
      </c>
      <c r="AB120" s="6">
        <v>2025.0</v>
      </c>
      <c r="AC120" s="18">
        <v>1.6976485E7</v>
      </c>
      <c r="AD120" s="12">
        <v>4.0</v>
      </c>
      <c r="AE120" s="6" t="s">
        <v>115</v>
      </c>
      <c r="AF120" s="6">
        <v>34.06590217</v>
      </c>
      <c r="AG120" s="6">
        <v>-118.23009531</v>
      </c>
      <c r="AH120" s="6" t="s">
        <v>1082</v>
      </c>
      <c r="AJ120" s="16">
        <f t="array" ref="AJ120">_xlfn.XLOOKUP(
  A120,
  'CMFA-CSCDA Grants'!A:A,
'CMFA-CSCDA Grants'!O:O)</f>
        <v>377</v>
      </c>
      <c r="AK120" s="16">
        <f t="array" ref="AK120">_xlfn.XLOOKUP(
  A120,
  'CMFA-CSCDA Grants'!A:A,
'CMFA-CSCDA Grants'!P:P)</f>
        <v>151</v>
      </c>
      <c r="AL120" s="8">
        <f t="array" ref="AL120">_xlfn.XLOOKUP(
  AD120,
  'Tax Rates'!A:A,
'Tax Rates'!B:B)</f>
        <v>0.0118738</v>
      </c>
    </row>
    <row r="121">
      <c r="A121" s="22">
        <v>56.0</v>
      </c>
      <c r="B121" s="6" t="str">
        <f t="array" ref="B121">_xlfn.XLOOKUP(
  A121,
  'CMFA-CSCDA Grants'!A:A,
'CMFA-CSCDA Grants'!E:E)</f>
        <v>Alameda</v>
      </c>
      <c r="C121" s="6" t="str">
        <f t="array" ref="C121">_xlfn.XLOOKUP(
  A121,
  'CMFA-CSCDA Grants'!A:A,
'CMFA-CSCDA Grants'!B:B)</f>
        <v>Viewpoint Apartments</v>
      </c>
      <c r="D121" s="115" t="s">
        <v>1085</v>
      </c>
      <c r="F121" s="6" t="b">
        <v>0</v>
      </c>
      <c r="H121" s="6" t="s">
        <v>1086</v>
      </c>
      <c r="X121" s="18">
        <v>5175000.0</v>
      </c>
      <c r="Y121" s="18">
        <v>2.666315E7</v>
      </c>
      <c r="Z121" s="31">
        <f>sum(X121:Y121)</f>
        <v>31838150</v>
      </c>
      <c r="AC121" s="31">
        <v>0.0</v>
      </c>
      <c r="AD121" s="12" t="s">
        <v>211</v>
      </c>
      <c r="AJ121" s="16">
        <f t="array" ref="AJ121">_xlfn.XLOOKUP(
  A121,
  'CMFA-CSCDA Grants'!A:A,
'CMFA-CSCDA Grants'!O:O)</f>
        <v>94</v>
      </c>
      <c r="AK121" s="16">
        <f t="array" ref="AK121">_xlfn.XLOOKUP(
  A121,
  'CMFA-CSCDA Grants'!A:A,
'CMFA-CSCDA Grants'!P:P)</f>
        <v>71</v>
      </c>
      <c r="AL121" s="10">
        <f t="array" ref="AL121">_xlfn.XLOOKUP(
  AD121,
  'Tax Rates'!A:A,
'Tax Rates'!B:B)</f>
        <v>0.012323</v>
      </c>
    </row>
    <row r="122">
      <c r="A122" s="12">
        <v>58.0</v>
      </c>
      <c r="B122" s="6" t="str">
        <f t="array" ref="B122">_xlfn.XLOOKUP(
  A122,
  'CMFA-CSCDA Grants'!A:A,
'CMFA-CSCDA Grants'!E:E)</f>
        <v>Los Angeles</v>
      </c>
      <c r="C122" s="6" t="str">
        <f t="array" ref="C122">_xlfn.XLOOKUP(
  A122,
  'CMFA-CSCDA Grants'!A:A,
'CMFA-CSCDA Grants'!B:B)</f>
        <v>Chaparral Apartments</v>
      </c>
      <c r="D122" s="12">
        <v>3.004004033E9</v>
      </c>
      <c r="F122" s="6" t="b">
        <v>0</v>
      </c>
      <c r="G122" s="6" t="s">
        <v>1090</v>
      </c>
      <c r="H122" s="6" t="s">
        <v>1091</v>
      </c>
      <c r="I122" s="6" t="s">
        <v>1092</v>
      </c>
      <c r="J122" s="6" t="s">
        <v>1093</v>
      </c>
      <c r="K122" s="6" t="s">
        <v>1094</v>
      </c>
      <c r="L122" s="6" t="s">
        <v>1008</v>
      </c>
      <c r="N122" s="6" t="s">
        <v>109</v>
      </c>
      <c r="O122" s="6" t="s">
        <v>110</v>
      </c>
      <c r="P122" s="6" t="s">
        <v>112</v>
      </c>
      <c r="Q122" s="6">
        <v>501.0</v>
      </c>
      <c r="R122" s="6">
        <v>1987.0</v>
      </c>
      <c r="S122" s="6">
        <v>296.0</v>
      </c>
      <c r="T122" s="6">
        <v>99.0</v>
      </c>
      <c r="U122" s="6">
        <v>99.0</v>
      </c>
      <c r="V122" s="6">
        <v>207582.0</v>
      </c>
      <c r="W122" s="6">
        <v>2025.0</v>
      </c>
      <c r="X122" s="18">
        <v>1997155.0</v>
      </c>
      <c r="Y122" s="18">
        <v>1.270541E7</v>
      </c>
      <c r="Z122" s="18">
        <f>SUM(X122:Y122)</f>
        <v>14702565</v>
      </c>
      <c r="AA122" s="6">
        <v>1994.0</v>
      </c>
      <c r="AB122" s="6">
        <v>1994.0</v>
      </c>
      <c r="AC122" s="18">
        <v>4371074.0</v>
      </c>
      <c r="AD122" s="12">
        <v>2241.0</v>
      </c>
      <c r="AE122" s="6" t="s">
        <v>1095</v>
      </c>
      <c r="AF122" s="6">
        <v>34.58077104</v>
      </c>
      <c r="AG122" s="6">
        <v>-118.14079808</v>
      </c>
      <c r="AH122" s="6" t="s">
        <v>1096</v>
      </c>
      <c r="AJ122" s="16">
        <f t="array" ref="AJ122">_xlfn.XLOOKUP(
  A122,
  'CMFA-CSCDA Grants'!A:A,
'CMFA-CSCDA Grants'!O:O)</f>
        <v>296</v>
      </c>
      <c r="AK122" s="16">
        <f t="array" ref="AK122">_xlfn.XLOOKUP(
  A122,
  'CMFA-CSCDA Grants'!A:A,
'CMFA-CSCDA Grants'!P:P)</f>
        <v>296</v>
      </c>
      <c r="AL122" s="8">
        <f t="array" ref="AL122">_xlfn.XLOOKUP(
  AD122,
  'Tax Rates'!A:A,
'Tax Rates'!B:B)</f>
        <v>0.01233086</v>
      </c>
    </row>
    <row r="123">
      <c r="A123" s="22">
        <v>59.0</v>
      </c>
      <c r="B123" s="6" t="str">
        <f t="array" ref="B123">_xlfn.XLOOKUP(
  A123,
  'CMFA-CSCDA Grants'!A:A,
'CMFA-CSCDA Grants'!E:E)</f>
        <v>San Francisco</v>
      </c>
      <c r="C123" s="6" t="str">
        <f t="array" ref="C123">_xlfn.XLOOKUP(
  A123,
  'CMFA-CSCDA Grants'!A:A,
'CMFA-CSCDA Grants'!B:B)</f>
        <v>Ventana Residences Apartments</v>
      </c>
      <c r="D123" s="24" t="s">
        <v>1097</v>
      </c>
      <c r="F123" s="6" t="b">
        <v>0</v>
      </c>
      <c r="H123" s="6" t="s">
        <v>1098</v>
      </c>
      <c r="X123" s="18" t="s">
        <v>146</v>
      </c>
      <c r="Y123" s="18" t="s">
        <v>146</v>
      </c>
      <c r="Z123" s="18">
        <v>8.2453101E7</v>
      </c>
      <c r="AC123" s="18"/>
      <c r="AD123" s="12" t="s">
        <v>123</v>
      </c>
      <c r="AJ123" s="16">
        <f t="array" ref="AJ123">_xlfn.XLOOKUP(
  A123,
  'CMFA-CSCDA Grants'!A:A,
'CMFA-CSCDA Grants'!O:O)</f>
        <v>193</v>
      </c>
      <c r="AK123" s="16">
        <f t="array" ref="AK123">_xlfn.XLOOKUP(
  A123,
  'CMFA-CSCDA Grants'!A:A,
'CMFA-CSCDA Grants'!P:P)</f>
        <v>100</v>
      </c>
      <c r="AL123" s="10">
        <f t="array" ref="AL123">_xlfn.XLOOKUP(
  AD123,
  'Tax Rates'!A:A,
'Tax Rates'!B:B)</f>
        <v>0.012</v>
      </c>
    </row>
    <row r="124">
      <c r="A124" s="12">
        <v>61.0</v>
      </c>
      <c r="B124" s="6" t="str">
        <f t="array" ref="B124">_xlfn.XLOOKUP(
  A124,
  'CMFA-CSCDA Grants'!A:A,
'CMFA-CSCDA Grants'!E:E)</f>
        <v>Los Angeles</v>
      </c>
      <c r="C124" s="6" t="str">
        <f t="array" ref="C124">_xlfn.XLOOKUP(
  A124,
  'CMFA-CSCDA Grants'!A:A,
'CMFA-CSCDA Grants'!B:B)</f>
        <v>11422 Broadway Apartments</v>
      </c>
      <c r="D124" s="12">
        <v>6.087002036E9</v>
      </c>
      <c r="F124" s="6" t="b">
        <v>0</v>
      </c>
      <c r="G124" s="6" t="s">
        <v>1103</v>
      </c>
      <c r="H124" s="6" t="s">
        <v>1104</v>
      </c>
      <c r="I124" s="6" t="s">
        <v>105</v>
      </c>
      <c r="J124" s="6" t="s">
        <v>1105</v>
      </c>
      <c r="K124" s="6" t="s">
        <v>1106</v>
      </c>
      <c r="L124" s="6" t="s">
        <v>1107</v>
      </c>
      <c r="N124" s="6" t="s">
        <v>109</v>
      </c>
      <c r="O124" s="6" t="s">
        <v>1108</v>
      </c>
      <c r="P124" s="6" t="s">
        <v>765</v>
      </c>
      <c r="Q124" s="6" t="s">
        <v>1109</v>
      </c>
      <c r="R124" s="6">
        <v>1917.0</v>
      </c>
      <c r="S124" s="6">
        <v>0.0</v>
      </c>
      <c r="T124" s="6">
        <v>0.0</v>
      </c>
      <c r="U124" s="6">
        <v>0.0</v>
      </c>
      <c r="V124" s="6">
        <v>10608.0</v>
      </c>
      <c r="W124" s="6">
        <v>2025.0</v>
      </c>
      <c r="X124" s="18">
        <v>2382411.0</v>
      </c>
      <c r="Y124" s="18">
        <v>468180.0</v>
      </c>
      <c r="Z124" s="18">
        <f t="shared" ref="Z124:Z125" si="8">SUM(X124:Y124)</f>
        <v>2850591</v>
      </c>
      <c r="AA124" s="6">
        <v>2023.0</v>
      </c>
      <c r="AB124" s="6">
        <v>2023.0</v>
      </c>
      <c r="AC124" s="18">
        <v>0.0</v>
      </c>
      <c r="AD124" s="12">
        <v>6654.0</v>
      </c>
      <c r="AE124" s="6" t="s">
        <v>115</v>
      </c>
      <c r="AF124" s="6">
        <v>33.93033691</v>
      </c>
      <c r="AG124" s="6">
        <v>-118.27760877</v>
      </c>
      <c r="AH124" s="6" t="s">
        <v>1110</v>
      </c>
      <c r="AJ124" s="16">
        <f t="array" ref="AJ124">_xlfn.XLOOKUP(
  A124,
  'CMFA-CSCDA Grants'!A:A,
'CMFA-CSCDA Grants'!O:O)</f>
        <v>166</v>
      </c>
      <c r="AK124" s="16">
        <f t="array" ref="AK124">_xlfn.XLOOKUP(
  A124,
  'CMFA-CSCDA Grants'!A:A,
'CMFA-CSCDA Grants'!P:P)</f>
        <v>165</v>
      </c>
      <c r="AL124" s="8">
        <f t="array" ref="AL124">_xlfn.XLOOKUP(
  AD124,
  'Tax Rates'!A:A,
'Tax Rates'!B:B)</f>
        <v>0.0118738</v>
      </c>
    </row>
    <row r="125">
      <c r="A125" s="12">
        <v>62.0</v>
      </c>
      <c r="B125" s="6" t="str">
        <f t="array" ref="B125">_xlfn.XLOOKUP(
  A125,
  'CMFA-CSCDA Grants'!A:A,
'CMFA-CSCDA Grants'!E:E)</f>
        <v>Los Angeles</v>
      </c>
      <c r="C125" s="6" t="str">
        <f t="array" ref="C125">_xlfn.XLOOKUP(
  A125,
  'CMFA-CSCDA Grants'!A:A,
'CMFA-CSCDA Grants'!B:B)</f>
        <v>Mansfield Micro Apartments</v>
      </c>
      <c r="D125" s="12">
        <v>5.049009082E9</v>
      </c>
      <c r="F125" s="6" t="b">
        <v>0</v>
      </c>
      <c r="G125" s="6" t="s">
        <v>1111</v>
      </c>
      <c r="K125" s="6" t="s">
        <v>1112</v>
      </c>
      <c r="L125" s="6" t="s">
        <v>1113</v>
      </c>
      <c r="N125" s="6" t="s">
        <v>109</v>
      </c>
      <c r="O125" s="6" t="s">
        <v>1114</v>
      </c>
      <c r="P125" s="6" t="s">
        <v>112</v>
      </c>
      <c r="Q125" s="6" t="s">
        <v>1115</v>
      </c>
      <c r="W125" s="6">
        <v>2025.0</v>
      </c>
      <c r="X125" s="18">
        <v>2065837.0</v>
      </c>
      <c r="Y125" s="18">
        <v>0.0</v>
      </c>
      <c r="Z125" s="18">
        <f t="shared" si="8"/>
        <v>2065837</v>
      </c>
      <c r="AA125" s="6">
        <v>2017.0</v>
      </c>
      <c r="AB125" s="6">
        <v>2017.0</v>
      </c>
      <c r="AC125" s="18">
        <v>0.0</v>
      </c>
      <c r="AD125" s="12">
        <v>401.0</v>
      </c>
      <c r="AE125" s="6" t="s">
        <v>115</v>
      </c>
      <c r="AF125" s="6">
        <v>34.03322648</v>
      </c>
      <c r="AG125" s="6">
        <v>-118.35192845</v>
      </c>
      <c r="AH125" s="6" t="s">
        <v>1117</v>
      </c>
      <c r="AJ125" s="16">
        <f t="array" ref="AJ125">_xlfn.XLOOKUP(
  A125,
  'CMFA-CSCDA Grants'!A:A,
'CMFA-CSCDA Grants'!O:O)</f>
        <v>116</v>
      </c>
      <c r="AK125" s="16">
        <f t="array" ref="AK125">_xlfn.XLOOKUP(
  A125,
  'CMFA-CSCDA Grants'!A:A,
'CMFA-CSCDA Grants'!P:P)</f>
        <v>115</v>
      </c>
      <c r="AL125" s="8">
        <f t="array" ref="AL125">_xlfn.XLOOKUP(
  AD125,
  'Tax Rates'!A:A,
'Tax Rates'!B:B)</f>
        <v>0.0118738</v>
      </c>
    </row>
    <row r="126">
      <c r="A126" s="22">
        <v>63.0</v>
      </c>
      <c r="B126" s="6" t="str">
        <f t="array" ref="B126">_xlfn.XLOOKUP(
  A126,
  'CMFA-CSCDA Grants'!A:A,
'CMFA-CSCDA Grants'!E:E)</f>
        <v>Contra Costa</v>
      </c>
      <c r="C126" s="6" t="str">
        <f t="array" ref="C126">_xlfn.XLOOKUP(
  A126,
  'CMFA-CSCDA Grants'!A:A,
'CMFA-CSCDA Grants'!B:B)</f>
        <v>The Enclave Apartments</v>
      </c>
      <c r="D126" s="24" t="s">
        <v>1123</v>
      </c>
      <c r="F126" s="6" t="b">
        <v>0</v>
      </c>
      <c r="H126" s="6" t="s">
        <v>1124</v>
      </c>
      <c r="X126" s="18" t="s">
        <v>146</v>
      </c>
      <c r="Y126" s="18" t="s">
        <v>146</v>
      </c>
      <c r="Z126" s="18">
        <v>1.0616112E7</v>
      </c>
      <c r="AC126" s="18"/>
      <c r="AD126" s="12" t="s">
        <v>349</v>
      </c>
      <c r="AJ126" s="16">
        <f t="array" ref="AJ126">_xlfn.XLOOKUP(
  A126,
  'CMFA-CSCDA Grants'!A:A,
'CMFA-CSCDA Grants'!O:O)</f>
        <v>32</v>
      </c>
      <c r="AK126" s="16">
        <f t="array" ref="AK126">_xlfn.XLOOKUP(
  A126,
  'CMFA-CSCDA Grants'!A:A,
'CMFA-CSCDA Grants'!P:P)</f>
        <v>32</v>
      </c>
      <c r="AL126" s="10">
        <f t="array" ref="AL126">_xlfn.XLOOKUP(
  AD126,
  'Tax Rates'!A:A,
'Tax Rates'!B:B)</f>
        <v>0.011015</v>
      </c>
    </row>
    <row r="127">
      <c r="A127" s="12">
        <v>64.0</v>
      </c>
      <c r="B127" s="6" t="str">
        <f t="array" ref="B127">_xlfn.XLOOKUP(
  A127,
  'CMFA-CSCDA Grants'!A:A,
'CMFA-CSCDA Grants'!E:E)</f>
        <v>Los Angeles</v>
      </c>
      <c r="C127" s="6" t="str">
        <f t="array" ref="C127">_xlfn.XLOOKUP(
  A127,
  'CMFA-CSCDA Grants'!A:A,
'CMFA-CSCDA Grants'!B:B)</f>
        <v>333 Douglas Apartments</v>
      </c>
      <c r="D127" s="12">
        <v>5.16000902E9</v>
      </c>
      <c r="F127" s="6" t="b">
        <v>0</v>
      </c>
      <c r="G127" s="6" t="s">
        <v>1125</v>
      </c>
      <c r="H127" s="6" t="s">
        <v>1126</v>
      </c>
      <c r="I127" s="6" t="s">
        <v>105</v>
      </c>
      <c r="J127" s="6" t="s">
        <v>1127</v>
      </c>
      <c r="K127" s="6" t="s">
        <v>1122</v>
      </c>
      <c r="L127" s="6" t="s">
        <v>1116</v>
      </c>
      <c r="N127" s="6" t="s">
        <v>109</v>
      </c>
      <c r="O127" s="6" t="s">
        <v>1114</v>
      </c>
      <c r="P127" s="6" t="s">
        <v>112</v>
      </c>
      <c r="Q127" s="6">
        <v>100.0</v>
      </c>
      <c r="R127" s="6">
        <v>1906.0</v>
      </c>
      <c r="S127" s="6">
        <v>1.0</v>
      </c>
      <c r="T127" s="6">
        <v>2.0</v>
      </c>
      <c r="U127" s="6">
        <v>1.0</v>
      </c>
      <c r="V127" s="6">
        <v>858.0</v>
      </c>
      <c r="W127" s="6">
        <v>2025.0</v>
      </c>
      <c r="X127" s="18">
        <v>1040400.0</v>
      </c>
      <c r="Y127" s="18">
        <v>104040.0</v>
      </c>
      <c r="Z127" s="18">
        <f>SUM(X127:Y127)</f>
        <v>1144440</v>
      </c>
      <c r="AA127" s="6">
        <v>2023.0</v>
      </c>
      <c r="AB127" s="6">
        <v>2023.0</v>
      </c>
      <c r="AC127" s="18">
        <v>0.0</v>
      </c>
      <c r="AD127" s="12">
        <v>67.0</v>
      </c>
      <c r="AE127" s="6" t="s">
        <v>115</v>
      </c>
      <c r="AF127" s="6">
        <v>34.0657437</v>
      </c>
      <c r="AG127" s="6">
        <v>-118.2579405</v>
      </c>
      <c r="AH127" s="6" t="s">
        <v>1129</v>
      </c>
      <c r="AJ127" s="16">
        <f t="array" ref="AJ127">_xlfn.XLOOKUP(
  A127,
  'CMFA-CSCDA Grants'!A:A,
'CMFA-CSCDA Grants'!O:O)</f>
        <v>33</v>
      </c>
      <c r="AK127" s="16">
        <f t="array" ref="AK127">_xlfn.XLOOKUP(
  A127,
  'CMFA-CSCDA Grants'!A:A,
'CMFA-CSCDA Grants'!P:P)</f>
        <v>32</v>
      </c>
      <c r="AL127" s="8">
        <f t="array" ref="AL127">_xlfn.XLOOKUP(
  AD127,
  'Tax Rates'!A:A,
'Tax Rates'!B:B)</f>
        <v>0.0118738</v>
      </c>
    </row>
    <row r="128">
      <c r="A128" s="22">
        <v>65.0</v>
      </c>
      <c r="B128" s="6" t="str">
        <f t="array" ref="B128">_xlfn.XLOOKUP(
  A128,
  'CMFA-CSCDA Grants'!A:A,
'CMFA-CSCDA Grants'!E:E)</f>
        <v>Orange</v>
      </c>
      <c r="C128" s="6" t="str">
        <f t="array" ref="C128">_xlfn.XLOOKUP(
  A128,
  'CMFA-CSCDA Grants'!A:A,
'CMFA-CSCDA Grants'!B:B)</f>
        <v>Casa La Palma Apartments</v>
      </c>
      <c r="D128" s="24" t="s">
        <v>1131</v>
      </c>
      <c r="F128" s="6" t="b">
        <v>0</v>
      </c>
      <c r="H128" s="6" t="s">
        <v>1132</v>
      </c>
      <c r="X128" s="18" t="s">
        <v>146</v>
      </c>
      <c r="Y128" s="18" t="s">
        <v>146</v>
      </c>
      <c r="Z128" s="18">
        <v>5.3482929E7</v>
      </c>
      <c r="AC128" s="18">
        <v>5.3482929E7</v>
      </c>
      <c r="AD128" s="12" t="s">
        <v>273</v>
      </c>
      <c r="AJ128" s="16">
        <f t="array" ref="AJ128">_xlfn.XLOOKUP(
  A128,
  'CMFA-CSCDA Grants'!A:A,
'CMFA-CSCDA Grants'!O:O)</f>
        <v>272</v>
      </c>
      <c r="AK128" s="16">
        <f t="array" ref="AK128">_xlfn.XLOOKUP(
  A128,
  'CMFA-CSCDA Grants'!A:A,
'CMFA-CSCDA Grants'!P:P)</f>
        <v>270</v>
      </c>
      <c r="AL128" s="10">
        <f t="array" ref="AL128">_xlfn.XLOOKUP(
  AD128,
  'Tax Rates'!A:A,
'Tax Rates'!B:B)</f>
        <v>0.011162</v>
      </c>
    </row>
    <row r="129">
      <c r="A129" s="12">
        <v>66.0</v>
      </c>
      <c r="B129" s="6" t="str">
        <f t="array" ref="B129">_xlfn.XLOOKUP(
  A129,
  'CMFA-CSCDA Grants'!A:A,
'CMFA-CSCDA Grants'!E:E)</f>
        <v>Los Angeles</v>
      </c>
      <c r="C129" s="6" t="str">
        <f t="array" ref="C129">_xlfn.XLOOKUP(
  A129,
  'CMFA-CSCDA Grants'!A:A,
'CMFA-CSCDA Grants'!B:B)</f>
        <v>The Eaves Apartments</v>
      </c>
      <c r="D129" s="12">
        <v>5.092023021E9</v>
      </c>
      <c r="F129" s="6" t="b">
        <v>0</v>
      </c>
      <c r="G129" s="6" t="s">
        <v>1135</v>
      </c>
      <c r="H129" s="6" t="s">
        <v>1136</v>
      </c>
      <c r="I129" s="6" t="s">
        <v>105</v>
      </c>
      <c r="J129" s="6" t="s">
        <v>1137</v>
      </c>
      <c r="K129" s="6" t="s">
        <v>1139</v>
      </c>
      <c r="L129" s="6" t="s">
        <v>1140</v>
      </c>
      <c r="N129" s="6" t="s">
        <v>109</v>
      </c>
      <c r="O129" s="6" t="s">
        <v>110</v>
      </c>
      <c r="P129" s="6" t="s">
        <v>112</v>
      </c>
      <c r="Q129" s="6">
        <v>550.0</v>
      </c>
      <c r="R129" s="6">
        <v>2024.0</v>
      </c>
      <c r="S129" s="6">
        <v>13.0</v>
      </c>
      <c r="T129" s="6">
        <v>42.0</v>
      </c>
      <c r="U129" s="6">
        <v>46.0</v>
      </c>
      <c r="V129" s="6">
        <v>20594.0</v>
      </c>
      <c r="W129" s="6">
        <v>2025.0</v>
      </c>
      <c r="X129" s="18">
        <v>999261.0</v>
      </c>
      <c r="Y129" s="18">
        <v>6803400.0</v>
      </c>
      <c r="Z129" s="18">
        <f>SUM(X129:Y129)</f>
        <v>7802661</v>
      </c>
      <c r="AA129" s="6">
        <v>2017.0</v>
      </c>
      <c r="AB129" s="6">
        <v>2024.0</v>
      </c>
      <c r="AC129" s="18">
        <v>0.0</v>
      </c>
      <c r="AD129" s="12">
        <v>67.0</v>
      </c>
      <c r="AE129" s="6" t="s">
        <v>115</v>
      </c>
      <c r="AF129" s="6">
        <v>34.05514057</v>
      </c>
      <c r="AG129" s="6">
        <v>-118.31289902</v>
      </c>
      <c r="AH129" s="6" t="s">
        <v>1142</v>
      </c>
      <c r="AJ129" s="16">
        <f t="array" ref="AJ129">_xlfn.XLOOKUP(
  A129,
  'CMFA-CSCDA Grants'!A:A,
'CMFA-CSCDA Grants'!O:O)</f>
        <v>13</v>
      </c>
      <c r="AK129" s="16">
        <f t="array" ref="AK129">_xlfn.XLOOKUP(
  A129,
  'CMFA-CSCDA Grants'!A:A,
'CMFA-CSCDA Grants'!P:P)</f>
        <v>13</v>
      </c>
      <c r="AL129" s="8">
        <f t="array" ref="AL129">_xlfn.XLOOKUP(
  AD129,
  'Tax Rates'!A:A,
'Tax Rates'!B:B)</f>
        <v>0.0118738</v>
      </c>
    </row>
    <row r="130">
      <c r="A130" s="22">
        <v>67.0</v>
      </c>
      <c r="B130" s="6" t="str">
        <f t="array" ref="B130">_xlfn.XLOOKUP(
  A130,
  'CMFA-CSCDA Grants'!A:A,
'CMFA-CSCDA Grants'!E:E)</f>
        <v>Orange</v>
      </c>
      <c r="C130" s="6" t="str">
        <f t="array" ref="C130">_xlfn.XLOOKUP(
  A130,
  'CMFA-CSCDA Grants'!A:A,
'CMFA-CSCDA Grants'!B:B)</f>
        <v>Coronado Palms Apartments</v>
      </c>
      <c r="D130" s="24" t="s">
        <v>1143</v>
      </c>
      <c r="F130" s="6" t="b">
        <v>0</v>
      </c>
      <c r="H130" s="6" t="s">
        <v>1144</v>
      </c>
      <c r="X130" s="18" t="s">
        <v>146</v>
      </c>
      <c r="Y130" s="18" t="s">
        <v>146</v>
      </c>
      <c r="Z130" s="18">
        <v>6.069E7</v>
      </c>
      <c r="AC130" s="18"/>
      <c r="AD130" s="12" t="s">
        <v>128</v>
      </c>
      <c r="AJ130" s="16">
        <f t="array" ref="AJ130">_xlfn.XLOOKUP(
  A130,
  'CMFA-CSCDA Grants'!A:A,
'CMFA-CSCDA Grants'!O:O)</f>
        <v>169</v>
      </c>
      <c r="AK130" s="16">
        <f t="array" ref="AK130">_xlfn.XLOOKUP(
  A130,
  'CMFA-CSCDA Grants'!A:A,
'CMFA-CSCDA Grants'!P:P)</f>
        <v>68</v>
      </c>
      <c r="AL130" s="10">
        <f t="array" ref="AL130">_xlfn.XLOOKUP(
  AD130,
  'Tax Rates'!A:A,
'Tax Rates'!B:B)</f>
        <v>0.011372</v>
      </c>
    </row>
    <row r="131">
      <c r="A131" s="12">
        <v>68.0</v>
      </c>
      <c r="B131" s="6" t="str">
        <f t="array" ref="B131">_xlfn.XLOOKUP(
  A131,
  'CMFA-CSCDA Grants'!A:A,
'CMFA-CSCDA Grants'!E:E)</f>
        <v>Los Angeles</v>
      </c>
      <c r="C131" s="6" t="str">
        <f t="array" ref="C131">_xlfn.XLOOKUP(
  A131,
  'CMFA-CSCDA Grants'!A:A,
'CMFA-CSCDA Grants'!B:B)</f>
        <v>Candlewood North Apartments</v>
      </c>
      <c r="D131" s="12">
        <v>2.764001013E9</v>
      </c>
      <c r="F131" s="6" t="b">
        <v>0</v>
      </c>
      <c r="G131" s="6" t="s">
        <v>1148</v>
      </c>
      <c r="H131" s="6" t="s">
        <v>1149</v>
      </c>
      <c r="I131" s="6" t="s">
        <v>105</v>
      </c>
      <c r="J131" s="6" t="s">
        <v>1150</v>
      </c>
      <c r="K131" s="6" t="s">
        <v>1151</v>
      </c>
      <c r="L131" s="6" t="s">
        <v>990</v>
      </c>
      <c r="N131" s="6" t="s">
        <v>109</v>
      </c>
      <c r="O131" s="6" t="s">
        <v>110</v>
      </c>
      <c r="P131" s="6" t="s">
        <v>112</v>
      </c>
      <c r="Q131" s="6">
        <v>501.0</v>
      </c>
      <c r="R131" s="6">
        <v>1964.0</v>
      </c>
      <c r="S131" s="6">
        <v>68.0</v>
      </c>
      <c r="T131" s="6">
        <v>74.0</v>
      </c>
      <c r="U131" s="6">
        <v>86.0</v>
      </c>
      <c r="V131" s="6">
        <v>66070.0</v>
      </c>
      <c r="W131" s="6">
        <v>2025.0</v>
      </c>
      <c r="X131" s="18">
        <v>8704392.0</v>
      </c>
      <c r="Y131" s="18">
        <v>8588333.0</v>
      </c>
      <c r="Z131" s="18">
        <f t="shared" ref="Z131:Z132" si="9">SUM(X131:Y131)</f>
        <v>17292725</v>
      </c>
      <c r="AA131" s="6">
        <v>2017.0</v>
      </c>
      <c r="AB131" s="6">
        <v>2017.0</v>
      </c>
      <c r="AC131" s="18">
        <v>0.0</v>
      </c>
      <c r="AD131" s="12">
        <v>16.0</v>
      </c>
      <c r="AE131" s="6" t="s">
        <v>115</v>
      </c>
      <c r="AF131" s="6">
        <v>34.2491338</v>
      </c>
      <c r="AG131" s="6">
        <v>-118.53552906</v>
      </c>
      <c r="AH131" s="6" t="s">
        <v>1152</v>
      </c>
      <c r="AJ131" s="16">
        <f t="array" ref="AJ131">_xlfn.XLOOKUP(
  A131,
  'CMFA-CSCDA Grants'!A:A,
'CMFA-CSCDA Grants'!O:O)</f>
        <v>189</v>
      </c>
      <c r="AK131" s="16">
        <f t="array" ref="AK131">_xlfn.XLOOKUP(
  A131,
  'CMFA-CSCDA Grants'!A:A,
'CMFA-CSCDA Grants'!P:P)</f>
        <v>189</v>
      </c>
      <c r="AL131" s="8">
        <f t="array" ref="AL131">_xlfn.XLOOKUP(
  AD131,
  'Tax Rates'!A:A,
'Tax Rates'!B:B)</f>
        <v>0.0118738</v>
      </c>
    </row>
    <row r="132">
      <c r="A132" s="12">
        <v>69.0</v>
      </c>
      <c r="B132" s="6" t="str">
        <f t="array" ref="B132">_xlfn.XLOOKUP(
  A132,
  'CMFA-CSCDA Grants'!A:A,
'CMFA-CSCDA Grants'!E:E)</f>
        <v>Los Angeles</v>
      </c>
      <c r="C132" s="6" t="str">
        <f t="array" ref="C132">_xlfn.XLOOKUP(
  A132,
  'CMFA-CSCDA Grants'!A:A,
'CMFA-CSCDA Grants'!B:B)</f>
        <v>Lindley Parc Apartments</v>
      </c>
      <c r="D132" s="12">
        <v>2.731008014E9</v>
      </c>
      <c r="F132" s="6" t="b">
        <v>0</v>
      </c>
      <c r="G132" s="6" t="s">
        <v>1153</v>
      </c>
      <c r="H132" s="6" t="s">
        <v>1154</v>
      </c>
      <c r="I132" s="6" t="s">
        <v>105</v>
      </c>
      <c r="J132" s="6" t="s">
        <v>1155</v>
      </c>
      <c r="K132" s="6" t="s">
        <v>1156</v>
      </c>
      <c r="L132" s="6" t="s">
        <v>1157</v>
      </c>
      <c r="N132" s="6" t="s">
        <v>109</v>
      </c>
      <c r="O132" s="6" t="s">
        <v>110</v>
      </c>
      <c r="P132" s="6" t="s">
        <v>112</v>
      </c>
      <c r="Q132" s="6">
        <v>501.0</v>
      </c>
      <c r="R132" s="6">
        <v>1964.0</v>
      </c>
      <c r="S132" s="6">
        <v>50.0</v>
      </c>
      <c r="T132" s="6">
        <v>95.0</v>
      </c>
      <c r="U132" s="6">
        <v>87.0</v>
      </c>
      <c r="V132" s="6">
        <v>49290.0</v>
      </c>
      <c r="W132" s="6">
        <v>2025.0</v>
      </c>
      <c r="X132" s="18">
        <v>4473720.0</v>
      </c>
      <c r="Y132" s="18">
        <v>1.0404E7</v>
      </c>
      <c r="Z132" s="18">
        <f t="shared" si="9"/>
        <v>14877720</v>
      </c>
      <c r="AA132" s="6">
        <v>2023.0</v>
      </c>
      <c r="AB132" s="6">
        <v>2023.0</v>
      </c>
      <c r="AC132" s="18">
        <v>0.0</v>
      </c>
      <c r="AD132" s="12">
        <v>16.0</v>
      </c>
      <c r="AE132" s="6" t="s">
        <v>115</v>
      </c>
      <c r="AF132" s="6">
        <v>34.26203526</v>
      </c>
      <c r="AG132" s="6">
        <v>-118.52794007</v>
      </c>
      <c r="AH132" s="6" t="s">
        <v>1161</v>
      </c>
      <c r="AJ132" s="16">
        <f t="array" ref="AJ132">_xlfn.XLOOKUP(
  A132,
  'CMFA-CSCDA Grants'!A:A,
'CMFA-CSCDA Grants'!O:O)</f>
        <v>50</v>
      </c>
      <c r="AK132" s="16">
        <f t="array" ref="AK132">_xlfn.XLOOKUP(
  A132,
  'CMFA-CSCDA Grants'!A:A,
'CMFA-CSCDA Grants'!P:P)</f>
        <v>50</v>
      </c>
      <c r="AL132" s="8">
        <f t="array" ref="AL132">_xlfn.XLOOKUP(
  AD132,
  'Tax Rates'!A:A,
'Tax Rates'!B:B)</f>
        <v>0.0118738</v>
      </c>
    </row>
    <row r="133">
      <c r="A133" s="22">
        <v>70.0</v>
      </c>
      <c r="B133" s="6" t="str">
        <f t="array" ref="B133">_xlfn.XLOOKUP(
  A133,
  'CMFA-CSCDA Grants'!A:A,
'CMFA-CSCDA Grants'!E:E)</f>
        <v>San Mateo</v>
      </c>
      <c r="C133" s="6" t="str">
        <f t="array" ref="C133">_xlfn.XLOOKUP(
  A133,
  'CMFA-CSCDA Grants'!A:A,
'CMFA-CSCDA Grants'!B:B)</f>
        <v>Terrace View Apartments</v>
      </c>
      <c r="D133" s="24" t="s">
        <v>1164</v>
      </c>
      <c r="F133" s="6" t="b">
        <v>0</v>
      </c>
      <c r="H133" s="6" t="s">
        <v>1165</v>
      </c>
      <c r="X133" s="18" t="s">
        <v>146</v>
      </c>
      <c r="Y133" s="18" t="s">
        <v>146</v>
      </c>
      <c r="Z133" s="18">
        <v>3870288.0</v>
      </c>
      <c r="AC133" s="18"/>
      <c r="AD133" s="12" t="s">
        <v>224</v>
      </c>
      <c r="AJ133" s="16">
        <f t="array" ref="AJ133">_xlfn.XLOOKUP(
  A133,
  'CMFA-CSCDA Grants'!A:A,
'CMFA-CSCDA Grants'!O:O)</f>
        <v>122</v>
      </c>
      <c r="AK133" s="16" t="str">
        <f t="array" ref="AK133">_xlfn.XLOOKUP(
  A133,
  'CMFA-CSCDA Grants'!A:A,
'CMFA-CSCDA Grants'!P:P)</f>
        <v/>
      </c>
      <c r="AL133" s="10">
        <f t="array" ref="AL133">_xlfn.XLOOKUP(
  AD133,
  'Tax Rates'!A:A,
'Tax Rates'!B:B)</f>
        <v>0.011602</v>
      </c>
    </row>
    <row r="134">
      <c r="A134" s="22">
        <v>70.0</v>
      </c>
      <c r="B134" s="6" t="str">
        <f t="array" ref="B134">_xlfn.XLOOKUP(
  A134,
  'CMFA-CSCDA Grants'!A:A,
'CMFA-CSCDA Grants'!E:E)</f>
        <v>San Mateo</v>
      </c>
      <c r="C134" s="6" t="str">
        <f t="array" ref="C134">_xlfn.XLOOKUP(
  A134,
  'CMFA-CSCDA Grants'!A:A,
'CMFA-CSCDA Grants'!B:B)</f>
        <v>Terrace View Apartments</v>
      </c>
      <c r="D134" s="24" t="s">
        <v>1166</v>
      </c>
      <c r="F134" s="6" t="b">
        <v>0</v>
      </c>
      <c r="H134" s="6" t="s">
        <v>1167</v>
      </c>
      <c r="X134" s="18" t="s">
        <v>146</v>
      </c>
      <c r="Y134" s="18" t="s">
        <v>146</v>
      </c>
      <c r="Z134" s="18">
        <v>4765032.0</v>
      </c>
      <c r="AC134" s="18"/>
      <c r="AD134" s="12" t="s">
        <v>224</v>
      </c>
      <c r="AJ134" s="16">
        <f t="array" ref="AJ134">_xlfn.XLOOKUP(
  A134,
  'CMFA-CSCDA Grants'!A:A,
'CMFA-CSCDA Grants'!O:O)</f>
        <v>122</v>
      </c>
      <c r="AK134" s="16" t="str">
        <f t="array" ref="AK134">_xlfn.XLOOKUP(
  A134,
  'CMFA-CSCDA Grants'!A:A,
'CMFA-CSCDA Grants'!P:P)</f>
        <v/>
      </c>
      <c r="AL134" s="10">
        <f t="array" ref="AL134">_xlfn.XLOOKUP(
  AD134,
  'Tax Rates'!A:A,
'Tax Rates'!B:B)</f>
        <v>0.011602</v>
      </c>
    </row>
    <row r="135">
      <c r="A135" s="22">
        <v>70.0</v>
      </c>
      <c r="B135" s="6" t="str">
        <f t="array" ref="B135">_xlfn.XLOOKUP(
  A135,
  'CMFA-CSCDA Grants'!A:A,
'CMFA-CSCDA Grants'!E:E)</f>
        <v>San Mateo</v>
      </c>
      <c r="C135" s="6" t="str">
        <f t="array" ref="C135">_xlfn.XLOOKUP(
  A135,
  'CMFA-CSCDA Grants'!A:A,
'CMFA-CSCDA Grants'!B:B)</f>
        <v>Terrace View Apartments</v>
      </c>
      <c r="D135" s="24" t="s">
        <v>1174</v>
      </c>
      <c r="F135" s="6" t="b">
        <v>0</v>
      </c>
      <c r="H135" s="6" t="s">
        <v>1175</v>
      </c>
      <c r="X135" s="18" t="s">
        <v>146</v>
      </c>
      <c r="Y135" s="18" t="s">
        <v>146</v>
      </c>
      <c r="Z135" s="18">
        <v>4452912.0</v>
      </c>
      <c r="AC135" s="18"/>
      <c r="AD135" s="12" t="s">
        <v>224</v>
      </c>
      <c r="AJ135" s="16">
        <f t="array" ref="AJ135">_xlfn.XLOOKUP(
  A135,
  'CMFA-CSCDA Grants'!A:A,
'CMFA-CSCDA Grants'!O:O)</f>
        <v>122</v>
      </c>
      <c r="AK135" s="16" t="str">
        <f t="array" ref="AK135">_xlfn.XLOOKUP(
  A135,
  'CMFA-CSCDA Grants'!A:A,
'CMFA-CSCDA Grants'!P:P)</f>
        <v/>
      </c>
      <c r="AL135" s="10">
        <f t="array" ref="AL135">_xlfn.XLOOKUP(
  AD135,
  'Tax Rates'!A:A,
'Tax Rates'!B:B)</f>
        <v>0.011602</v>
      </c>
    </row>
    <row r="136">
      <c r="A136" s="22">
        <v>70.0</v>
      </c>
      <c r="B136" s="6" t="str">
        <f t="array" ref="B136">_xlfn.XLOOKUP(
  A136,
  'CMFA-CSCDA Grants'!A:A,
'CMFA-CSCDA Grants'!E:E)</f>
        <v>San Mateo</v>
      </c>
      <c r="C136" s="6" t="str">
        <f t="array" ref="C136">_xlfn.XLOOKUP(
  A136,
  'CMFA-CSCDA Grants'!A:A,
'CMFA-CSCDA Grants'!B:B)</f>
        <v>Terrace View Apartments</v>
      </c>
      <c r="D136" s="24" t="s">
        <v>1176</v>
      </c>
      <c r="F136" s="6" t="b">
        <v>0</v>
      </c>
      <c r="H136" s="6" t="s">
        <v>1177</v>
      </c>
      <c r="X136" s="18" t="s">
        <v>146</v>
      </c>
      <c r="Y136" s="18" t="s">
        <v>146</v>
      </c>
      <c r="Z136" s="18">
        <v>4317660.0</v>
      </c>
      <c r="AC136" s="18"/>
      <c r="AD136" s="12" t="s">
        <v>224</v>
      </c>
      <c r="AJ136" s="16">
        <f t="array" ref="AJ136">_xlfn.XLOOKUP(
  A136,
  'CMFA-CSCDA Grants'!A:A,
'CMFA-CSCDA Grants'!O:O)</f>
        <v>122</v>
      </c>
      <c r="AK136" s="16" t="str">
        <f t="array" ref="AK136">_xlfn.XLOOKUP(
  A136,
  'CMFA-CSCDA Grants'!A:A,
'CMFA-CSCDA Grants'!P:P)</f>
        <v/>
      </c>
      <c r="AL136" s="10">
        <f t="array" ref="AL136">_xlfn.XLOOKUP(
  AD136,
  'Tax Rates'!A:A,
'Tax Rates'!B:B)</f>
        <v>0.011602</v>
      </c>
    </row>
    <row r="137">
      <c r="A137" s="22">
        <v>70.0</v>
      </c>
      <c r="B137" s="6" t="str">
        <f t="array" ref="B137">_xlfn.XLOOKUP(
  A137,
  'CMFA-CSCDA Grants'!A:A,
'CMFA-CSCDA Grants'!E:E)</f>
        <v>San Mateo</v>
      </c>
      <c r="C137" s="6" t="str">
        <f t="array" ref="C137">_xlfn.XLOOKUP(
  A137,
  'CMFA-CSCDA Grants'!A:A,
'CMFA-CSCDA Grants'!B:B)</f>
        <v>Terrace View Apartments</v>
      </c>
      <c r="D137" s="24" t="s">
        <v>1182</v>
      </c>
      <c r="F137" s="6" t="b">
        <v>0</v>
      </c>
      <c r="H137" s="6" t="s">
        <v>1183</v>
      </c>
      <c r="X137" s="18" t="s">
        <v>146</v>
      </c>
      <c r="Y137" s="18" t="s">
        <v>146</v>
      </c>
      <c r="Z137" s="18">
        <v>4317660.0</v>
      </c>
      <c r="AC137" s="18"/>
      <c r="AD137" s="12" t="s">
        <v>224</v>
      </c>
      <c r="AJ137" s="16">
        <f t="array" ref="AJ137">_xlfn.XLOOKUP(
  A137,
  'CMFA-CSCDA Grants'!A:A,
'CMFA-CSCDA Grants'!O:O)</f>
        <v>122</v>
      </c>
      <c r="AK137" s="16" t="str">
        <f t="array" ref="AK137">_xlfn.XLOOKUP(
  A137,
  'CMFA-CSCDA Grants'!A:A,
'CMFA-CSCDA Grants'!P:P)</f>
        <v/>
      </c>
      <c r="AL137" s="10">
        <f t="array" ref="AL137">_xlfn.XLOOKUP(
  AD137,
  'Tax Rates'!A:A,
'Tax Rates'!B:B)</f>
        <v>0.011602</v>
      </c>
    </row>
    <row r="138">
      <c r="A138" s="22">
        <v>70.0</v>
      </c>
      <c r="B138" s="6" t="str">
        <f t="array" ref="B138">_xlfn.XLOOKUP(
  A138,
  'CMFA-CSCDA Grants'!A:A,
'CMFA-CSCDA Grants'!E:E)</f>
        <v>San Mateo</v>
      </c>
      <c r="C138" s="6" t="str">
        <f t="array" ref="C138">_xlfn.XLOOKUP(
  A138,
  'CMFA-CSCDA Grants'!A:A,
'CMFA-CSCDA Grants'!B:B)</f>
        <v>Terrace View Apartments</v>
      </c>
      <c r="D138" s="24" t="s">
        <v>1184</v>
      </c>
      <c r="F138" s="6" t="b">
        <v>0</v>
      </c>
      <c r="H138" s="6" t="s">
        <v>1185</v>
      </c>
      <c r="X138" s="18" t="s">
        <v>146</v>
      </c>
      <c r="Y138" s="18" t="s">
        <v>146</v>
      </c>
      <c r="Z138" s="18">
        <v>4713012.0</v>
      </c>
      <c r="AC138" s="18"/>
      <c r="AD138" s="12" t="s">
        <v>224</v>
      </c>
      <c r="AJ138" s="16">
        <f t="array" ref="AJ138">_xlfn.XLOOKUP(
  A138,
  'CMFA-CSCDA Grants'!A:A,
'CMFA-CSCDA Grants'!O:O)</f>
        <v>122</v>
      </c>
      <c r="AK138" s="16" t="str">
        <f t="array" ref="AK138">_xlfn.XLOOKUP(
  A138,
  'CMFA-CSCDA Grants'!A:A,
'CMFA-CSCDA Grants'!P:P)</f>
        <v/>
      </c>
      <c r="AL138" s="10">
        <f t="array" ref="AL138">_xlfn.XLOOKUP(
  AD138,
  'Tax Rates'!A:A,
'Tax Rates'!B:B)</f>
        <v>0.011602</v>
      </c>
    </row>
    <row r="139">
      <c r="A139" s="22">
        <v>70.0</v>
      </c>
      <c r="B139" s="6" t="str">
        <f t="array" ref="B139">_xlfn.XLOOKUP(
  A139,
  'CMFA-CSCDA Grants'!A:A,
'CMFA-CSCDA Grants'!E:E)</f>
        <v>San Mateo</v>
      </c>
      <c r="C139" s="6" t="str">
        <f t="array" ref="C139">_xlfn.XLOOKUP(
  A139,
  'CMFA-CSCDA Grants'!A:A,
'CMFA-CSCDA Grants'!B:B)</f>
        <v>Terrace View Apartments</v>
      </c>
      <c r="D139" s="24" t="s">
        <v>1188</v>
      </c>
      <c r="F139" s="6" t="b">
        <v>0</v>
      </c>
      <c r="H139" s="6" t="s">
        <v>1189</v>
      </c>
      <c r="X139" s="18" t="s">
        <v>146</v>
      </c>
      <c r="Y139" s="18" t="s">
        <v>146</v>
      </c>
      <c r="Z139" s="18">
        <v>5784624.0</v>
      </c>
      <c r="AC139" s="18"/>
      <c r="AD139" s="12" t="s">
        <v>224</v>
      </c>
      <c r="AJ139" s="16">
        <f t="array" ref="AJ139">_xlfn.XLOOKUP(
  A139,
  'CMFA-CSCDA Grants'!A:A,
'CMFA-CSCDA Grants'!O:O)</f>
        <v>122</v>
      </c>
      <c r="AK139" s="16" t="str">
        <f t="array" ref="AK139">_xlfn.XLOOKUP(
  A139,
  'CMFA-CSCDA Grants'!A:A,
'CMFA-CSCDA Grants'!P:P)</f>
        <v/>
      </c>
      <c r="AL139" s="10">
        <f t="array" ref="AL139">_xlfn.XLOOKUP(
  AD139,
  'Tax Rates'!A:A,
'Tax Rates'!B:B)</f>
        <v>0.011602</v>
      </c>
    </row>
    <row r="140">
      <c r="A140" s="22">
        <v>70.0</v>
      </c>
      <c r="B140" s="6" t="str">
        <f t="array" ref="B140">_xlfn.XLOOKUP(
  A140,
  'CMFA-CSCDA Grants'!A:A,
'CMFA-CSCDA Grants'!E:E)</f>
        <v>San Mateo</v>
      </c>
      <c r="C140" s="6" t="str">
        <f t="array" ref="C140">_xlfn.XLOOKUP(
  A140,
  'CMFA-CSCDA Grants'!A:A,
'CMFA-CSCDA Grants'!B:B)</f>
        <v>Terrace View Apartments</v>
      </c>
      <c r="D140" s="24" t="s">
        <v>1190</v>
      </c>
      <c r="F140" s="6" t="b">
        <v>0</v>
      </c>
      <c r="H140" s="6" t="s">
        <v>1191</v>
      </c>
      <c r="X140" s="18" t="s">
        <v>146</v>
      </c>
      <c r="Y140" s="18" t="s">
        <v>146</v>
      </c>
      <c r="Z140" s="18">
        <v>2590596.0</v>
      </c>
      <c r="AC140" s="18"/>
      <c r="AD140" s="12" t="s">
        <v>224</v>
      </c>
      <c r="AJ140" s="16">
        <f t="array" ref="AJ140">_xlfn.XLOOKUP(
  A140,
  'CMFA-CSCDA Grants'!A:A,
'CMFA-CSCDA Grants'!O:O)</f>
        <v>122</v>
      </c>
      <c r="AK140" s="16" t="str">
        <f t="array" ref="AK140">_xlfn.XLOOKUP(
  A140,
  'CMFA-CSCDA Grants'!A:A,
'CMFA-CSCDA Grants'!P:P)</f>
        <v/>
      </c>
      <c r="AL140" s="10">
        <f t="array" ref="AL140">_xlfn.XLOOKUP(
  AD140,
  'Tax Rates'!A:A,
'Tax Rates'!B:B)</f>
        <v>0.011602</v>
      </c>
    </row>
    <row r="141">
      <c r="A141" s="22">
        <v>71.0</v>
      </c>
      <c r="B141" s="6" t="str">
        <f t="array" ref="B141">_xlfn.XLOOKUP(
  A141,
  'CMFA-CSCDA Grants'!A:A,
'CMFA-CSCDA Grants'!E:E)</f>
        <v>San Mateo</v>
      </c>
      <c r="C141" s="6" t="str">
        <f t="array" ref="C141">_xlfn.XLOOKUP(
  A141,
  'CMFA-CSCDA Grants'!A:A,
'CMFA-CSCDA Grants'!B:B)</f>
        <v>SoFi Redwood Park Apartments</v>
      </c>
      <c r="D141" s="24" t="s">
        <v>1194</v>
      </c>
      <c r="F141" s="6" t="b">
        <v>0</v>
      </c>
      <c r="H141" s="6" t="s">
        <v>1195</v>
      </c>
      <c r="X141" s="18" t="s">
        <v>146</v>
      </c>
      <c r="Y141" s="18" t="s">
        <v>146</v>
      </c>
      <c r="Z141" s="18">
        <v>2.524E7</v>
      </c>
      <c r="AC141" s="18"/>
      <c r="AD141" s="12" t="s">
        <v>240</v>
      </c>
      <c r="AJ141" s="16">
        <f t="array" ref="AJ141">_xlfn.XLOOKUP(
  A141,
  'CMFA-CSCDA Grants'!A:A,
'CMFA-CSCDA Grants'!O:O)</f>
        <v>112</v>
      </c>
      <c r="AK141" s="16">
        <f t="array" ref="AK141">_xlfn.XLOOKUP(
  A141,
  'CMFA-CSCDA Grants'!A:A,
'CMFA-CSCDA Grants'!P:P)</f>
        <v>112</v>
      </c>
      <c r="AL141" s="10">
        <f t="array" ref="AL141">_xlfn.XLOOKUP(
  AD141,
  'Tax Rates'!A:A,
'Tax Rates'!B:B)</f>
        <v>0.010941</v>
      </c>
    </row>
    <row r="142">
      <c r="A142" s="12">
        <v>72.0</v>
      </c>
      <c r="B142" s="6" t="str">
        <f t="array" ref="B142">_xlfn.XLOOKUP(
  A142,
  'CMFA-CSCDA Grants'!A:A,
'CMFA-CSCDA Grants'!E:E)</f>
        <v>San Francisco</v>
      </c>
      <c r="C142" s="6" t="str">
        <f t="array" ref="C142">_xlfn.XLOOKUP(
  A142,
  'CMFA-CSCDA Grants'!A:A,
'CMFA-CSCDA Grants'!B:B)</f>
        <v>Waterbend Apartments</v>
      </c>
      <c r="D142" s="24" t="s">
        <v>1196</v>
      </c>
      <c r="F142" s="6" t="b">
        <v>0</v>
      </c>
      <c r="G142" s="6" t="s">
        <v>1196</v>
      </c>
      <c r="H142" s="6" t="s">
        <v>1197</v>
      </c>
      <c r="I142" s="6" t="s">
        <v>123</v>
      </c>
      <c r="J142" s="6">
        <v>94124.0</v>
      </c>
      <c r="X142" s="18">
        <v>4.5457831E7</v>
      </c>
      <c r="Y142" s="18">
        <v>2.8056004E7</v>
      </c>
      <c r="Z142" s="18">
        <v>7.3513835E7</v>
      </c>
      <c r="AC142" s="18">
        <v>0.0</v>
      </c>
      <c r="AD142" s="12" t="s">
        <v>123</v>
      </c>
      <c r="AJ142" s="16">
        <f t="array" ref="AJ142">_xlfn.XLOOKUP(
  A142,
  'CMFA-CSCDA Grants'!A:A,
'CMFA-CSCDA Grants'!O:O)</f>
        <v>136</v>
      </c>
      <c r="AK142" s="16">
        <f t="array" ref="AK142">_xlfn.XLOOKUP(
  A142,
  'CMFA-CSCDA Grants'!A:A,
'CMFA-CSCDA Grants'!P:P)</f>
        <v>136</v>
      </c>
      <c r="AL142" s="10">
        <f t="array" ref="AL142">_xlfn.XLOOKUP(
  AD142,
  'Tax Rates'!A:A,
'Tax Rates'!B:B)</f>
        <v>0.012</v>
      </c>
    </row>
    <row r="143">
      <c r="A143" s="12">
        <v>73.0</v>
      </c>
      <c r="B143" s="6" t="str">
        <f t="array" ref="B143">_xlfn.XLOOKUP(
  A143,
  'CMFA-CSCDA Grants'!A:A,
'CMFA-CSCDA Grants'!E:E)</f>
        <v>Los Angeles</v>
      </c>
      <c r="C143" s="6" t="str">
        <f t="array" ref="C143">_xlfn.XLOOKUP(
  A143,
  'CMFA-CSCDA Grants'!A:A,
'CMFA-CSCDA Grants'!B:B)</f>
        <v>1540 W Court Apartments</v>
      </c>
      <c r="D143" s="12">
        <v>5.159020026E9</v>
      </c>
      <c r="E143" s="6" t="s">
        <v>1201</v>
      </c>
      <c r="F143" s="6" t="b">
        <v>0</v>
      </c>
      <c r="G143" s="6" t="s">
        <v>1203</v>
      </c>
      <c r="H143" s="6" t="s">
        <v>1204</v>
      </c>
      <c r="I143" s="6" t="s">
        <v>105</v>
      </c>
      <c r="J143" s="6" t="s">
        <v>1205</v>
      </c>
      <c r="K143" s="6" t="s">
        <v>1206</v>
      </c>
      <c r="L143" s="6" t="s">
        <v>1207</v>
      </c>
      <c r="N143" s="6" t="s">
        <v>204</v>
      </c>
      <c r="O143" s="6" t="s">
        <v>236</v>
      </c>
      <c r="P143" s="6" t="s">
        <v>112</v>
      </c>
      <c r="W143" s="6">
        <v>2025.0</v>
      </c>
      <c r="X143" s="18">
        <v>2400000.0</v>
      </c>
      <c r="Y143" s="18">
        <v>350000.0</v>
      </c>
      <c r="Z143" s="18">
        <f t="shared" ref="Z143:Z145" si="10">SUM(X143:Y143)</f>
        <v>2750000</v>
      </c>
      <c r="AA143" s="6">
        <v>2024.0</v>
      </c>
      <c r="AB143" s="6">
        <v>2024.0</v>
      </c>
      <c r="AC143" s="18">
        <v>0.0</v>
      </c>
      <c r="AD143" s="12">
        <v>67.0</v>
      </c>
      <c r="AE143" s="6" t="s">
        <v>115</v>
      </c>
      <c r="AF143" s="6">
        <v>34.06620778</v>
      </c>
      <c r="AG143" s="6">
        <v>-118.26124941</v>
      </c>
      <c r="AH143" s="6" t="s">
        <v>1208</v>
      </c>
      <c r="AI143" s="6" t="s">
        <v>1209</v>
      </c>
      <c r="AJ143" s="16">
        <f t="array" ref="AJ143">_xlfn.XLOOKUP(
  A143,
  'CMFA-CSCDA Grants'!A:A,
'CMFA-CSCDA Grants'!O:O)</f>
        <v>189</v>
      </c>
      <c r="AK143" s="16">
        <f t="array" ref="AK143">_xlfn.XLOOKUP(
  A143,
  'CMFA-CSCDA Grants'!A:A,
'CMFA-CSCDA Grants'!P:P)</f>
        <v>148</v>
      </c>
      <c r="AL143" s="8">
        <f t="array" ref="AL143">_xlfn.XLOOKUP(
  AD143,
  'Tax Rates'!A:A,
'Tax Rates'!B:B)</f>
        <v>0.0118738</v>
      </c>
    </row>
    <row r="144">
      <c r="A144" s="12">
        <v>73.0</v>
      </c>
      <c r="B144" s="6" t="str">
        <f t="array" ref="B144">_xlfn.XLOOKUP(
  A144,
  'CMFA-CSCDA Grants'!A:A,
'CMFA-CSCDA Grants'!E:E)</f>
        <v>Los Angeles</v>
      </c>
      <c r="C144" s="6" t="str">
        <f t="array" ref="C144">_xlfn.XLOOKUP(
  A144,
  'CMFA-CSCDA Grants'!A:A,
'CMFA-CSCDA Grants'!B:B)</f>
        <v>1540 W Court Apartments</v>
      </c>
      <c r="D144" s="12">
        <v>5.15902001E9</v>
      </c>
      <c r="F144" s="6" t="b">
        <v>0</v>
      </c>
      <c r="G144" s="6" t="s">
        <v>1210</v>
      </c>
      <c r="H144" s="6" t="s">
        <v>1211</v>
      </c>
      <c r="I144" s="6" t="s">
        <v>105</v>
      </c>
      <c r="J144" s="6" t="s">
        <v>1205</v>
      </c>
      <c r="K144" s="6" t="s">
        <v>1206</v>
      </c>
      <c r="L144" s="6" t="s">
        <v>1207</v>
      </c>
      <c r="N144" s="6" t="s">
        <v>453</v>
      </c>
      <c r="O144" s="6" t="s">
        <v>1114</v>
      </c>
      <c r="P144" s="6" t="s">
        <v>112</v>
      </c>
      <c r="W144" s="6">
        <v>2025.0</v>
      </c>
      <c r="X144" s="18">
        <v>133729.0</v>
      </c>
      <c r="Y144" s="18">
        <v>45953.0</v>
      </c>
      <c r="Z144" s="18">
        <f t="shared" si="10"/>
        <v>179682</v>
      </c>
      <c r="AA144" s="6">
        <v>2003.0</v>
      </c>
      <c r="AB144" s="6">
        <v>2003.0</v>
      </c>
      <c r="AC144" s="18">
        <v>0.0</v>
      </c>
      <c r="AD144" s="12">
        <v>67.0</v>
      </c>
      <c r="AE144" s="6" t="s">
        <v>115</v>
      </c>
      <c r="AF144" s="6">
        <v>34.06613047</v>
      </c>
      <c r="AG144" s="6">
        <v>-118.26116567</v>
      </c>
      <c r="AH144" s="6" t="s">
        <v>1215</v>
      </c>
      <c r="AI144" s="6" t="s">
        <v>1216</v>
      </c>
      <c r="AJ144" s="16">
        <f t="array" ref="AJ144">_xlfn.XLOOKUP(
  A144,
  'CMFA-CSCDA Grants'!A:A,
'CMFA-CSCDA Grants'!O:O)</f>
        <v>189</v>
      </c>
      <c r="AK144" s="16">
        <f t="array" ref="AK144">_xlfn.XLOOKUP(
  A144,
  'CMFA-CSCDA Grants'!A:A,
'CMFA-CSCDA Grants'!P:P)</f>
        <v>148</v>
      </c>
      <c r="AL144" s="8">
        <f t="array" ref="AL144">_xlfn.XLOOKUP(
  AD144,
  'Tax Rates'!A:A,
'Tax Rates'!B:B)</f>
        <v>0.0118738</v>
      </c>
    </row>
    <row r="145">
      <c r="A145" s="12">
        <v>73.0</v>
      </c>
      <c r="B145" s="6" t="str">
        <f t="array" ref="B145">_xlfn.XLOOKUP(
  A145,
  'CMFA-CSCDA Grants'!A:A,
'CMFA-CSCDA Grants'!E:E)</f>
        <v>Los Angeles</v>
      </c>
      <c r="C145" s="6" t="str">
        <f t="array" ref="C145">_xlfn.XLOOKUP(
  A145,
  'CMFA-CSCDA Grants'!A:A,
'CMFA-CSCDA Grants'!B:B)</f>
        <v>1540 W Court Apartments</v>
      </c>
      <c r="D145" s="12">
        <v>5.159020009E9</v>
      </c>
      <c r="F145" s="6" t="b">
        <v>0</v>
      </c>
      <c r="G145" s="6" t="s">
        <v>1218</v>
      </c>
      <c r="H145" s="6" t="s">
        <v>1219</v>
      </c>
      <c r="I145" s="6" t="s">
        <v>105</v>
      </c>
      <c r="J145" s="6" t="s">
        <v>1205</v>
      </c>
      <c r="K145" s="6" t="s">
        <v>1206</v>
      </c>
      <c r="L145" s="6" t="s">
        <v>1207</v>
      </c>
      <c r="N145" s="6" t="s">
        <v>453</v>
      </c>
      <c r="O145" s="6" t="s">
        <v>1114</v>
      </c>
      <c r="P145" s="6" t="s">
        <v>112</v>
      </c>
      <c r="W145" s="6">
        <v>2025.0</v>
      </c>
      <c r="X145" s="18">
        <v>90595.0</v>
      </c>
      <c r="Y145" s="18">
        <v>118474.0</v>
      </c>
      <c r="Z145" s="18">
        <f t="shared" si="10"/>
        <v>209069</v>
      </c>
      <c r="AA145" s="6">
        <v>2005.0</v>
      </c>
      <c r="AB145" s="6">
        <v>2005.0</v>
      </c>
      <c r="AC145" s="18">
        <v>0.0</v>
      </c>
      <c r="AD145" s="12">
        <v>67.0</v>
      </c>
      <c r="AE145" s="6" t="s">
        <v>115</v>
      </c>
      <c r="AF145" s="6">
        <v>34.06604793</v>
      </c>
      <c r="AG145" s="6">
        <v>-118.26108758</v>
      </c>
      <c r="AH145" s="6" t="s">
        <v>1221</v>
      </c>
      <c r="AI145" s="6" t="s">
        <v>1216</v>
      </c>
      <c r="AJ145" s="16">
        <f t="array" ref="AJ145">_xlfn.XLOOKUP(
  A145,
  'CMFA-CSCDA Grants'!A:A,
'CMFA-CSCDA Grants'!O:O)</f>
        <v>189</v>
      </c>
      <c r="AK145" s="16">
        <f t="array" ref="AK145">_xlfn.XLOOKUP(
  A145,
  'CMFA-CSCDA Grants'!A:A,
'CMFA-CSCDA Grants'!P:P)</f>
        <v>148</v>
      </c>
      <c r="AL145" s="8">
        <f t="array" ref="AL145">_xlfn.XLOOKUP(
  AD145,
  'Tax Rates'!A:A,
'Tax Rates'!B:B)</f>
        <v>0.0118738</v>
      </c>
    </row>
    <row r="146">
      <c r="A146" s="22">
        <v>74.0</v>
      </c>
      <c r="B146" s="6" t="str">
        <f t="array" ref="B146">_xlfn.XLOOKUP(
  A146,
  'CMFA-CSCDA Grants'!A:A,
'CMFA-CSCDA Grants'!E:E)</f>
        <v>San Diego</v>
      </c>
      <c r="C146" s="6" t="str">
        <f t="array" ref="C146">_xlfn.XLOOKUP(
  A146,
  'CMFA-CSCDA Grants'!A:A,
'CMFA-CSCDA Grants'!B:B)</f>
        <v>Sol Haus Apartments</v>
      </c>
      <c r="D146" s="24" t="s">
        <v>1222</v>
      </c>
      <c r="F146" s="6" t="b">
        <v>0</v>
      </c>
      <c r="H146" s="6" t="s">
        <v>1223</v>
      </c>
      <c r="X146" s="18" t="s">
        <v>146</v>
      </c>
      <c r="Y146" s="18" t="s">
        <v>146</v>
      </c>
      <c r="Z146" s="18">
        <v>2804259.0</v>
      </c>
      <c r="AC146" s="18"/>
      <c r="AD146" s="12" t="s">
        <v>122</v>
      </c>
      <c r="AJ146" s="16">
        <f t="array" ref="AJ146">_xlfn.XLOOKUP(
  A146,
  'CMFA-CSCDA Grants'!A:A,
'CMFA-CSCDA Grants'!O:O)</f>
        <v>147</v>
      </c>
      <c r="AK146" s="16">
        <f t="array" ref="AK146">_xlfn.XLOOKUP(
  A146,
  'CMFA-CSCDA Grants'!A:A,
'CMFA-CSCDA Grants'!P:P)</f>
        <v>145</v>
      </c>
      <c r="AL146" s="10">
        <f t="array" ref="AL146">_xlfn.XLOOKUP(
  AD146,
  'Tax Rates'!A:A,
'Tax Rates'!B:B)</f>
        <v>0.0125114</v>
      </c>
    </row>
    <row r="147">
      <c r="A147" s="22">
        <v>75.0</v>
      </c>
      <c r="B147" s="6" t="str">
        <f t="array" ref="B147">_xlfn.XLOOKUP(
  A147,
  'CMFA-CSCDA Grants'!A:A,
'CMFA-CSCDA Grants'!E:E)</f>
        <v>San Diego</v>
      </c>
      <c r="C147" s="6" t="str">
        <f t="array" ref="C147">_xlfn.XLOOKUP(
  A147,
  'CMFA-CSCDA Grants'!A:A,
'CMFA-CSCDA Grants'!B:B)</f>
        <v>Palmilla Apartments</v>
      </c>
      <c r="D147" s="24" t="s">
        <v>1229</v>
      </c>
      <c r="F147" s="6" t="b">
        <v>0</v>
      </c>
      <c r="H147" s="6" t="s">
        <v>1230</v>
      </c>
      <c r="X147" s="18" t="s">
        <v>146</v>
      </c>
      <c r="Y147" s="18" t="s">
        <v>146</v>
      </c>
      <c r="Z147" s="18">
        <v>3.0350548E7</v>
      </c>
      <c r="AC147" s="18"/>
      <c r="AD147" s="12" t="s">
        <v>122</v>
      </c>
      <c r="AJ147" s="16">
        <f t="array" ref="AJ147">_xlfn.XLOOKUP(
  A147,
  'CMFA-CSCDA Grants'!A:A,
'CMFA-CSCDA Grants'!O:O)</f>
        <v>203</v>
      </c>
      <c r="AK147" s="16">
        <f t="array" ref="AK147">_xlfn.XLOOKUP(
  A147,
  'CMFA-CSCDA Grants'!A:A,
'CMFA-CSCDA Grants'!P:P)</f>
        <v>203</v>
      </c>
      <c r="AL147" s="10">
        <f t="array" ref="AL147">_xlfn.XLOOKUP(
  AD147,
  'Tax Rates'!A:A,
'Tax Rates'!B:B)</f>
        <v>0.0125114</v>
      </c>
    </row>
    <row r="148">
      <c r="A148" s="12">
        <v>76.0</v>
      </c>
      <c r="B148" s="6" t="str">
        <f t="array" ref="B148">_xlfn.XLOOKUP(
  A148,
  'CMFA-CSCDA Grants'!A:A,
'CMFA-CSCDA Grants'!E:E)</f>
        <v>Los Angeles</v>
      </c>
      <c r="C148" s="6" t="str">
        <f t="array" ref="C148">_xlfn.XLOOKUP(
  A148,
  'CMFA-CSCDA Grants'!A:A,
'CMFA-CSCDA Grants'!B:B)</f>
        <v>1451 W. MLK Boulevard Apartments</v>
      </c>
      <c r="D148" s="12">
        <v>5.036031006E9</v>
      </c>
      <c r="F148" s="6" t="b">
        <v>0</v>
      </c>
      <c r="G148" s="6" t="s">
        <v>1232</v>
      </c>
      <c r="H148" s="6" t="s">
        <v>1233</v>
      </c>
      <c r="I148" s="6" t="s">
        <v>105</v>
      </c>
      <c r="J148" s="6" t="s">
        <v>1234</v>
      </c>
      <c r="K148" s="6" t="s">
        <v>1235</v>
      </c>
      <c r="L148" s="6" t="s">
        <v>1237</v>
      </c>
      <c r="N148" s="6" t="s">
        <v>109</v>
      </c>
      <c r="O148" s="6" t="s">
        <v>1238</v>
      </c>
      <c r="P148" s="6" t="s">
        <v>419</v>
      </c>
      <c r="Q148" s="6">
        <v>2110.0</v>
      </c>
      <c r="R148" s="6">
        <v>1948.0</v>
      </c>
      <c r="S148" s="6">
        <v>0.0</v>
      </c>
      <c r="T148" s="6">
        <v>0.0</v>
      </c>
      <c r="U148" s="6">
        <v>0.0</v>
      </c>
      <c r="V148" s="6">
        <v>1032.0</v>
      </c>
      <c r="W148" s="6">
        <v>2025.0</v>
      </c>
      <c r="X148" s="18">
        <v>1564113.0</v>
      </c>
      <c r="Y148" s="18">
        <v>5412.0</v>
      </c>
      <c r="Z148" s="18">
        <f t="shared" ref="Z148:Z149" si="11">SUM(X148:Y148)</f>
        <v>1569525</v>
      </c>
      <c r="AA148" s="6">
        <v>2021.0</v>
      </c>
      <c r="AB148" s="6">
        <v>2021.0</v>
      </c>
      <c r="AC148" s="18">
        <v>0.0</v>
      </c>
      <c r="AD148" s="12">
        <v>210.0</v>
      </c>
      <c r="AE148" s="6" t="s">
        <v>115</v>
      </c>
      <c r="AF148" s="6">
        <v>34.01108187</v>
      </c>
      <c r="AG148" s="6">
        <v>-118.30202644</v>
      </c>
      <c r="AH148" s="6" t="s">
        <v>1239</v>
      </c>
      <c r="AJ148" s="16">
        <f t="array" ref="AJ148">_xlfn.XLOOKUP(
  A148,
  'CMFA-CSCDA Grants'!A:A,
'CMFA-CSCDA Grants'!O:O)</f>
        <v>50</v>
      </c>
      <c r="AK148" s="16">
        <f t="array" ref="AK148">_xlfn.XLOOKUP(
  A148,
  'CMFA-CSCDA Grants'!A:A,
'CMFA-CSCDA Grants'!P:P)</f>
        <v>49</v>
      </c>
      <c r="AL148" s="8">
        <f t="array" ref="AL148">_xlfn.XLOOKUP(
  AD148,
  'Tax Rates'!A:A,
'Tax Rates'!B:B)</f>
        <v>0.0118738</v>
      </c>
    </row>
    <row r="149">
      <c r="A149" s="12">
        <v>77.0</v>
      </c>
      <c r="B149" s="6" t="str">
        <f t="array" ref="B149">_xlfn.XLOOKUP(
  A149,
  'CMFA-CSCDA Grants'!A:A,
'CMFA-CSCDA Grants'!E:E)</f>
        <v>Los Angeles</v>
      </c>
      <c r="C149" s="6" t="str">
        <f t="array" ref="C149">_xlfn.XLOOKUP(
  A149,
  'CMFA-CSCDA Grants'!A:A,
'CMFA-CSCDA Grants'!B:B)</f>
        <v>11630 S. Main Street Apartments</v>
      </c>
      <c r="D149" s="12">
        <v>6.08301004E9</v>
      </c>
      <c r="E149" s="6">
        <v>6.083010038E9</v>
      </c>
      <c r="F149" s="6" t="b">
        <v>0</v>
      </c>
      <c r="G149" s="6" t="s">
        <v>1240</v>
      </c>
      <c r="K149" s="6" t="s">
        <v>1241</v>
      </c>
      <c r="L149" s="6" t="s">
        <v>1242</v>
      </c>
      <c r="N149" s="6" t="s">
        <v>204</v>
      </c>
      <c r="O149" s="6" t="s">
        <v>236</v>
      </c>
      <c r="X149" s="31"/>
      <c r="Y149" s="31"/>
      <c r="Z149" s="18">
        <f t="shared" si="11"/>
        <v>0</v>
      </c>
      <c r="AC149" s="31"/>
      <c r="AD149" s="33">
        <v>6654.0</v>
      </c>
      <c r="AE149" s="6" t="s">
        <v>115</v>
      </c>
      <c r="AF149" s="6">
        <v>33.92890665</v>
      </c>
      <c r="AG149" s="6">
        <v>-118.27353883</v>
      </c>
      <c r="AI149" s="6" t="s">
        <v>1243</v>
      </c>
      <c r="AJ149" s="16">
        <f t="array" ref="AJ149">_xlfn.XLOOKUP(
  A149,
  'CMFA-CSCDA Grants'!A:A,
'CMFA-CSCDA Grants'!O:O)</f>
        <v>84</v>
      </c>
      <c r="AK149" s="16">
        <f t="array" ref="AK149">_xlfn.XLOOKUP(
  A149,
  'CMFA-CSCDA Grants'!A:A,
'CMFA-CSCDA Grants'!P:P)</f>
        <v>17</v>
      </c>
      <c r="AL149" s="8">
        <f t="array" ref="AL149">_xlfn.XLOOKUP(
  AD149,
  'Tax Rates'!A:A,
'Tax Rates'!B:B)</f>
        <v>0.0118738</v>
      </c>
    </row>
    <row r="150">
      <c r="A150" s="22">
        <v>78.0</v>
      </c>
      <c r="B150" s="6" t="str">
        <f t="array" ref="B150">_xlfn.XLOOKUP(
  A150,
  'CMFA-CSCDA Grants'!A:A,
'CMFA-CSCDA Grants'!E:E)</f>
        <v>Contra Costa</v>
      </c>
      <c r="C150" s="6" t="str">
        <f t="array" ref="C150">_xlfn.XLOOKUP(
  A150,
  'CMFA-CSCDA Grants'!A:A,
'CMFA-CSCDA Grants'!B:B)</f>
        <v>Bella Vista at Hilltop Apartments</v>
      </c>
      <c r="D150" s="24" t="s">
        <v>1247</v>
      </c>
      <c r="F150" s="6" t="b">
        <v>0</v>
      </c>
      <c r="H150" s="6" t="s">
        <v>1248</v>
      </c>
      <c r="X150" s="18" t="s">
        <v>146</v>
      </c>
      <c r="Y150" s="18" t="s">
        <v>146</v>
      </c>
      <c r="Z150" s="18">
        <v>2.22047798E8</v>
      </c>
      <c r="AC150" s="18"/>
      <c r="AD150" s="12" t="s">
        <v>346</v>
      </c>
      <c r="AJ150" s="16">
        <f t="array" ref="AJ150">_xlfn.XLOOKUP(
  A150,
  'CMFA-CSCDA Grants'!A:A,
'CMFA-CSCDA Grants'!O:O)</f>
        <v>1008</v>
      </c>
      <c r="AK150" s="16">
        <f t="array" ref="AK150">_xlfn.XLOOKUP(
  A150,
  'CMFA-CSCDA Grants'!A:A,
'CMFA-CSCDA Grants'!P:P)</f>
        <v>1008</v>
      </c>
      <c r="AL150" s="10">
        <f t="array" ref="AL150">_xlfn.XLOOKUP(
  AD150,
  'Tax Rates'!A:A,
'Tax Rates'!B:B)</f>
        <v>0.014192</v>
      </c>
    </row>
    <row r="151">
      <c r="A151" s="12">
        <v>79.0</v>
      </c>
      <c r="B151" s="6" t="str">
        <f t="array" ref="B151">_xlfn.XLOOKUP(
  A151,
  'CMFA-CSCDA Grants'!A:A,
'CMFA-CSCDA Grants'!E:E)</f>
        <v>Los Angeles</v>
      </c>
      <c r="C151" s="6" t="str">
        <f t="array" ref="C151">_xlfn.XLOOKUP(
  A151,
  'CMFA-CSCDA Grants'!A:A,
'CMFA-CSCDA Grants'!B:B)</f>
        <v>10811 S. Compton Ave Apartments</v>
      </c>
      <c r="D151" s="12">
        <v>6.070003041E9</v>
      </c>
      <c r="E151" s="6">
        <v>6.070003038E9</v>
      </c>
      <c r="F151" s="6" t="b">
        <v>0</v>
      </c>
      <c r="G151" s="6" t="s">
        <v>1250</v>
      </c>
      <c r="H151" s="6" t="s">
        <v>1251</v>
      </c>
      <c r="I151" s="6" t="s">
        <v>105</v>
      </c>
      <c r="J151" s="28" t="s">
        <v>1252</v>
      </c>
      <c r="K151" s="6" t="s">
        <v>1253</v>
      </c>
      <c r="L151" s="6" t="s">
        <v>1254</v>
      </c>
      <c r="N151" s="6" t="s">
        <v>204</v>
      </c>
      <c r="O151" s="6" t="s">
        <v>205</v>
      </c>
      <c r="P151" s="6" t="s">
        <v>112</v>
      </c>
      <c r="W151" s="6">
        <v>2025.0</v>
      </c>
      <c r="X151" s="18">
        <v>477543.0</v>
      </c>
      <c r="Y151" s="119">
        <v>212241.0</v>
      </c>
      <c r="Z151" s="18">
        <f t="shared" ref="Z151:Z163" si="12">SUM(X151:Y151)</f>
        <v>689784</v>
      </c>
      <c r="AA151" s="6">
        <v>2022.0</v>
      </c>
      <c r="AB151" s="6">
        <v>2022.0</v>
      </c>
      <c r="AC151" s="18">
        <v>0.0</v>
      </c>
      <c r="AD151" s="12">
        <v>6650.0</v>
      </c>
      <c r="AE151" s="6" t="s">
        <v>115</v>
      </c>
      <c r="AF151" s="6">
        <v>33.93740358</v>
      </c>
      <c r="AG151" s="6">
        <v>-118.24659786</v>
      </c>
      <c r="AI151" s="6" t="s">
        <v>1255</v>
      </c>
      <c r="AJ151" s="16">
        <f t="array" ref="AJ151">_xlfn.XLOOKUP(
  A151,
  'CMFA-CSCDA Grants'!A:A,
'CMFA-CSCDA Grants'!O:O)</f>
        <v>29</v>
      </c>
      <c r="AK151" s="16">
        <f t="array" ref="AK151">_xlfn.XLOOKUP(
  A151,
  'CMFA-CSCDA Grants'!A:A,
'CMFA-CSCDA Grants'!P:P)</f>
        <v>28</v>
      </c>
      <c r="AL151" s="8">
        <f t="array" ref="AL151">_xlfn.XLOOKUP(
  AD151,
  'Tax Rates'!A:A,
'Tax Rates'!B:B)</f>
        <v>0.0118738</v>
      </c>
    </row>
    <row r="152">
      <c r="A152" s="12">
        <v>80.0</v>
      </c>
      <c r="B152" s="6" t="str">
        <f t="array" ref="B152">_xlfn.XLOOKUP(
  A152,
  'CMFA-CSCDA Grants'!A:A,
'CMFA-CSCDA Grants'!E:E)</f>
        <v>Los Angeles</v>
      </c>
      <c r="C152" s="6" t="str">
        <f t="array" ref="C152">_xlfn.XLOOKUP(
  A152,
  'CMFA-CSCDA Grants'!A:A,
'CMFA-CSCDA Grants'!B:B)</f>
        <v>4101 Somerset Dr. Apartments</v>
      </c>
      <c r="D152" s="12">
        <v>5.032015003E9</v>
      </c>
      <c r="F152" s="6" t="b">
        <v>0</v>
      </c>
      <c r="G152" s="6" t="s">
        <v>1261</v>
      </c>
      <c r="H152" s="6" t="s">
        <v>1262</v>
      </c>
      <c r="I152" s="6" t="s">
        <v>105</v>
      </c>
      <c r="J152" s="6" t="s">
        <v>1263</v>
      </c>
      <c r="K152" s="6" t="s">
        <v>1264</v>
      </c>
      <c r="L152" s="6" t="s">
        <v>1265</v>
      </c>
      <c r="N152" s="6" t="s">
        <v>109</v>
      </c>
      <c r="O152" s="6" t="s">
        <v>110</v>
      </c>
      <c r="P152" s="6" t="s">
        <v>112</v>
      </c>
      <c r="Q152" s="6">
        <v>500.0</v>
      </c>
      <c r="R152" s="6">
        <v>2023.0</v>
      </c>
      <c r="S152" s="6">
        <v>36.0</v>
      </c>
      <c r="T152" s="6">
        <v>27.0</v>
      </c>
      <c r="U152" s="6">
        <v>48.0</v>
      </c>
      <c r="V152" s="6">
        <v>0.0</v>
      </c>
      <c r="W152" s="6">
        <v>2025.0</v>
      </c>
      <c r="X152" s="18">
        <v>1584354.0</v>
      </c>
      <c r="Y152" s="18">
        <v>1867518.0</v>
      </c>
      <c r="Z152" s="18">
        <f t="shared" si="12"/>
        <v>3451872</v>
      </c>
      <c r="AA152" s="6">
        <v>2021.0</v>
      </c>
      <c r="AB152" s="6">
        <v>2023.0</v>
      </c>
      <c r="AC152" s="18">
        <v>0.0</v>
      </c>
      <c r="AD152" s="12">
        <v>501.0</v>
      </c>
      <c r="AE152" s="6" t="s">
        <v>115</v>
      </c>
      <c r="AF152" s="6">
        <v>34.01158755</v>
      </c>
      <c r="AG152" s="6">
        <v>-118.34157213</v>
      </c>
      <c r="AH152" s="6" t="s">
        <v>1266</v>
      </c>
      <c r="AJ152" s="16">
        <f t="array" ref="AJ152">_xlfn.XLOOKUP(
  A152,
  'CMFA-CSCDA Grants'!A:A,
'CMFA-CSCDA Grants'!O:O)</f>
        <v>36</v>
      </c>
      <c r="AK152" s="16">
        <f t="array" ref="AK152">_xlfn.XLOOKUP(
  A152,
  'CMFA-CSCDA Grants'!A:A,
'CMFA-CSCDA Grants'!P:P)</f>
        <v>35</v>
      </c>
      <c r="AL152" s="8">
        <f t="array" ref="AL152">_xlfn.XLOOKUP(
  AD152,
  'Tax Rates'!A:A,
'Tax Rates'!B:B)</f>
        <v>0.0118738</v>
      </c>
    </row>
    <row r="153">
      <c r="A153" s="12">
        <v>81.0</v>
      </c>
      <c r="B153" s="6" t="str">
        <f t="array" ref="B153">_xlfn.XLOOKUP(
  A153,
  'CMFA-CSCDA Grants'!A:A,
'CMFA-CSCDA Grants'!E:E)</f>
        <v>Los Angeles</v>
      </c>
      <c r="C153" s="6" t="str">
        <f t="array" ref="C153">_xlfn.XLOOKUP(
  A153,
  'CMFA-CSCDA Grants'!A:A,
'CMFA-CSCDA Grants'!B:B)</f>
        <v>321 E. Florence Apartments</v>
      </c>
      <c r="D153" s="12">
        <v>6.011008052E9</v>
      </c>
      <c r="F153" s="6" t="b">
        <v>0</v>
      </c>
      <c r="G153" s="6" t="s">
        <v>1268</v>
      </c>
      <c r="H153" s="6" t="s">
        <v>1269</v>
      </c>
      <c r="I153" s="6" t="s">
        <v>105</v>
      </c>
      <c r="J153" s="6" t="s">
        <v>1270</v>
      </c>
      <c r="K153" s="6" t="s">
        <v>1271</v>
      </c>
      <c r="L153" s="6" t="s">
        <v>1272</v>
      </c>
      <c r="N153" s="6" t="s">
        <v>109</v>
      </c>
      <c r="O153" s="6" t="s">
        <v>110</v>
      </c>
      <c r="P153" s="6" t="s">
        <v>112</v>
      </c>
      <c r="Q153" s="6">
        <v>555.0</v>
      </c>
      <c r="R153" s="6">
        <v>2023.0</v>
      </c>
      <c r="S153" s="6">
        <v>31.0</v>
      </c>
      <c r="T153" s="6">
        <v>28.0</v>
      </c>
      <c r="U153" s="6">
        <v>31.0</v>
      </c>
      <c r="V153" s="6">
        <v>18794.0</v>
      </c>
      <c r="W153" s="6">
        <v>2025.0</v>
      </c>
      <c r="X153" s="18">
        <v>635844.0</v>
      </c>
      <c r="Y153" s="18">
        <v>5325057.0</v>
      </c>
      <c r="Z153" s="18">
        <f t="shared" si="12"/>
        <v>5960901</v>
      </c>
      <c r="AA153" s="6">
        <v>2019.0</v>
      </c>
      <c r="AB153" s="6">
        <v>2023.0</v>
      </c>
      <c r="AC153" s="18">
        <v>0.0</v>
      </c>
      <c r="AD153" s="12">
        <v>6659.0</v>
      </c>
      <c r="AE153" s="6" t="s">
        <v>115</v>
      </c>
      <c r="AF153" s="6">
        <v>33.97496923</v>
      </c>
      <c r="AG153" s="6">
        <v>-118.26870178</v>
      </c>
      <c r="AH153" s="6" t="s">
        <v>1273</v>
      </c>
      <c r="AJ153" s="16">
        <f t="array" ref="AJ153">_xlfn.XLOOKUP(
  A153,
  'CMFA-CSCDA Grants'!A:A,
'CMFA-CSCDA Grants'!O:O)</f>
        <v>31</v>
      </c>
      <c r="AK153" s="16">
        <f t="array" ref="AK153">_xlfn.XLOOKUP(
  A153,
  'CMFA-CSCDA Grants'!A:A,
'CMFA-CSCDA Grants'!P:P)</f>
        <v>30</v>
      </c>
      <c r="AL153" s="8">
        <f t="array" ref="AL153">_xlfn.XLOOKUP(
  AD153,
  'Tax Rates'!A:A,
'Tax Rates'!B:B)</f>
        <v>0.0118738</v>
      </c>
    </row>
    <row r="154">
      <c r="A154" s="12">
        <v>82.0</v>
      </c>
      <c r="B154" s="6" t="str">
        <f t="array" ref="B154">_xlfn.XLOOKUP(
  A154,
  'CMFA-CSCDA Grants'!A:A,
'CMFA-CSCDA Grants'!E:E)</f>
        <v>Los Angeles</v>
      </c>
      <c r="C154" s="6" t="str">
        <f t="array" ref="C154">_xlfn.XLOOKUP(
  A154,
  'CMFA-CSCDA Grants'!A:A,
'CMFA-CSCDA Grants'!B:B)</f>
        <v>9300 Compton Ave. Apartments</v>
      </c>
      <c r="D154" s="12">
        <v>6.048022067E9</v>
      </c>
      <c r="F154" s="6" t="b">
        <v>0</v>
      </c>
      <c r="G154" s="6" t="s">
        <v>1274</v>
      </c>
      <c r="H154" s="6" t="s">
        <v>1275</v>
      </c>
      <c r="I154" s="6" t="s">
        <v>105</v>
      </c>
      <c r="J154" s="6" t="s">
        <v>1276</v>
      </c>
      <c r="K154" s="6" t="s">
        <v>1277</v>
      </c>
      <c r="L154" s="6" t="s">
        <v>1278</v>
      </c>
      <c r="N154" s="6" t="s">
        <v>109</v>
      </c>
      <c r="O154" s="6" t="s">
        <v>1114</v>
      </c>
      <c r="P154" s="6" t="s">
        <v>112</v>
      </c>
      <c r="Q154" s="6" t="s">
        <v>1115</v>
      </c>
      <c r="W154" s="6">
        <v>2025.0</v>
      </c>
      <c r="X154" s="18">
        <v>595337.0</v>
      </c>
      <c r="Y154" s="18">
        <v>0.0</v>
      </c>
      <c r="Z154" s="18">
        <f t="shared" si="12"/>
        <v>595337</v>
      </c>
      <c r="AA154" s="6">
        <v>2021.0</v>
      </c>
      <c r="AB154" s="6">
        <v>2021.0</v>
      </c>
      <c r="AC154" s="18">
        <v>0.0</v>
      </c>
      <c r="AD154" s="12">
        <v>460.0</v>
      </c>
      <c r="AE154" s="6" t="s">
        <v>115</v>
      </c>
      <c r="AF154" s="6">
        <v>33.95230524</v>
      </c>
      <c r="AG154" s="6">
        <v>-118.24563049</v>
      </c>
      <c r="AH154" s="6" t="s">
        <v>1279</v>
      </c>
      <c r="AJ154" s="16">
        <f t="array" ref="AJ154">_xlfn.XLOOKUP(
  A154,
  'CMFA-CSCDA Grants'!A:A,
'CMFA-CSCDA Grants'!O:O)</f>
        <v>20</v>
      </c>
      <c r="AK154" s="16">
        <f t="array" ref="AK154">_xlfn.XLOOKUP(
  A154,
  'CMFA-CSCDA Grants'!A:A,
'CMFA-CSCDA Grants'!P:P)</f>
        <v>19</v>
      </c>
      <c r="AL154" s="8">
        <f t="array" ref="AL154">_xlfn.XLOOKUP(
  AD154,
  'Tax Rates'!A:A,
'Tax Rates'!B:B)</f>
        <v>0.0118738</v>
      </c>
    </row>
    <row r="155">
      <c r="A155" s="12">
        <v>83.0</v>
      </c>
      <c r="B155" s="6" t="str">
        <f t="array" ref="B155">_xlfn.XLOOKUP(
  A155,
  'CMFA-CSCDA Grants'!A:A,
'CMFA-CSCDA Grants'!E:E)</f>
        <v>Los Angeles</v>
      </c>
      <c r="C155" s="6" t="str">
        <f t="array" ref="C155">_xlfn.XLOOKUP(
  A155,
  'CMFA-CSCDA Grants'!A:A,
'CMFA-CSCDA Grants'!B:B)</f>
        <v>6401 S. Avalon Blvd. Apartments</v>
      </c>
      <c r="D155" s="12">
        <v>6.006018001E9</v>
      </c>
      <c r="F155" s="6" t="b">
        <v>0</v>
      </c>
      <c r="G155" s="6" t="s">
        <v>1282</v>
      </c>
      <c r="H155" s="6" t="s">
        <v>1283</v>
      </c>
      <c r="I155" s="6" t="s">
        <v>105</v>
      </c>
      <c r="J155" s="6" t="s">
        <v>1284</v>
      </c>
      <c r="K155" s="6" t="s">
        <v>1285</v>
      </c>
      <c r="L155" s="6" t="s">
        <v>1286</v>
      </c>
      <c r="N155" s="6" t="s">
        <v>109</v>
      </c>
      <c r="O155" s="6" t="s">
        <v>419</v>
      </c>
      <c r="P155" s="6" t="s">
        <v>419</v>
      </c>
      <c r="Q155" s="6" t="s">
        <v>725</v>
      </c>
      <c r="W155" s="6">
        <v>2025.0</v>
      </c>
      <c r="X155" s="18">
        <v>426520.0</v>
      </c>
      <c r="Y155" s="18">
        <v>0.0</v>
      </c>
      <c r="Z155" s="18">
        <f t="shared" si="12"/>
        <v>426520</v>
      </c>
      <c r="AA155" s="6">
        <v>2020.0</v>
      </c>
      <c r="AB155" s="6">
        <v>2020.0</v>
      </c>
      <c r="AC155" s="18">
        <v>0.0</v>
      </c>
      <c r="AD155" s="12">
        <v>6659.0</v>
      </c>
      <c r="AE155" s="6" t="s">
        <v>115</v>
      </c>
      <c r="AF155" s="6">
        <v>33.98138241</v>
      </c>
      <c r="AG155" s="6">
        <v>-118.26552017</v>
      </c>
      <c r="AH155" s="6" t="s">
        <v>1287</v>
      </c>
      <c r="AJ155" s="16">
        <f t="array" ref="AJ155">_xlfn.XLOOKUP(
  A155,
  'CMFA-CSCDA Grants'!A:A,
'CMFA-CSCDA Grants'!O:O)</f>
        <v>28</v>
      </c>
      <c r="AK155" s="16">
        <f t="array" ref="AK155">_xlfn.XLOOKUP(
  A155,
  'CMFA-CSCDA Grants'!A:A,
'CMFA-CSCDA Grants'!P:P)</f>
        <v>27</v>
      </c>
      <c r="AL155" s="8">
        <f t="array" ref="AL155">_xlfn.XLOOKUP(
  AD155,
  'Tax Rates'!A:A,
'Tax Rates'!B:B)</f>
        <v>0.0118738</v>
      </c>
    </row>
    <row r="156">
      <c r="A156" s="12">
        <v>84.0</v>
      </c>
      <c r="B156" s="6" t="str">
        <f t="array" ref="B156">_xlfn.XLOOKUP(
  A156,
  'CMFA-CSCDA Grants'!A:A,
'CMFA-CSCDA Grants'!E:E)</f>
        <v>Los Angeles</v>
      </c>
      <c r="C156" s="6" t="str">
        <f t="array" ref="C156">_xlfn.XLOOKUP(
  A156,
  'CMFA-CSCDA Grants'!A:A,
'CMFA-CSCDA Grants'!B:B)</f>
        <v>9515 Compton Ave. Apartments</v>
      </c>
      <c r="D156" s="12">
        <v>6.048004025E9</v>
      </c>
      <c r="F156" s="6" t="b">
        <v>0</v>
      </c>
      <c r="G156" s="6" t="s">
        <v>1291</v>
      </c>
      <c r="H156" s="6" t="s">
        <v>1292</v>
      </c>
      <c r="I156" s="6" t="s">
        <v>105</v>
      </c>
      <c r="J156" s="6" t="s">
        <v>1293</v>
      </c>
      <c r="K156" s="6" t="s">
        <v>1294</v>
      </c>
      <c r="L156" s="6" t="s">
        <v>1295</v>
      </c>
      <c r="N156" s="6" t="s">
        <v>109</v>
      </c>
      <c r="O156" s="6" t="s">
        <v>110</v>
      </c>
      <c r="P156" s="6" t="s">
        <v>112</v>
      </c>
      <c r="Q156" s="6">
        <v>500.0</v>
      </c>
      <c r="W156" s="6">
        <v>2025.0</v>
      </c>
      <c r="X156" s="18">
        <v>655092.0</v>
      </c>
      <c r="Y156" s="18">
        <v>697301.0</v>
      </c>
      <c r="Z156" s="18">
        <f t="shared" si="12"/>
        <v>1352393</v>
      </c>
      <c r="AA156" s="6">
        <v>2020.0</v>
      </c>
      <c r="AB156" s="6">
        <v>2021.0</v>
      </c>
      <c r="AC156" s="18">
        <v>0.0</v>
      </c>
      <c r="AD156" s="12">
        <v>460.0</v>
      </c>
      <c r="AE156" s="6" t="s">
        <v>115</v>
      </c>
      <c r="AF156" s="6">
        <v>33.95022837</v>
      </c>
      <c r="AG156" s="6">
        <v>-118.24653208</v>
      </c>
      <c r="AH156" s="6" t="s">
        <v>1297</v>
      </c>
      <c r="AJ156" s="16">
        <f t="array" ref="AJ156">_xlfn.XLOOKUP(
  A156,
  'CMFA-CSCDA Grants'!A:A,
'CMFA-CSCDA Grants'!O:O)</f>
        <v>21</v>
      </c>
      <c r="AK156" s="16">
        <f t="array" ref="AK156">_xlfn.XLOOKUP(
  A156,
  'CMFA-CSCDA Grants'!A:A,
'CMFA-CSCDA Grants'!P:P)</f>
        <v>20</v>
      </c>
      <c r="AL156" s="8">
        <f t="array" ref="AL156">_xlfn.XLOOKUP(
  AD156,
  'Tax Rates'!A:A,
'Tax Rates'!B:B)</f>
        <v>0.0118738</v>
      </c>
    </row>
    <row r="157">
      <c r="A157" s="12">
        <v>85.0</v>
      </c>
      <c r="B157" s="6" t="str">
        <f t="array" ref="B157">_xlfn.XLOOKUP(
  A157,
  'CMFA-CSCDA Grants'!A:A,
'CMFA-CSCDA Grants'!E:E)</f>
        <v>Los Angeles</v>
      </c>
      <c r="C157" s="6" t="str">
        <f t="array" ref="C157">_xlfn.XLOOKUP(
  A157,
  'CMFA-CSCDA Grants'!A:A,
'CMFA-CSCDA Grants'!B:B)</f>
        <v>569 W. 6th Street Apartments</v>
      </c>
      <c r="D157" s="12">
        <v>7.451037031E9</v>
      </c>
      <c r="F157" s="6" t="b">
        <v>0</v>
      </c>
      <c r="G157" s="6" t="s">
        <v>1300</v>
      </c>
      <c r="H157" s="6" t="s">
        <v>1301</v>
      </c>
      <c r="I157" s="6" t="s">
        <v>1302</v>
      </c>
      <c r="J157" s="6" t="s">
        <v>1303</v>
      </c>
      <c r="K157" s="6" t="s">
        <v>1304</v>
      </c>
      <c r="L157" s="6" t="s">
        <v>1305</v>
      </c>
      <c r="N157" s="6" t="s">
        <v>109</v>
      </c>
      <c r="O157" s="6" t="s">
        <v>1306</v>
      </c>
      <c r="P157" s="6" t="s">
        <v>419</v>
      </c>
      <c r="Q157" s="6">
        <v>1900.0</v>
      </c>
      <c r="R157" s="6">
        <v>1919.0</v>
      </c>
      <c r="S157" s="6">
        <v>1.0</v>
      </c>
      <c r="T157" s="6">
        <v>1.0</v>
      </c>
      <c r="U157" s="6">
        <v>1.0</v>
      </c>
      <c r="V157" s="6">
        <v>472.0</v>
      </c>
      <c r="W157" s="6">
        <v>2025.0</v>
      </c>
      <c r="X157" s="18">
        <v>1363864.0</v>
      </c>
      <c r="Y157" s="18">
        <v>0.0</v>
      </c>
      <c r="Z157" s="18">
        <f t="shared" si="12"/>
        <v>1363864</v>
      </c>
      <c r="AA157" s="6">
        <v>2021.0</v>
      </c>
      <c r="AB157" s="6">
        <v>2021.0</v>
      </c>
      <c r="AC157" s="18">
        <v>0.0</v>
      </c>
      <c r="AD157" s="12">
        <v>13245.0</v>
      </c>
      <c r="AE157" s="6" t="s">
        <v>115</v>
      </c>
      <c r="AF157" s="6">
        <v>33.73850743</v>
      </c>
      <c r="AG157" s="6">
        <v>-118.28948148</v>
      </c>
      <c r="AH157" s="6" t="s">
        <v>1307</v>
      </c>
      <c r="AJ157" s="16">
        <f t="array" ref="AJ157">_xlfn.XLOOKUP(
  A157,
  'CMFA-CSCDA Grants'!A:A,
'CMFA-CSCDA Grants'!O:O)</f>
        <v>48</v>
      </c>
      <c r="AK157" s="16">
        <f t="array" ref="AK157">_xlfn.XLOOKUP(
  A157,
  'CMFA-CSCDA Grants'!A:A,
'CMFA-CSCDA Grants'!P:P)</f>
        <v>47</v>
      </c>
      <c r="AL157" s="8">
        <f t="array" ref="AL157">_xlfn.XLOOKUP(
  AD157,
  'Tax Rates'!A:A,
'Tax Rates'!B:B)</f>
        <v>0.0118738</v>
      </c>
    </row>
    <row r="158">
      <c r="A158" s="12">
        <v>86.0</v>
      </c>
      <c r="B158" s="6" t="str">
        <f t="array" ref="B158">_xlfn.XLOOKUP(
  A158,
  'CMFA-CSCDA Grants'!A:A,
'CMFA-CSCDA Grants'!E:E)</f>
        <v>Los Angeles</v>
      </c>
      <c r="C158" s="6" t="str">
        <f t="array" ref="C158">_xlfn.XLOOKUP(
  A158,
  'CMFA-CSCDA Grants'!A:A,
'CMFA-CSCDA Grants'!B:B)</f>
        <v>685 W. 4th St Apartments</v>
      </c>
      <c r="D158" s="12">
        <v>7.451026002E9</v>
      </c>
      <c r="F158" s="6" t="b">
        <v>0</v>
      </c>
      <c r="G158" s="6" t="s">
        <v>1308</v>
      </c>
      <c r="H158" s="6" t="s">
        <v>1309</v>
      </c>
      <c r="I158" s="6" t="s">
        <v>105</v>
      </c>
      <c r="J158" s="6" t="s">
        <v>1310</v>
      </c>
      <c r="K158" s="6" t="s">
        <v>1311</v>
      </c>
      <c r="L158" s="6" t="s">
        <v>1312</v>
      </c>
      <c r="N158" s="6" t="s">
        <v>109</v>
      </c>
      <c r="O158" s="6" t="s">
        <v>110</v>
      </c>
      <c r="P158" s="6" t="s">
        <v>112</v>
      </c>
      <c r="Q158" s="6">
        <v>500.0</v>
      </c>
      <c r="R158" s="6">
        <v>2024.0</v>
      </c>
      <c r="S158" s="6">
        <v>28.0</v>
      </c>
      <c r="T158" s="6">
        <v>28.0</v>
      </c>
      <c r="U158" s="6">
        <v>28.0</v>
      </c>
      <c r="V158" s="6">
        <v>9918.0</v>
      </c>
      <c r="W158" s="6">
        <v>2025.0</v>
      </c>
      <c r="X158" s="18">
        <v>595337.0</v>
      </c>
      <c r="Y158" s="18">
        <v>2407000.0</v>
      </c>
      <c r="Z158" s="18">
        <f t="shared" si="12"/>
        <v>3002337</v>
      </c>
      <c r="AA158" s="6">
        <v>2021.0</v>
      </c>
      <c r="AB158" s="6">
        <v>2025.0</v>
      </c>
      <c r="AC158" s="18">
        <v>0.0</v>
      </c>
      <c r="AD158" s="12">
        <v>13245.0</v>
      </c>
      <c r="AE158" s="6" t="s">
        <v>115</v>
      </c>
      <c r="AF158" s="6">
        <v>33.74032988</v>
      </c>
      <c r="AG158" s="6">
        <v>-118.29200537</v>
      </c>
      <c r="AH158" s="6" t="s">
        <v>1313</v>
      </c>
      <c r="AJ158" s="16">
        <f t="array" ref="AJ158">_xlfn.XLOOKUP(
  A158,
  'CMFA-CSCDA Grants'!A:A,
'CMFA-CSCDA Grants'!O:O)</f>
        <v>28</v>
      </c>
      <c r="AK158" s="16">
        <f t="array" ref="AK158">_xlfn.XLOOKUP(
  A158,
  'CMFA-CSCDA Grants'!A:A,
'CMFA-CSCDA Grants'!P:P)</f>
        <v>27</v>
      </c>
      <c r="AL158" s="8">
        <f t="array" ref="AL158">_xlfn.XLOOKUP(
  AD158,
  'Tax Rates'!A:A,
'Tax Rates'!B:B)</f>
        <v>0.0118738</v>
      </c>
    </row>
    <row r="159">
      <c r="A159" s="12">
        <v>87.0</v>
      </c>
      <c r="B159" s="6" t="str">
        <f t="array" ref="B159">_xlfn.XLOOKUP(
  A159,
  'CMFA-CSCDA Grants'!A:A,
'CMFA-CSCDA Grants'!E:E)</f>
        <v>Los Angeles</v>
      </c>
      <c r="C159" s="6" t="str">
        <f t="array" ref="C159">_xlfn.XLOOKUP(
  A159,
  'CMFA-CSCDA Grants'!A:A,
'CMFA-CSCDA Grants'!B:B)</f>
        <v>Chadwick Apartments</v>
      </c>
      <c r="D159" s="12">
        <v>5.501013028E9</v>
      </c>
      <c r="F159" s="6" t="b">
        <v>0</v>
      </c>
      <c r="G159" s="6" t="s">
        <v>1316</v>
      </c>
      <c r="H159" s="6" t="s">
        <v>1317</v>
      </c>
      <c r="I159" s="6" t="s">
        <v>105</v>
      </c>
      <c r="J159" s="6" t="s">
        <v>1318</v>
      </c>
      <c r="K159" s="6" t="s">
        <v>1319</v>
      </c>
      <c r="L159" s="6" t="s">
        <v>1030</v>
      </c>
      <c r="N159" s="6" t="s">
        <v>109</v>
      </c>
      <c r="O159" s="6" t="s">
        <v>110</v>
      </c>
      <c r="P159" s="6" t="s">
        <v>112</v>
      </c>
      <c r="Q159" s="6">
        <v>501.0</v>
      </c>
      <c r="R159" s="6">
        <v>1968.0</v>
      </c>
      <c r="S159" s="6">
        <v>0.0</v>
      </c>
      <c r="T159" s="6">
        <v>0.0</v>
      </c>
      <c r="U159" s="6">
        <v>0.0</v>
      </c>
      <c r="V159" s="6">
        <v>24900.0</v>
      </c>
      <c r="W159" s="6">
        <v>2025.0</v>
      </c>
      <c r="X159" s="18">
        <v>6.4541298E7</v>
      </c>
      <c r="Y159" s="18">
        <v>6.4541298E7</v>
      </c>
      <c r="Z159" s="18">
        <f t="shared" si="12"/>
        <v>129082596</v>
      </c>
      <c r="AA159" s="6">
        <v>2010.0</v>
      </c>
      <c r="AB159" s="6">
        <v>2010.0</v>
      </c>
      <c r="AC159" s="18">
        <v>0.0</v>
      </c>
      <c r="AD159" s="12">
        <v>67.0</v>
      </c>
      <c r="AE159" s="6" t="s">
        <v>115</v>
      </c>
      <c r="AF159" s="6">
        <v>34.07069507</v>
      </c>
      <c r="AG159" s="6">
        <v>-118.28843033</v>
      </c>
      <c r="AH159" s="6" t="s">
        <v>1320</v>
      </c>
      <c r="AJ159" s="16">
        <f t="array" ref="AJ159">_xlfn.XLOOKUP(
  A159,
  'CMFA-CSCDA Grants'!A:A,
'CMFA-CSCDA Grants'!O:O)</f>
        <v>687</v>
      </c>
      <c r="AK159" s="16">
        <f t="array" ref="AK159">_xlfn.XLOOKUP(
  A159,
  'CMFA-CSCDA Grants'!A:A,
'CMFA-CSCDA Grants'!P:P)</f>
        <v>687</v>
      </c>
      <c r="AL159" s="8">
        <f t="array" ref="AL159">_xlfn.XLOOKUP(
  AD159,
  'Tax Rates'!A:A,
'Tax Rates'!B:B)</f>
        <v>0.0118738</v>
      </c>
    </row>
    <row r="160">
      <c r="A160" s="12">
        <v>88.0</v>
      </c>
      <c r="B160" s="6" t="str">
        <f t="array" ref="B160">_xlfn.XLOOKUP(
  A160,
  'CMFA-CSCDA Grants'!A:A,
'CMFA-CSCDA Grants'!E:E)</f>
        <v>Los Angeles</v>
      </c>
      <c r="C160" s="6" t="str">
        <f t="array" ref="C160">_xlfn.XLOOKUP(
  A160,
  'CMFA-CSCDA Grants'!A:A,
'CMFA-CSCDA Grants'!B:B)</f>
        <v>Chatsworth Apartments</v>
      </c>
      <c r="D160" s="12">
        <v>2.69500303E9</v>
      </c>
      <c r="E160" s="6">
        <v>2.695003001E9</v>
      </c>
      <c r="F160" s="6" t="b">
        <v>0</v>
      </c>
      <c r="G160" s="6" t="s">
        <v>1323</v>
      </c>
      <c r="I160" s="6" t="s">
        <v>105</v>
      </c>
      <c r="J160" s="6" t="s">
        <v>1324</v>
      </c>
      <c r="K160" s="6" t="s">
        <v>1325</v>
      </c>
      <c r="L160" s="6" t="s">
        <v>1326</v>
      </c>
      <c r="N160" s="6" t="s">
        <v>204</v>
      </c>
      <c r="O160" s="6" t="s">
        <v>236</v>
      </c>
      <c r="P160" s="6" t="s">
        <v>112</v>
      </c>
      <c r="Q160" s="6">
        <v>100.0</v>
      </c>
      <c r="R160" s="6">
        <v>1958.0</v>
      </c>
      <c r="S160" s="6">
        <v>1.0</v>
      </c>
      <c r="T160" s="6">
        <v>2.0</v>
      </c>
      <c r="U160" s="6">
        <v>1.0</v>
      </c>
      <c r="V160" s="6">
        <v>756.0</v>
      </c>
      <c r="W160" s="6">
        <v>2025.0</v>
      </c>
      <c r="X160" s="18">
        <v>600000.0</v>
      </c>
      <c r="Y160" s="18">
        <v>250000.0</v>
      </c>
      <c r="Z160" s="18">
        <f t="shared" si="12"/>
        <v>850000</v>
      </c>
      <c r="AA160" s="6">
        <v>2025.0</v>
      </c>
      <c r="AB160" s="6">
        <v>2025.0</v>
      </c>
      <c r="AC160" s="18">
        <v>0.0</v>
      </c>
      <c r="AD160" s="12">
        <v>16.0</v>
      </c>
      <c r="AE160" s="6" t="s">
        <v>115</v>
      </c>
      <c r="AF160" s="6">
        <v>34.2644934</v>
      </c>
      <c r="AG160" s="6">
        <v>-118.50847655</v>
      </c>
      <c r="AH160" s="6" t="s">
        <v>1327</v>
      </c>
      <c r="AI160" s="6" t="s">
        <v>1328</v>
      </c>
      <c r="AJ160" s="16">
        <f t="array" ref="AJ160">_xlfn.XLOOKUP(
  A160,
  'CMFA-CSCDA Grants'!A:A,
'CMFA-CSCDA Grants'!O:O)</f>
        <v>69</v>
      </c>
      <c r="AK160" s="16">
        <f t="array" ref="AK160">_xlfn.XLOOKUP(
  A160,
  'CMFA-CSCDA Grants'!A:A,
'CMFA-CSCDA Grants'!P:P)</f>
        <v>68</v>
      </c>
      <c r="AL160" s="8">
        <f t="array" ref="AL160">_xlfn.XLOOKUP(
  AD160,
  'Tax Rates'!A:A,
'Tax Rates'!B:B)</f>
        <v>0.0118738</v>
      </c>
    </row>
    <row r="161">
      <c r="A161" s="12">
        <v>90.0</v>
      </c>
      <c r="B161" s="6" t="str">
        <f t="array" ref="B161">_xlfn.XLOOKUP(
  A161,
  'CMFA-CSCDA Grants'!A:A,
'CMFA-CSCDA Grants'!E:E)</f>
        <v>Los Angeles</v>
      </c>
      <c r="C161" s="6" t="str">
        <f t="array" ref="C161">_xlfn.XLOOKUP(
  A161,
  'CMFA-CSCDA Grants'!A:A,
'CMFA-CSCDA Grants'!B:B)</f>
        <v>Pacific Trails Apartments</v>
      </c>
      <c r="D161" s="12">
        <v>8.630009026E9</v>
      </c>
      <c r="F161" s="6" t="b">
        <v>0</v>
      </c>
      <c r="G161" s="6" t="s">
        <v>1329</v>
      </c>
      <c r="H161" s="6" t="s">
        <v>1330</v>
      </c>
      <c r="I161" s="6" t="s">
        <v>1331</v>
      </c>
      <c r="J161" s="6" t="s">
        <v>1332</v>
      </c>
      <c r="K161" s="6" t="s">
        <v>1333</v>
      </c>
      <c r="L161" s="6" t="s">
        <v>871</v>
      </c>
      <c r="N161" s="6" t="s">
        <v>109</v>
      </c>
      <c r="O161" s="6" t="s">
        <v>110</v>
      </c>
      <c r="P161" s="6" t="s">
        <v>112</v>
      </c>
      <c r="Q161" s="6">
        <v>501.0</v>
      </c>
      <c r="R161" s="6">
        <v>1977.0</v>
      </c>
      <c r="S161" s="6">
        <v>82.0</v>
      </c>
      <c r="T161" s="6">
        <v>0.0</v>
      </c>
      <c r="U161" s="6">
        <v>0.0</v>
      </c>
      <c r="V161" s="6">
        <v>57438.0</v>
      </c>
      <c r="W161" s="6">
        <v>2025.0</v>
      </c>
      <c r="X161" s="18">
        <v>1.4501745E7</v>
      </c>
      <c r="Y161" s="18">
        <v>7362423.0</v>
      </c>
      <c r="Z161" s="18">
        <f t="shared" si="12"/>
        <v>21864168</v>
      </c>
      <c r="AA161" s="6">
        <v>2019.0</v>
      </c>
      <c r="AB161" s="6">
        <v>2019.0</v>
      </c>
      <c r="AC161" s="18">
        <v>0.0</v>
      </c>
      <c r="AD161" s="12">
        <v>3122.0</v>
      </c>
      <c r="AE161" s="6" t="s">
        <v>1334</v>
      </c>
      <c r="AF161" s="6">
        <v>34.10774298</v>
      </c>
      <c r="AG161" s="6">
        <v>-117.88763744</v>
      </c>
      <c r="AH161" s="6" t="s">
        <v>1335</v>
      </c>
      <c r="AJ161" s="16">
        <f t="array" ref="AJ161">_xlfn.XLOOKUP(
  A161,
  'CMFA-CSCDA Grants'!A:A,
'CMFA-CSCDA Grants'!O:O)</f>
        <v>84</v>
      </c>
      <c r="AK161" s="16">
        <f t="array" ref="AK161">_xlfn.XLOOKUP(
  A161,
  'CMFA-CSCDA Grants'!A:A,
'CMFA-CSCDA Grants'!P:P)</f>
        <v>84</v>
      </c>
      <c r="AL161" s="8">
        <f t="array" ref="AL161">_xlfn.XLOOKUP(
  AD161,
  'Tax Rates'!A:A,
'Tax Rates'!B:B)</f>
        <v>0.01175703</v>
      </c>
    </row>
    <row r="162">
      <c r="A162" s="12">
        <v>91.0</v>
      </c>
      <c r="B162" s="6" t="str">
        <f t="array" ref="B162">_xlfn.XLOOKUP(
  A162,
  'CMFA-CSCDA Grants'!A:A,
'CMFA-CSCDA Grants'!E:E)</f>
        <v>Los Angeles</v>
      </c>
      <c r="C162" s="6" t="str">
        <f t="array" ref="C162">_xlfn.XLOOKUP(
  A162,
  'CMFA-CSCDA Grants'!A:A,
'CMFA-CSCDA Grants'!B:B)</f>
        <v>Huston Affordable Housing Apartments</v>
      </c>
      <c r="D162" s="12">
        <v>2.42101101E9</v>
      </c>
      <c r="F162" s="6" t="b">
        <v>0</v>
      </c>
      <c r="G162" s="6" t="s">
        <v>1338</v>
      </c>
      <c r="H162" s="6" t="s">
        <v>1339</v>
      </c>
      <c r="I162" s="6" t="s">
        <v>105</v>
      </c>
      <c r="J162" s="6" t="s">
        <v>1340</v>
      </c>
      <c r="K162" s="6" t="s">
        <v>1341</v>
      </c>
      <c r="L162" s="6" t="s">
        <v>1342</v>
      </c>
      <c r="N162" s="6" t="s">
        <v>109</v>
      </c>
      <c r="O162" s="6" t="s">
        <v>1114</v>
      </c>
      <c r="P162" s="6" t="s">
        <v>112</v>
      </c>
      <c r="Q162" s="6">
        <v>100.0</v>
      </c>
      <c r="R162" s="6">
        <v>1929.0</v>
      </c>
      <c r="S162" s="6">
        <v>1.0</v>
      </c>
      <c r="T162" s="6">
        <v>2.0</v>
      </c>
      <c r="U162" s="6">
        <v>1.0</v>
      </c>
      <c r="V162" s="6">
        <v>1184.0</v>
      </c>
      <c r="W162" s="6">
        <v>2025.0</v>
      </c>
      <c r="X162" s="18">
        <v>1265310.0</v>
      </c>
      <c r="Y162" s="18">
        <v>152490.0</v>
      </c>
      <c r="Z162" s="18">
        <f t="shared" si="12"/>
        <v>1417800</v>
      </c>
      <c r="AA162" s="6">
        <v>2024.0</v>
      </c>
      <c r="AB162" s="6">
        <v>2024.0</v>
      </c>
      <c r="AC162" s="18">
        <v>0.0</v>
      </c>
      <c r="AD162" s="12">
        <v>13.0</v>
      </c>
      <c r="AE162" s="6" t="s">
        <v>115</v>
      </c>
      <c r="AF162" s="6">
        <v>34.15965567</v>
      </c>
      <c r="AG162" s="6">
        <v>-118.36844507</v>
      </c>
      <c r="AH162" s="6" t="s">
        <v>1343</v>
      </c>
      <c r="AJ162" s="16">
        <f t="array" ref="AJ162">_xlfn.XLOOKUP(
  A162,
  'CMFA-CSCDA Grants'!A:A,
'CMFA-CSCDA Grants'!O:O)</f>
        <v>38</v>
      </c>
      <c r="AK162" s="16">
        <f t="array" ref="AK162">_xlfn.XLOOKUP(
  A162,
  'CMFA-CSCDA Grants'!A:A,
'CMFA-CSCDA Grants'!P:P)</f>
        <v>37</v>
      </c>
      <c r="AL162" s="8">
        <f t="array" ref="AL162">_xlfn.XLOOKUP(
  AD162,
  'Tax Rates'!A:A,
'Tax Rates'!B:B)</f>
        <v>0.0118738</v>
      </c>
    </row>
    <row r="163">
      <c r="A163" s="12">
        <v>92.0</v>
      </c>
      <c r="B163" s="6" t="str">
        <f t="array" ref="B163">_xlfn.XLOOKUP(
  A163,
  'CMFA-CSCDA Grants'!A:A,
'CMFA-CSCDA Grants'!E:E)</f>
        <v>Los Angeles</v>
      </c>
      <c r="C163" s="6" t="str">
        <f t="array" ref="C163">_xlfn.XLOOKUP(
  A163,
  'CMFA-CSCDA Grants'!A:A,
'CMFA-CSCDA Grants'!B:B)</f>
        <v>The Parker Apartments</v>
      </c>
      <c r="D163" s="12">
        <v>8.576001024E9</v>
      </c>
      <c r="F163" s="6" t="b">
        <v>0</v>
      </c>
      <c r="G163" s="6" t="s">
        <v>1346</v>
      </c>
      <c r="H163" s="6" t="s">
        <v>1347</v>
      </c>
      <c r="I163" s="6" t="s">
        <v>1348</v>
      </c>
      <c r="J163" s="6" t="s">
        <v>1349</v>
      </c>
      <c r="K163" s="6" t="s">
        <v>1350</v>
      </c>
      <c r="L163" s="6" t="s">
        <v>1351</v>
      </c>
      <c r="N163" s="6" t="s">
        <v>109</v>
      </c>
      <c r="O163" s="6" t="s">
        <v>110</v>
      </c>
      <c r="P163" s="6" t="s">
        <v>112</v>
      </c>
      <c r="Q163" s="6">
        <v>500.0</v>
      </c>
      <c r="R163" s="6">
        <v>1963.0</v>
      </c>
      <c r="S163" s="6">
        <v>63.0</v>
      </c>
      <c r="T163" s="6">
        <v>0.0</v>
      </c>
      <c r="U163" s="6">
        <v>0.0</v>
      </c>
      <c r="V163" s="6">
        <v>38670.0</v>
      </c>
      <c r="W163" s="6">
        <v>2025.0</v>
      </c>
      <c r="X163" s="18">
        <v>1.3832435E7</v>
      </c>
      <c r="Y163" s="18">
        <v>3.1171373E7</v>
      </c>
      <c r="Z163" s="18">
        <f t="shared" si="12"/>
        <v>45003808</v>
      </c>
      <c r="AA163" s="6">
        <v>2019.0</v>
      </c>
      <c r="AB163" s="6">
        <v>2019.0</v>
      </c>
      <c r="AC163" s="18">
        <v>0.0</v>
      </c>
      <c r="AD163" s="12">
        <v>3622.0</v>
      </c>
      <c r="AE163" s="6" t="s">
        <v>1352</v>
      </c>
      <c r="AF163" s="6">
        <v>34.08987818</v>
      </c>
      <c r="AG163" s="6">
        <v>-118.04105385</v>
      </c>
      <c r="AH163" s="6" t="s">
        <v>1353</v>
      </c>
      <c r="AJ163" s="16">
        <f t="array" ref="AJ163">_xlfn.XLOOKUP(
  A163,
  'CMFA-CSCDA Grants'!A:A,
'CMFA-CSCDA Grants'!O:O)</f>
        <v>177</v>
      </c>
      <c r="AK163" s="16">
        <f t="array" ref="AK163">_xlfn.XLOOKUP(
  A163,
  'CMFA-CSCDA Grants'!A:A,
'CMFA-CSCDA Grants'!P:P)</f>
        <v>177</v>
      </c>
      <c r="AL163" s="8">
        <f t="array" ref="AL163">_xlfn.XLOOKUP(
  AD163,
  'Tax Rates'!A:A,
'Tax Rates'!B:B)</f>
        <v>0.01323192</v>
      </c>
    </row>
    <row r="164">
      <c r="A164" s="22">
        <v>93.0</v>
      </c>
      <c r="B164" s="6" t="str">
        <f t="array" ref="B164">_xlfn.XLOOKUP(
  A164,
  'CMFA-CSCDA Grants'!A:A,
'CMFA-CSCDA Grants'!E:E)</f>
        <v>Napa</v>
      </c>
      <c r="C164" s="6" t="str">
        <f t="array" ref="C164">_xlfn.XLOOKUP(
  A164,
  'CMFA-CSCDA Grants'!A:A,
'CMFA-CSCDA Grants'!B:B)</f>
        <v>Canyon Ridge at Napa Junction Apartments</v>
      </c>
      <c r="D164" s="24" t="s">
        <v>1354</v>
      </c>
      <c r="F164" s="6" t="b">
        <v>0</v>
      </c>
      <c r="H164" s="6" t="s">
        <v>1355</v>
      </c>
      <c r="X164" s="18" t="s">
        <v>146</v>
      </c>
      <c r="Y164" s="18" t="s">
        <v>146</v>
      </c>
      <c r="Z164" s="18">
        <v>4.6693244E7</v>
      </c>
      <c r="AC164" s="18"/>
      <c r="AD164" s="12" t="s">
        <v>251</v>
      </c>
      <c r="AJ164" s="16">
        <f t="array" ref="AJ164">_xlfn.XLOOKUP(
  A164,
  'CMFA-CSCDA Grants'!A:A,
'CMFA-CSCDA Grants'!O:O)</f>
        <v>148</v>
      </c>
      <c r="AK164" s="16">
        <f t="array" ref="AK164">_xlfn.XLOOKUP(
  A164,
  'CMFA-CSCDA Grants'!A:A,
'CMFA-CSCDA Grants'!P:P)</f>
        <v>148</v>
      </c>
      <c r="AL164" s="10">
        <f t="array" ref="AL164">_xlfn.XLOOKUP(
  AD164,
  'Tax Rates'!A:A,
'Tax Rates'!B:B)</f>
        <v>0.010944</v>
      </c>
    </row>
    <row r="165">
      <c r="A165" s="22">
        <v>94.0</v>
      </c>
      <c r="B165" s="6" t="str">
        <f t="array" ref="B165">_xlfn.XLOOKUP(
  A165,
  'CMFA-CSCDA Grants'!A:A,
'CMFA-CSCDA Grants'!E:E)</f>
        <v>San Diego</v>
      </c>
      <c r="C165" s="6" t="str">
        <f t="array" ref="C165">_xlfn.XLOOKUP(
  A165,
  'CMFA-CSCDA Grants'!A:A,
'CMFA-CSCDA Grants'!B:B)</f>
        <v>Canyon Villa Apartment Homes</v>
      </c>
      <c r="D165" s="24" t="s">
        <v>1357</v>
      </c>
      <c r="F165" s="6" t="b">
        <v>0</v>
      </c>
      <c r="H165" s="6" t="s">
        <v>1358</v>
      </c>
      <c r="X165" s="18" t="s">
        <v>146</v>
      </c>
      <c r="Y165" s="18" t="s">
        <v>146</v>
      </c>
      <c r="Z165" s="18">
        <v>5.1548563E7</v>
      </c>
      <c r="AC165" s="18"/>
      <c r="AD165" s="12" t="s">
        <v>178</v>
      </c>
      <c r="AJ165" s="16">
        <f t="array" ref="AJ165">_xlfn.XLOOKUP(
  A165,
  'CMFA-CSCDA Grants'!A:A,
'CMFA-CSCDA Grants'!O:O)</f>
        <v>183</v>
      </c>
      <c r="AK165" s="16">
        <f t="array" ref="AK165">_xlfn.XLOOKUP(
  A165,
  'CMFA-CSCDA Grants'!A:A,
'CMFA-CSCDA Grants'!P:P)</f>
        <v>183</v>
      </c>
      <c r="AL165" s="10">
        <f t="array" ref="AL165">_xlfn.XLOOKUP(
  AD165,
  'Tax Rates'!A:A,
'Tax Rates'!B:B)</f>
        <v>0.0118748</v>
      </c>
    </row>
    <row r="166">
      <c r="A166" s="12">
        <v>97.0</v>
      </c>
      <c r="B166" s="6" t="str">
        <f t="array" ref="B166">_xlfn.XLOOKUP(
  A166,
  'CMFA-CSCDA Grants'!A:A,
'CMFA-CSCDA Grants'!E:E)</f>
        <v>Los Angeles</v>
      </c>
      <c r="C166" s="6" t="str">
        <f t="array" ref="C166">_xlfn.XLOOKUP(
  A166,
  'CMFA-CSCDA Grants'!A:A,
'CMFA-CSCDA Grants'!B:B)</f>
        <v>Azusa Gardens Apartments</v>
      </c>
      <c r="D166" s="12">
        <v>8.608030071E9</v>
      </c>
      <c r="F166" s="6" t="b">
        <v>0</v>
      </c>
      <c r="G166" s="6" t="s">
        <v>1361</v>
      </c>
      <c r="H166" s="6" t="s">
        <v>1362</v>
      </c>
      <c r="I166" s="6" t="s">
        <v>1331</v>
      </c>
      <c r="J166" s="6" t="s">
        <v>1363</v>
      </c>
      <c r="K166" s="6" t="s">
        <v>1364</v>
      </c>
      <c r="L166" s="6" t="s">
        <v>1365</v>
      </c>
      <c r="N166" s="6" t="s">
        <v>109</v>
      </c>
      <c r="O166" s="6" t="s">
        <v>110</v>
      </c>
      <c r="P166" s="6" t="s">
        <v>112</v>
      </c>
      <c r="Q166" s="6">
        <v>501.0</v>
      </c>
      <c r="R166" s="6">
        <v>1987.0</v>
      </c>
      <c r="S166" s="6">
        <v>112.0</v>
      </c>
      <c r="T166" s="6">
        <v>99.0</v>
      </c>
      <c r="U166" s="6">
        <v>99.0</v>
      </c>
      <c r="V166" s="6">
        <v>96496.0</v>
      </c>
      <c r="W166" s="6">
        <v>2025.0</v>
      </c>
      <c r="X166" s="18">
        <v>1869289.0</v>
      </c>
      <c r="Y166" s="18">
        <v>1.1355514E7</v>
      </c>
      <c r="Z166" s="18">
        <f>SUM(X166:Y166)</f>
        <v>13224803</v>
      </c>
      <c r="AA166" s="6">
        <v>1993.0</v>
      </c>
      <c r="AB166" s="6">
        <v>1993.0</v>
      </c>
      <c r="AC166" s="18">
        <v>0.0</v>
      </c>
      <c r="AD166" s="12">
        <v>8819.0</v>
      </c>
      <c r="AE166" s="6" t="s">
        <v>1334</v>
      </c>
      <c r="AF166" s="6">
        <v>34.13601189</v>
      </c>
      <c r="AG166" s="6">
        <v>-117.90015303</v>
      </c>
      <c r="AH166" s="6" t="s">
        <v>1366</v>
      </c>
      <c r="AJ166" s="16">
        <f t="array" ref="AJ166">_xlfn.XLOOKUP(
  A166,
  'CMFA-CSCDA Grants'!A:A,
'CMFA-CSCDA Grants'!O:O)</f>
        <v>112</v>
      </c>
      <c r="AK166" s="16">
        <f t="array" ref="AK166">_xlfn.XLOOKUP(
  A166,
  'CMFA-CSCDA Grants'!A:A,
'CMFA-CSCDA Grants'!P:P)</f>
        <v>112</v>
      </c>
      <c r="AL166" s="8">
        <f t="array" ref="AL166">_xlfn.XLOOKUP(
  AD166,
  'Tax Rates'!A:A,
'Tax Rates'!B:B)</f>
        <v>0.0116448</v>
      </c>
    </row>
    <row r="167">
      <c r="A167" s="22">
        <v>98.0</v>
      </c>
      <c r="B167" s="6" t="str">
        <f t="array" ref="B167">_xlfn.XLOOKUP(
  A167,
  'CMFA-CSCDA Grants'!A:A,
'CMFA-CSCDA Grants'!E:E)</f>
        <v>Alameda</v>
      </c>
      <c r="C167" s="6" t="str">
        <f t="array" ref="C167">_xlfn.XLOOKUP(
  A167,
  'CMFA-CSCDA Grants'!A:A,
'CMFA-CSCDA Grants'!B:B)</f>
        <v>Camden Village Apartments</v>
      </c>
      <c r="D167" s="24" t="s">
        <v>1367</v>
      </c>
      <c r="F167" s="6" t="b">
        <v>0</v>
      </c>
      <c r="G167" s="6" t="s">
        <v>1368</v>
      </c>
      <c r="H167" s="6" t="s">
        <v>1369</v>
      </c>
      <c r="X167" s="18">
        <v>2.2373253E7</v>
      </c>
      <c r="Y167" s="18">
        <v>5.2294567E7</v>
      </c>
      <c r="Z167" s="18">
        <v>7.3418537E7</v>
      </c>
      <c r="AC167" s="18">
        <v>0.0</v>
      </c>
      <c r="AD167" s="12" t="s">
        <v>212</v>
      </c>
      <c r="AJ167" s="16">
        <f t="array" ref="AJ167">_xlfn.XLOOKUP(
  A167,
  'CMFA-CSCDA Grants'!A:A,
'CMFA-CSCDA Grants'!O:O)</f>
        <v>192</v>
      </c>
      <c r="AK167" s="16">
        <f t="array" ref="AK167">_xlfn.XLOOKUP(
  A167,
  'CMFA-CSCDA Grants'!A:A,
'CMFA-CSCDA Grants'!P:P)</f>
        <v>192</v>
      </c>
      <c r="AL167" s="10">
        <f t="array" ref="AL167">_xlfn.XLOOKUP(
  AD167,
  'Tax Rates'!A:A,
'Tax Rates'!B:B)</f>
        <v>0.011741</v>
      </c>
    </row>
    <row r="168">
      <c r="A168" s="12">
        <v>99.0</v>
      </c>
      <c r="B168" s="6" t="str">
        <f t="array" ref="B168">_xlfn.XLOOKUP(
  A168,
  'CMFA-CSCDA Grants'!A:A,
'CMFA-CSCDA Grants'!E:E)</f>
        <v>Los Angeles</v>
      </c>
      <c r="C168" s="6" t="str">
        <f t="array" ref="C168">_xlfn.XLOOKUP(
  A168,
  'CMFA-CSCDA Grants'!A:A,
'CMFA-CSCDA Grants'!B:B)</f>
        <v>Passo Barrington Apartments</v>
      </c>
      <c r="D168" s="12">
        <v>4.262018026E9</v>
      </c>
      <c r="F168" s="6" t="b">
        <v>0</v>
      </c>
      <c r="G168" s="6" t="s">
        <v>1372</v>
      </c>
      <c r="H168" s="6" t="s">
        <v>1373</v>
      </c>
      <c r="I168" s="6" t="s">
        <v>105</v>
      </c>
      <c r="J168" s="6" t="s">
        <v>1374</v>
      </c>
      <c r="K168" s="6" t="s">
        <v>1375</v>
      </c>
      <c r="L168" s="6" t="s">
        <v>1376</v>
      </c>
      <c r="N168" s="6" t="s">
        <v>109</v>
      </c>
      <c r="O168" s="6" t="s">
        <v>1377</v>
      </c>
      <c r="P168" s="6" t="s">
        <v>112</v>
      </c>
      <c r="Q168" s="6">
        <v>300.0</v>
      </c>
      <c r="R168" s="6">
        <v>1950.0</v>
      </c>
      <c r="S168" s="6">
        <v>3.0</v>
      </c>
      <c r="T168" s="6">
        <v>6.0</v>
      </c>
      <c r="U168" s="6">
        <v>3.0</v>
      </c>
      <c r="V168" s="6">
        <v>2393.0</v>
      </c>
      <c r="W168" s="6">
        <v>2025.0</v>
      </c>
      <c r="X168" s="18">
        <v>1500000.0</v>
      </c>
      <c r="Y168" s="18">
        <v>725000.0</v>
      </c>
      <c r="Z168" s="18">
        <f t="shared" ref="Z168:Z190" si="13">SUM(X168:Y168)</f>
        <v>2225000</v>
      </c>
      <c r="AA168" s="6">
        <v>2025.0</v>
      </c>
      <c r="AB168" s="6">
        <v>2025.0</v>
      </c>
      <c r="AC168" s="18">
        <v>0.0</v>
      </c>
      <c r="AD168" s="12">
        <v>67.0</v>
      </c>
      <c r="AE168" s="6" t="s">
        <v>115</v>
      </c>
      <c r="AF168" s="6">
        <v>34.04060906</v>
      </c>
      <c r="AG168" s="6">
        <v>-118.45291067</v>
      </c>
      <c r="AH168" s="6" t="s">
        <v>1378</v>
      </c>
      <c r="AJ168" s="16">
        <f t="array" ref="AJ168">_xlfn.XLOOKUP(
  A168,
  'CMFA-CSCDA Grants'!A:A,
'CMFA-CSCDA Grants'!O:O)</f>
        <v>53</v>
      </c>
      <c r="AK168" s="16">
        <f t="array" ref="AK168">_xlfn.XLOOKUP(
  A168,
  'CMFA-CSCDA Grants'!A:A,
'CMFA-CSCDA Grants'!P:P)</f>
        <v>53</v>
      </c>
      <c r="AL168" s="8">
        <f t="array" ref="AL168">_xlfn.XLOOKUP(
  AD168,
  'Tax Rates'!A:A,
'Tax Rates'!B:B)</f>
        <v>0.0118738</v>
      </c>
    </row>
    <row r="169">
      <c r="A169" s="12">
        <v>100.0</v>
      </c>
      <c r="B169" s="6" t="str">
        <f t="array" ref="B169">_xlfn.XLOOKUP(
  A169,
  'CMFA-CSCDA Grants'!A:A,
'CMFA-CSCDA Grants'!E:E)</f>
        <v>Los Angeles</v>
      </c>
      <c r="C169" s="6" t="str">
        <f t="array" ref="C169">_xlfn.XLOOKUP(
  A169,
  'CMFA-CSCDA Grants'!A:A,
'CMFA-CSCDA Grants'!B:B)</f>
        <v>Passo Centinela I Apartments</v>
      </c>
      <c r="D169" s="12">
        <v>4.23101802E9</v>
      </c>
      <c r="F169" s="6" t="b">
        <v>0</v>
      </c>
      <c r="G169" s="6" t="s">
        <v>1381</v>
      </c>
      <c r="H169" s="6" t="s">
        <v>1382</v>
      </c>
      <c r="I169" s="6" t="s">
        <v>105</v>
      </c>
      <c r="J169" s="6" t="s">
        <v>1383</v>
      </c>
      <c r="K169" s="6" t="s">
        <v>1384</v>
      </c>
      <c r="L169" s="6" t="s">
        <v>1385</v>
      </c>
      <c r="N169" s="6" t="s">
        <v>109</v>
      </c>
      <c r="O169" s="6" t="s">
        <v>418</v>
      </c>
      <c r="P169" s="6" t="s">
        <v>419</v>
      </c>
      <c r="Q169" s="6">
        <v>1100.0</v>
      </c>
      <c r="R169" s="6">
        <v>1949.0</v>
      </c>
      <c r="S169" s="6">
        <v>0.0</v>
      </c>
      <c r="T169" s="6">
        <v>0.0</v>
      </c>
      <c r="U169" s="6">
        <v>0.0</v>
      </c>
      <c r="V169" s="6">
        <v>600.0</v>
      </c>
      <c r="W169" s="6">
        <v>2025.0</v>
      </c>
      <c r="X169" s="18">
        <v>1630000.0</v>
      </c>
      <c r="Y169" s="18">
        <v>0.0</v>
      </c>
      <c r="Z169" s="18">
        <f t="shared" si="13"/>
        <v>1630000</v>
      </c>
      <c r="AA169" s="6">
        <v>2025.0</v>
      </c>
      <c r="AB169" s="6">
        <v>2025.0</v>
      </c>
      <c r="AC169" s="18">
        <v>0.0</v>
      </c>
      <c r="AD169" s="12">
        <v>67.0</v>
      </c>
      <c r="AE169" s="6" t="s">
        <v>115</v>
      </c>
      <c r="AF169" s="6">
        <v>33.99620301</v>
      </c>
      <c r="AG169" s="6">
        <v>-118.42798374</v>
      </c>
      <c r="AH169" s="6" t="s">
        <v>1386</v>
      </c>
      <c r="AJ169" s="16">
        <f t="array" ref="AJ169">_xlfn.XLOOKUP(
  A169,
  'CMFA-CSCDA Grants'!A:A,
'CMFA-CSCDA Grants'!O:O)</f>
        <v>72</v>
      </c>
      <c r="AK169" s="16">
        <f t="array" ref="AK169">_xlfn.XLOOKUP(
  A169,
  'CMFA-CSCDA Grants'!A:A,
'CMFA-CSCDA Grants'!P:P)</f>
        <v>71</v>
      </c>
      <c r="AL169" s="8">
        <f t="array" ref="AL169">_xlfn.XLOOKUP(
  AD169,
  'Tax Rates'!A:A,
'Tax Rates'!B:B)</f>
        <v>0.0118738</v>
      </c>
    </row>
    <row r="170">
      <c r="A170" s="12">
        <v>101.0</v>
      </c>
      <c r="B170" s="6" t="str">
        <f t="array" ref="B170">_xlfn.XLOOKUP(
  A170,
  'CMFA-CSCDA Grants'!A:A,
'CMFA-CSCDA Grants'!E:E)</f>
        <v>Los Angeles</v>
      </c>
      <c r="C170" s="6" t="str">
        <f t="array" ref="C170">_xlfn.XLOOKUP(
  A170,
  'CMFA-CSCDA Grants'!A:A,
'CMFA-CSCDA Grants'!B:B)</f>
        <v>Passo Centinela II Apartments</v>
      </c>
      <c r="D170" s="12">
        <v>4.221007056E9</v>
      </c>
      <c r="F170" s="6" t="b">
        <v>0</v>
      </c>
      <c r="G170" s="6" t="s">
        <v>1387</v>
      </c>
      <c r="H170" s="6" t="s">
        <v>1388</v>
      </c>
      <c r="I170" s="6" t="s">
        <v>105</v>
      </c>
      <c r="J170" s="6" t="s">
        <v>1389</v>
      </c>
      <c r="K170" s="6" t="s">
        <v>1390</v>
      </c>
      <c r="L170" s="6" t="s">
        <v>1391</v>
      </c>
      <c r="N170" s="6" t="s">
        <v>109</v>
      </c>
      <c r="O170" s="6" t="s">
        <v>110</v>
      </c>
      <c r="P170" s="6" t="s">
        <v>112</v>
      </c>
      <c r="Q170" s="6">
        <v>500.0</v>
      </c>
      <c r="W170" s="6">
        <v>2025.0</v>
      </c>
      <c r="X170" s="18">
        <v>2190000.0</v>
      </c>
      <c r="Y170" s="18">
        <v>0.0</v>
      </c>
      <c r="Z170" s="18">
        <f t="shared" si="13"/>
        <v>2190000</v>
      </c>
      <c r="AA170" s="6">
        <v>2025.0</v>
      </c>
      <c r="AB170" s="6">
        <v>2025.0</v>
      </c>
      <c r="AC170" s="18">
        <v>0.0</v>
      </c>
      <c r="AD170" s="12">
        <v>67.0</v>
      </c>
      <c r="AE170" s="6" t="s">
        <v>115</v>
      </c>
      <c r="AF170" s="6">
        <v>33.99036746</v>
      </c>
      <c r="AG170" s="6">
        <v>-118.41963894</v>
      </c>
      <c r="AH170" s="6" t="s">
        <v>1392</v>
      </c>
      <c r="AJ170" s="16">
        <f t="array" ref="AJ170">_xlfn.XLOOKUP(
  A170,
  'CMFA-CSCDA Grants'!A:A,
'CMFA-CSCDA Grants'!O:O)</f>
        <v>73</v>
      </c>
      <c r="AK170" s="16">
        <f t="array" ref="AK170">_xlfn.XLOOKUP(
  A170,
  'CMFA-CSCDA Grants'!A:A,
'CMFA-CSCDA Grants'!P:P)</f>
        <v>72</v>
      </c>
      <c r="AL170" s="8">
        <f t="array" ref="AL170">_xlfn.XLOOKUP(
  AD170,
  'Tax Rates'!A:A,
'Tax Rates'!B:B)</f>
        <v>0.0118738</v>
      </c>
    </row>
    <row r="171">
      <c r="A171" s="12">
        <v>102.0</v>
      </c>
      <c r="B171" s="6" t="str">
        <f t="array" ref="B171">_xlfn.XLOOKUP(
  A171,
  'CMFA-CSCDA Grants'!A:A,
'CMFA-CSCDA Grants'!E:E)</f>
        <v>Los Angeles</v>
      </c>
      <c r="C171" s="6" t="str">
        <f t="array" ref="C171">_xlfn.XLOOKUP(
  A171,
  'CMFA-CSCDA Grants'!A:A,
'CMFA-CSCDA Grants'!B:B)</f>
        <v>Passo Stoner Apartments</v>
      </c>
      <c r="D171" s="12">
        <v>4.262016011E9</v>
      </c>
      <c r="F171" s="6" t="b">
        <v>0</v>
      </c>
      <c r="G171" s="6" t="s">
        <v>1395</v>
      </c>
      <c r="H171" s="6" t="s">
        <v>1396</v>
      </c>
      <c r="I171" s="6" t="s">
        <v>105</v>
      </c>
      <c r="J171" s="6" t="s">
        <v>1397</v>
      </c>
      <c r="K171" s="6" t="s">
        <v>1398</v>
      </c>
      <c r="L171" s="6" t="s">
        <v>1399</v>
      </c>
      <c r="N171" s="6" t="s">
        <v>109</v>
      </c>
      <c r="O171" s="6" t="s">
        <v>1377</v>
      </c>
      <c r="P171" s="6" t="s">
        <v>112</v>
      </c>
      <c r="Q171" s="6">
        <v>300.0</v>
      </c>
      <c r="R171" s="6">
        <v>1927.0</v>
      </c>
      <c r="S171" s="6">
        <v>1.0</v>
      </c>
      <c r="T171" s="6">
        <v>0.0</v>
      </c>
      <c r="U171" s="6">
        <v>0.0</v>
      </c>
      <c r="V171" s="6">
        <v>987.0</v>
      </c>
      <c r="W171" s="6">
        <v>2025.0</v>
      </c>
      <c r="X171" s="18">
        <v>1745000.0</v>
      </c>
      <c r="Y171" s="18">
        <v>100000.0</v>
      </c>
      <c r="Z171" s="18">
        <f t="shared" si="13"/>
        <v>1845000</v>
      </c>
      <c r="AA171" s="6">
        <v>2025.0</v>
      </c>
      <c r="AB171" s="6">
        <v>2025.0</v>
      </c>
      <c r="AC171" s="18">
        <v>0.0</v>
      </c>
      <c r="AD171" s="12">
        <v>67.0</v>
      </c>
      <c r="AE171" s="6" t="s">
        <v>115</v>
      </c>
      <c r="AF171" s="6">
        <v>34.0394714</v>
      </c>
      <c r="AG171" s="6">
        <v>-118.45421535</v>
      </c>
      <c r="AH171" s="6" t="s">
        <v>1400</v>
      </c>
      <c r="AJ171" s="16">
        <f t="array" ref="AJ171">_xlfn.XLOOKUP(
  A171,
  'CMFA-CSCDA Grants'!A:A,
'CMFA-CSCDA Grants'!O:O)</f>
        <v>53</v>
      </c>
      <c r="AK171" s="16">
        <f t="array" ref="AK171">_xlfn.XLOOKUP(
  A171,
  'CMFA-CSCDA Grants'!A:A,
'CMFA-CSCDA Grants'!P:P)</f>
        <v>52</v>
      </c>
      <c r="AL171" s="8">
        <f t="array" ref="AL171">_xlfn.XLOOKUP(
  AD171,
  'Tax Rates'!A:A,
'Tax Rates'!B:B)</f>
        <v>0.0118738</v>
      </c>
    </row>
    <row r="172">
      <c r="A172" s="12">
        <v>103.0</v>
      </c>
      <c r="B172" s="6" t="str">
        <f t="array" ref="B172">_xlfn.XLOOKUP(
  A172,
  'CMFA-CSCDA Grants'!A:A,
'CMFA-CSCDA Grants'!E:E)</f>
        <v>Los Angeles</v>
      </c>
      <c r="C172" s="6" t="str">
        <f t="array" ref="C172">_xlfn.XLOOKUP(
  A172,
  'CMFA-CSCDA Grants'!A:A,
'CMFA-CSCDA Grants'!B:B)</f>
        <v>4th Street Apartments</v>
      </c>
      <c r="D172" s="12">
        <v>5.18301203E9</v>
      </c>
      <c r="F172" s="6" t="b">
        <v>0</v>
      </c>
      <c r="G172" s="6" t="s">
        <v>1404</v>
      </c>
      <c r="H172" s="6" t="s">
        <v>1405</v>
      </c>
      <c r="I172" s="6" t="s">
        <v>105</v>
      </c>
      <c r="J172" s="6" t="s">
        <v>1406</v>
      </c>
      <c r="K172" s="6" t="s">
        <v>1407</v>
      </c>
      <c r="L172" s="6" t="s">
        <v>1408</v>
      </c>
      <c r="N172" s="6" t="s">
        <v>109</v>
      </c>
      <c r="O172" s="6" t="s">
        <v>110</v>
      </c>
      <c r="P172" s="6" t="s">
        <v>112</v>
      </c>
      <c r="Q172" s="6">
        <v>500.0</v>
      </c>
      <c r="R172" s="6">
        <v>1912.0</v>
      </c>
      <c r="S172" s="6">
        <v>24.0</v>
      </c>
      <c r="T172" s="6">
        <v>24.0</v>
      </c>
      <c r="U172" s="6">
        <v>24.0</v>
      </c>
      <c r="V172" s="6">
        <v>11556.0</v>
      </c>
      <c r="W172" s="6">
        <v>2025.0</v>
      </c>
      <c r="X172" s="18">
        <v>2772309.0</v>
      </c>
      <c r="Y172" s="18">
        <v>1393721.0</v>
      </c>
      <c r="Z172" s="18">
        <f t="shared" si="13"/>
        <v>4166030</v>
      </c>
      <c r="AA172" s="6">
        <v>2023.0</v>
      </c>
      <c r="AB172" s="6">
        <v>2023.0</v>
      </c>
      <c r="AC172" s="18">
        <v>0.0</v>
      </c>
      <c r="AD172" s="12">
        <v>4.0</v>
      </c>
      <c r="AE172" s="6" t="s">
        <v>115</v>
      </c>
      <c r="AF172" s="6">
        <v>34.04272247</v>
      </c>
      <c r="AG172" s="6">
        <v>-118.21570786</v>
      </c>
      <c r="AH172" s="6" t="s">
        <v>1409</v>
      </c>
      <c r="AJ172" s="16">
        <f t="array" ref="AJ172">_xlfn.XLOOKUP(
  A172,
  'CMFA-CSCDA Grants'!A:A,
'CMFA-CSCDA Grants'!O:O)</f>
        <v>25</v>
      </c>
      <c r="AK172" s="16">
        <f t="array" ref="AK172">_xlfn.XLOOKUP(
  A172,
  'CMFA-CSCDA Grants'!A:A,
'CMFA-CSCDA Grants'!P:P)</f>
        <v>25</v>
      </c>
      <c r="AL172" s="8">
        <f t="array" ref="AL172">_xlfn.XLOOKUP(
  AD172,
  'Tax Rates'!A:A,
'Tax Rates'!B:B)</f>
        <v>0.0118738</v>
      </c>
    </row>
    <row r="173">
      <c r="A173" s="12">
        <v>104.0</v>
      </c>
      <c r="B173" s="6" t="str">
        <f t="array" ref="B173">_xlfn.XLOOKUP(
  A173,
  'CMFA-CSCDA Grants'!A:A,
'CMFA-CSCDA Grants'!E:E)</f>
        <v>Los Angeles</v>
      </c>
      <c r="C173" s="6" t="str">
        <f t="array" ref="C173">_xlfn.XLOOKUP(
  A173,
  'CMFA-CSCDA Grants'!A:A,
'CMFA-CSCDA Grants'!B:B)</f>
        <v>Alexandria I Apartments</v>
      </c>
      <c r="D173" s="12">
        <v>5.518008009E9</v>
      </c>
      <c r="F173" s="6" t="b">
        <v>0</v>
      </c>
      <c r="G173" s="6" t="s">
        <v>1411</v>
      </c>
      <c r="H173" s="6" t="s">
        <v>1412</v>
      </c>
      <c r="I173" s="6" t="s">
        <v>105</v>
      </c>
      <c r="J173" s="6" t="s">
        <v>1413</v>
      </c>
      <c r="K173" s="6" t="s">
        <v>1414</v>
      </c>
      <c r="L173" s="6" t="s">
        <v>1415</v>
      </c>
      <c r="N173" s="6" t="s">
        <v>109</v>
      </c>
      <c r="O173" s="6" t="s">
        <v>110</v>
      </c>
      <c r="P173" s="6" t="s">
        <v>112</v>
      </c>
      <c r="Q173" s="6">
        <v>500.0</v>
      </c>
      <c r="R173" s="6">
        <v>1925.0</v>
      </c>
      <c r="S173" s="6">
        <v>27.0</v>
      </c>
      <c r="T173" s="6">
        <v>6.0</v>
      </c>
      <c r="U173" s="6">
        <v>27.0</v>
      </c>
      <c r="V173" s="6">
        <v>15789.0</v>
      </c>
      <c r="W173" s="6">
        <v>2025.0</v>
      </c>
      <c r="X173" s="18">
        <v>3183624.0</v>
      </c>
      <c r="Y173" s="18">
        <v>1273449.0</v>
      </c>
      <c r="Z173" s="18">
        <f t="shared" si="13"/>
        <v>4457073</v>
      </c>
      <c r="AA173" s="6">
        <v>2022.0</v>
      </c>
      <c r="AB173" s="6">
        <v>2022.0</v>
      </c>
      <c r="AC173" s="18">
        <v>0.0</v>
      </c>
      <c r="AD173" s="12">
        <v>8830.0</v>
      </c>
      <c r="AE173" s="6" t="s">
        <v>115</v>
      </c>
      <c r="AF173" s="6">
        <v>34.06978684</v>
      </c>
      <c r="AG173" s="6">
        <v>-118.29825809</v>
      </c>
      <c r="AH173" s="6" t="s">
        <v>1420</v>
      </c>
      <c r="AJ173" s="16">
        <f t="array" ref="AJ173">_xlfn.XLOOKUP(
  A173,
  'CMFA-CSCDA Grants'!A:A,
'CMFA-CSCDA Grants'!O:O)</f>
        <v>27</v>
      </c>
      <c r="AK173" s="16">
        <f t="array" ref="AK173">_xlfn.XLOOKUP(
  A173,
  'CMFA-CSCDA Grants'!A:A,
'CMFA-CSCDA Grants'!P:P)</f>
        <v>27</v>
      </c>
      <c r="AL173" s="8">
        <f t="array" ref="AL173">_xlfn.XLOOKUP(
  AD173,
  'Tax Rates'!A:A,
'Tax Rates'!B:B)</f>
        <v>0.0118738</v>
      </c>
    </row>
    <row r="174">
      <c r="A174" s="12">
        <v>105.0</v>
      </c>
      <c r="B174" s="6" t="str">
        <f t="array" ref="B174">_xlfn.XLOOKUP(
  A174,
  'CMFA-CSCDA Grants'!A:A,
'CMFA-CSCDA Grants'!E:E)</f>
        <v>Los Angeles</v>
      </c>
      <c r="C174" s="6" t="str">
        <f t="array" ref="C174">_xlfn.XLOOKUP(
  A174,
  'CMFA-CSCDA Grants'!A:A,
'CMFA-CSCDA Grants'!B:B)</f>
        <v>Ashby Apartments</v>
      </c>
      <c r="D174" s="12">
        <v>5.093017031E9</v>
      </c>
      <c r="F174" s="6" t="b">
        <v>0</v>
      </c>
      <c r="G174" s="6" t="s">
        <v>1427</v>
      </c>
      <c r="H174" s="6" t="s">
        <v>1428</v>
      </c>
      <c r="I174" s="6" t="s">
        <v>105</v>
      </c>
      <c r="J174" s="6" t="s">
        <v>1429</v>
      </c>
      <c r="K174" s="6" t="s">
        <v>1430</v>
      </c>
      <c r="L174" s="6" t="s">
        <v>1431</v>
      </c>
      <c r="N174" s="6" t="s">
        <v>109</v>
      </c>
      <c r="O174" s="6" t="s">
        <v>110</v>
      </c>
      <c r="P174" s="6" t="s">
        <v>112</v>
      </c>
      <c r="Q174" s="6" t="s">
        <v>1432</v>
      </c>
      <c r="R174" s="6">
        <v>1930.0</v>
      </c>
      <c r="S174" s="6">
        <v>49.0</v>
      </c>
      <c r="T174" s="6">
        <v>10.0</v>
      </c>
      <c r="U174" s="6">
        <v>49.0</v>
      </c>
      <c r="V174" s="6">
        <v>36925.0</v>
      </c>
      <c r="W174" s="6">
        <v>2025.0</v>
      </c>
      <c r="X174" s="18">
        <v>4784000.0</v>
      </c>
      <c r="Y174" s="18">
        <v>3200000.0</v>
      </c>
      <c r="Z174" s="18">
        <f t="shared" si="13"/>
        <v>7984000</v>
      </c>
      <c r="AA174" s="6">
        <v>2021.0</v>
      </c>
      <c r="AB174" s="6">
        <v>2021.0</v>
      </c>
      <c r="AC174" s="18">
        <v>0.0</v>
      </c>
      <c r="AD174" s="12">
        <v>6657.0</v>
      </c>
      <c r="AE174" s="6" t="s">
        <v>115</v>
      </c>
      <c r="AF174" s="6">
        <v>34.05741521</v>
      </c>
      <c r="AG174" s="6">
        <v>-118.30495473</v>
      </c>
      <c r="AH174" s="6" t="s">
        <v>1433</v>
      </c>
      <c r="AJ174" s="16">
        <f t="array" ref="AJ174">_xlfn.XLOOKUP(
  A174,
  'CMFA-CSCDA Grants'!A:A,
'CMFA-CSCDA Grants'!O:O)</f>
        <v>49</v>
      </c>
      <c r="AK174" s="16">
        <f t="array" ref="AK174">_xlfn.XLOOKUP(
  A174,
  'CMFA-CSCDA Grants'!A:A,
'CMFA-CSCDA Grants'!P:P)</f>
        <v>49</v>
      </c>
      <c r="AL174" s="8">
        <f t="array" ref="AL174">_xlfn.XLOOKUP(
  AD174,
  'Tax Rates'!A:A,
'Tax Rates'!B:B)</f>
        <v>0.0118738</v>
      </c>
    </row>
    <row r="175">
      <c r="A175" s="12">
        <v>106.0</v>
      </c>
      <c r="B175" s="6" t="str">
        <f t="array" ref="B175">_xlfn.XLOOKUP(
  A175,
  'CMFA-CSCDA Grants'!A:A,
'CMFA-CSCDA Grants'!E:E)</f>
        <v>Los Angeles</v>
      </c>
      <c r="C175" s="6" t="str">
        <f t="array" ref="C175">_xlfn.XLOOKUP(
  A175,
  'CMFA-CSCDA Grants'!A:A,
'CMFA-CSCDA Grants'!B:B)</f>
        <v>Catalina Apartments</v>
      </c>
      <c r="D175" s="12">
        <v>5.502011009E9</v>
      </c>
      <c r="F175" s="6" t="b">
        <v>0</v>
      </c>
      <c r="G175" s="6" t="s">
        <v>1435</v>
      </c>
      <c r="H175" s="6" t="s">
        <v>1436</v>
      </c>
      <c r="I175" s="6" t="s">
        <v>105</v>
      </c>
      <c r="J175" s="6" t="s">
        <v>1437</v>
      </c>
      <c r="K175" s="6" t="s">
        <v>1438</v>
      </c>
      <c r="L175" s="6" t="s">
        <v>1439</v>
      </c>
      <c r="N175" s="6" t="s">
        <v>109</v>
      </c>
      <c r="O175" s="6" t="s">
        <v>110</v>
      </c>
      <c r="P175" s="6" t="s">
        <v>112</v>
      </c>
      <c r="Q175" s="6">
        <v>500.0</v>
      </c>
      <c r="R175" s="6">
        <v>1928.0</v>
      </c>
      <c r="S175" s="6">
        <v>48.0</v>
      </c>
      <c r="T175" s="6">
        <v>8.0</v>
      </c>
      <c r="U175" s="6">
        <v>48.0</v>
      </c>
      <c r="V175" s="6">
        <v>26160.0</v>
      </c>
      <c r="W175" s="6">
        <v>2025.0</v>
      </c>
      <c r="X175" s="18">
        <v>5243616.0</v>
      </c>
      <c r="Y175" s="18">
        <v>2247264.0</v>
      </c>
      <c r="Z175" s="18">
        <f t="shared" si="13"/>
        <v>7490880</v>
      </c>
      <c r="AA175" s="6">
        <v>2023.0</v>
      </c>
      <c r="AB175" s="6">
        <v>2023.0</v>
      </c>
      <c r="AC175" s="18">
        <v>0.0</v>
      </c>
      <c r="AD175" s="12">
        <v>67.0</v>
      </c>
      <c r="AE175" s="6" t="s">
        <v>115</v>
      </c>
      <c r="AF175" s="6">
        <v>34.06576573</v>
      </c>
      <c r="AG175" s="6">
        <v>-118.29502955</v>
      </c>
      <c r="AH175" s="6" t="s">
        <v>1440</v>
      </c>
      <c r="AJ175" s="16">
        <f t="array" ref="AJ175">_xlfn.XLOOKUP(
  A175,
  'CMFA-CSCDA Grants'!A:A,
'CMFA-CSCDA Grants'!O:O)</f>
        <v>48</v>
      </c>
      <c r="AK175" s="16">
        <f t="array" ref="AK175">_xlfn.XLOOKUP(
  A175,
  'CMFA-CSCDA Grants'!A:A,
'CMFA-CSCDA Grants'!P:P)</f>
        <v>48</v>
      </c>
      <c r="AL175" s="8">
        <f t="array" ref="AL175">_xlfn.XLOOKUP(
  AD175,
  'Tax Rates'!A:A,
'Tax Rates'!B:B)</f>
        <v>0.0118738</v>
      </c>
    </row>
    <row r="176">
      <c r="A176" s="12">
        <v>107.0</v>
      </c>
      <c r="B176" s="6" t="str">
        <f t="array" ref="B176">_xlfn.XLOOKUP(
  A176,
  'CMFA-CSCDA Grants'!A:A,
'CMFA-CSCDA Grants'!E:E)</f>
        <v>Los Angeles</v>
      </c>
      <c r="C176" s="6" t="str">
        <f t="array" ref="C176">_xlfn.XLOOKUP(
  A176,
  'CMFA-CSCDA Grants'!A:A,
'CMFA-CSCDA Grants'!B:B)</f>
        <v>Edgemont Apartments</v>
      </c>
      <c r="D176" s="12">
        <v>5.518013007E9</v>
      </c>
      <c r="F176" s="6" t="b">
        <v>0</v>
      </c>
      <c r="G176" s="6" t="s">
        <v>1445</v>
      </c>
      <c r="H176" s="6" t="s">
        <v>1446</v>
      </c>
      <c r="I176" s="6" t="s">
        <v>105</v>
      </c>
      <c r="J176" s="6" t="s">
        <v>1447</v>
      </c>
      <c r="K176" s="6" t="s">
        <v>1448</v>
      </c>
      <c r="L176" s="6" t="s">
        <v>889</v>
      </c>
      <c r="N176" s="6" t="s">
        <v>109</v>
      </c>
      <c r="O176" s="6" t="s">
        <v>110</v>
      </c>
      <c r="P176" s="6" t="s">
        <v>112</v>
      </c>
      <c r="Q176" s="6">
        <v>500.0</v>
      </c>
      <c r="R176" s="6">
        <v>1930.0</v>
      </c>
      <c r="S176" s="6">
        <v>40.0</v>
      </c>
      <c r="T176" s="6">
        <v>17.0</v>
      </c>
      <c r="U176" s="6">
        <v>43.0</v>
      </c>
      <c r="V176" s="6">
        <v>28769.0</v>
      </c>
      <c r="W176" s="6">
        <v>2025.0</v>
      </c>
      <c r="X176" s="18">
        <v>7282800.0</v>
      </c>
      <c r="Y176" s="18">
        <v>3391704.0</v>
      </c>
      <c r="Z176" s="18">
        <f t="shared" si="13"/>
        <v>10674504</v>
      </c>
      <c r="AA176" s="6">
        <v>2023.0</v>
      </c>
      <c r="AB176" s="6">
        <v>2023.0</v>
      </c>
      <c r="AC176" s="18">
        <v>0.0</v>
      </c>
      <c r="AD176" s="12">
        <v>8830.0</v>
      </c>
      <c r="AE176" s="6" t="s">
        <v>115</v>
      </c>
      <c r="AF176" s="6">
        <v>34.07249877</v>
      </c>
      <c r="AG176" s="6">
        <v>-118.29773261</v>
      </c>
      <c r="AH176" s="6" t="s">
        <v>1449</v>
      </c>
      <c r="AJ176" s="16">
        <f t="array" ref="AJ176">_xlfn.XLOOKUP(
  A176,
  'CMFA-CSCDA Grants'!A:A,
'CMFA-CSCDA Grants'!O:O)</f>
        <v>43</v>
      </c>
      <c r="AK176" s="16">
        <f t="array" ref="AK176">_xlfn.XLOOKUP(
  A176,
  'CMFA-CSCDA Grants'!A:A,
'CMFA-CSCDA Grants'!P:P)</f>
        <v>43</v>
      </c>
      <c r="AL176" s="8">
        <f t="array" ref="AL176">_xlfn.XLOOKUP(
  AD176,
  'Tax Rates'!A:A,
'Tax Rates'!B:B)</f>
        <v>0.0118738</v>
      </c>
    </row>
    <row r="177">
      <c r="A177" s="12">
        <v>108.0</v>
      </c>
      <c r="B177" s="6" t="str">
        <f t="array" ref="B177">_xlfn.XLOOKUP(
  A177,
  'CMFA-CSCDA Grants'!A:A,
'CMFA-CSCDA Grants'!E:E)</f>
        <v>Los Angeles</v>
      </c>
      <c r="C177" s="6" t="str">
        <f t="array" ref="C177">_xlfn.XLOOKUP(
  A177,
  'CMFA-CSCDA Grants'!A:A,
'CMFA-CSCDA Grants'!B:B)</f>
        <v>Gramercy Apartments</v>
      </c>
      <c r="D177" s="12">
        <v>5.081032007E9</v>
      </c>
      <c r="F177" s="6" t="b">
        <v>0</v>
      </c>
      <c r="G177" s="6" t="s">
        <v>1450</v>
      </c>
      <c r="H177" s="6" t="s">
        <v>1451</v>
      </c>
      <c r="I177" s="6" t="s">
        <v>105</v>
      </c>
      <c r="J177" s="6" t="s">
        <v>1452</v>
      </c>
      <c r="K177" s="6" t="s">
        <v>1453</v>
      </c>
      <c r="L177" s="6" t="s">
        <v>1454</v>
      </c>
      <c r="N177" s="6" t="s">
        <v>109</v>
      </c>
      <c r="O177" s="6" t="s">
        <v>110</v>
      </c>
      <c r="P177" s="6" t="s">
        <v>112</v>
      </c>
      <c r="Q177" s="6">
        <v>500.0</v>
      </c>
      <c r="R177" s="6">
        <v>1928.0</v>
      </c>
      <c r="S177" s="6">
        <v>38.0</v>
      </c>
      <c r="T177" s="6">
        <v>8.0</v>
      </c>
      <c r="U177" s="6">
        <v>38.0</v>
      </c>
      <c r="V177" s="6">
        <v>23063.0</v>
      </c>
      <c r="W177" s="6">
        <v>2025.0</v>
      </c>
      <c r="X177" s="18">
        <v>4244832.0</v>
      </c>
      <c r="Y177" s="18">
        <v>2971382.0</v>
      </c>
      <c r="Z177" s="18">
        <f t="shared" si="13"/>
        <v>7216214</v>
      </c>
      <c r="AA177" s="6">
        <v>2022.0</v>
      </c>
      <c r="AB177" s="6">
        <v>2022.0</v>
      </c>
      <c r="AC177" s="18">
        <v>0.0</v>
      </c>
      <c r="AD177" s="12">
        <v>67.0</v>
      </c>
      <c r="AE177" s="6" t="s">
        <v>115</v>
      </c>
      <c r="AF177" s="6">
        <v>34.05337149</v>
      </c>
      <c r="AG177" s="6">
        <v>-118.31289247</v>
      </c>
      <c r="AH177" s="6" t="s">
        <v>1455</v>
      </c>
      <c r="AJ177" s="16">
        <f t="array" ref="AJ177">_xlfn.XLOOKUP(
  A177,
  'CMFA-CSCDA Grants'!A:A,
'CMFA-CSCDA Grants'!O:O)</f>
        <v>38</v>
      </c>
      <c r="AK177" s="16">
        <f t="array" ref="AK177">_xlfn.XLOOKUP(
  A177,
  'CMFA-CSCDA Grants'!A:A,
'CMFA-CSCDA Grants'!P:P)</f>
        <v>38</v>
      </c>
      <c r="AL177" s="8">
        <f t="array" ref="AL177">_xlfn.XLOOKUP(
  AD177,
  'Tax Rates'!A:A,
'Tax Rates'!B:B)</f>
        <v>0.0118738</v>
      </c>
    </row>
    <row r="178">
      <c r="A178" s="12">
        <v>109.0</v>
      </c>
      <c r="B178" s="6" t="str">
        <f t="array" ref="B178">_xlfn.XLOOKUP(
  A178,
  'CMFA-CSCDA Grants'!A:A,
'CMFA-CSCDA Grants'!E:E)</f>
        <v>Los Angeles</v>
      </c>
      <c r="C178" s="6" t="str">
        <f t="array" ref="C178">_xlfn.XLOOKUP(
  A178,
  'CMFA-CSCDA Grants'!A:A,
'CMFA-CSCDA Grants'!B:B)</f>
        <v>Irolo Apartments</v>
      </c>
      <c r="D178" s="12">
        <v>5.094021028E9</v>
      </c>
      <c r="F178" s="6" t="b">
        <v>0</v>
      </c>
      <c r="G178" s="6" t="s">
        <v>1459</v>
      </c>
      <c r="H178" s="6" t="s">
        <v>1460</v>
      </c>
      <c r="I178" s="6" t="s">
        <v>105</v>
      </c>
      <c r="J178" s="6" t="s">
        <v>1461</v>
      </c>
      <c r="K178" s="6" t="s">
        <v>1462</v>
      </c>
      <c r="L178" s="6" t="s">
        <v>1463</v>
      </c>
      <c r="N178" s="6" t="s">
        <v>109</v>
      </c>
      <c r="O178" s="6" t="s">
        <v>110</v>
      </c>
      <c r="P178" s="6" t="s">
        <v>112</v>
      </c>
      <c r="Q178" s="6">
        <v>500.0</v>
      </c>
      <c r="R178" s="6">
        <v>1927.0</v>
      </c>
      <c r="S178" s="6">
        <v>32.0</v>
      </c>
      <c r="T178" s="6">
        <v>8.0</v>
      </c>
      <c r="U178" s="6">
        <v>32.0</v>
      </c>
      <c r="V178" s="6">
        <v>18400.0</v>
      </c>
      <c r="W178" s="6">
        <v>2025.0</v>
      </c>
      <c r="X178" s="18">
        <v>4874458.0</v>
      </c>
      <c r="Y178" s="18">
        <v>2321170.0</v>
      </c>
      <c r="Z178" s="18">
        <f t="shared" si="13"/>
        <v>7195628</v>
      </c>
      <c r="AA178" s="6">
        <v>2017.0</v>
      </c>
      <c r="AB178" s="6">
        <v>2017.0</v>
      </c>
      <c r="AC178" s="18">
        <v>0.0</v>
      </c>
      <c r="AD178" s="12">
        <v>6657.0</v>
      </c>
      <c r="AE178" s="6" t="s">
        <v>115</v>
      </c>
      <c r="AF178" s="6">
        <v>34.05477834</v>
      </c>
      <c r="AG178" s="6">
        <v>-118.30056061</v>
      </c>
      <c r="AH178" s="6" t="s">
        <v>1464</v>
      </c>
      <c r="AJ178" s="16">
        <f t="array" ref="AJ178">_xlfn.XLOOKUP(
  A178,
  'CMFA-CSCDA Grants'!A:A,
'CMFA-CSCDA Grants'!O:O)</f>
        <v>32</v>
      </c>
      <c r="AK178" s="16">
        <f t="array" ref="AK178">_xlfn.XLOOKUP(
  A178,
  'CMFA-CSCDA Grants'!A:A,
'CMFA-CSCDA Grants'!P:P)</f>
        <v>32</v>
      </c>
      <c r="AL178" s="8">
        <f t="array" ref="AL178">_xlfn.XLOOKUP(
  AD178,
  'Tax Rates'!A:A,
'Tax Rates'!B:B)</f>
        <v>0.0118738</v>
      </c>
    </row>
    <row r="179">
      <c r="A179" s="12">
        <v>110.0</v>
      </c>
      <c r="B179" s="6" t="str">
        <f t="array" ref="B179">_xlfn.XLOOKUP(
  A179,
  'CMFA-CSCDA Grants'!A:A,
'CMFA-CSCDA Grants'!E:E)</f>
        <v>Los Angeles</v>
      </c>
      <c r="C179" s="6" t="str">
        <f t="array" ref="C179">_xlfn.XLOOKUP(
  A179,
  'CMFA-CSCDA Grants'!A:A,
'CMFA-CSCDA Grants'!B:B)</f>
        <v>Kenmore I Apartments</v>
      </c>
      <c r="D179" s="12">
        <v>5.09402303E9</v>
      </c>
      <c r="F179" s="6" t="b">
        <v>0</v>
      </c>
      <c r="G179" s="6" t="s">
        <v>1467</v>
      </c>
      <c r="H179" s="6" t="s">
        <v>1468</v>
      </c>
      <c r="I179" s="6" t="s">
        <v>105</v>
      </c>
      <c r="J179" s="6" t="s">
        <v>1469</v>
      </c>
      <c r="K179" s="6" t="s">
        <v>1470</v>
      </c>
      <c r="L179" s="6" t="s">
        <v>1471</v>
      </c>
      <c r="N179" s="6" t="s">
        <v>109</v>
      </c>
      <c r="O179" s="6" t="s">
        <v>110</v>
      </c>
      <c r="P179" s="6" t="s">
        <v>112</v>
      </c>
      <c r="Q179" s="6">
        <v>500.0</v>
      </c>
      <c r="R179" s="6">
        <v>1923.0</v>
      </c>
      <c r="S179" s="6">
        <v>24.0</v>
      </c>
      <c r="T179" s="6">
        <v>0.0</v>
      </c>
      <c r="U179" s="6">
        <v>24.0</v>
      </c>
      <c r="V179" s="6">
        <v>13800.0</v>
      </c>
      <c r="W179" s="6">
        <v>2025.0</v>
      </c>
      <c r="X179" s="18">
        <v>2881908.0</v>
      </c>
      <c r="Y179" s="18">
        <v>1456560.0</v>
      </c>
      <c r="Z179" s="18">
        <f t="shared" si="13"/>
        <v>4338468</v>
      </c>
      <c r="AA179" s="6">
        <v>2023.0</v>
      </c>
      <c r="AB179" s="6">
        <v>2023.0</v>
      </c>
      <c r="AC179" s="18">
        <v>0.0</v>
      </c>
      <c r="AD179" s="12">
        <v>6657.0</v>
      </c>
      <c r="AE179" s="6" t="s">
        <v>115</v>
      </c>
      <c r="AF179" s="6">
        <v>34.05465623</v>
      </c>
      <c r="AG179" s="6">
        <v>-118.29683122</v>
      </c>
      <c r="AH179" s="6" t="s">
        <v>1472</v>
      </c>
      <c r="AJ179" s="16">
        <f t="array" ref="AJ179">_xlfn.XLOOKUP(
  A179,
  'CMFA-CSCDA Grants'!A:A,
'CMFA-CSCDA Grants'!O:O)</f>
        <v>42</v>
      </c>
      <c r="AK179" s="16">
        <f t="array" ref="AK179">_xlfn.XLOOKUP(
  A179,
  'CMFA-CSCDA Grants'!A:A,
'CMFA-CSCDA Grants'!P:P)</f>
        <v>42</v>
      </c>
      <c r="AL179" s="8">
        <f t="array" ref="AL179">_xlfn.XLOOKUP(
  AD179,
  'Tax Rates'!A:A,
'Tax Rates'!B:B)</f>
        <v>0.0118738</v>
      </c>
    </row>
    <row r="180">
      <c r="A180" s="12">
        <v>111.0</v>
      </c>
      <c r="B180" s="6" t="str">
        <f t="array" ref="B180">_xlfn.XLOOKUP(
  A180,
  'CMFA-CSCDA Grants'!A:A,
'CMFA-CSCDA Grants'!E:E)</f>
        <v>Los Angeles</v>
      </c>
      <c r="C180" s="6" t="str">
        <f t="array" ref="C180">_xlfn.XLOOKUP(
  A180,
  'CMFA-CSCDA Grants'!A:A,
'CMFA-CSCDA Grants'!B:B)</f>
        <v>Manhattan III Apartments</v>
      </c>
      <c r="D180" s="12">
        <v>5.503015016E9</v>
      </c>
      <c r="F180" s="6" t="b">
        <v>0</v>
      </c>
      <c r="G180" s="6" t="s">
        <v>1477</v>
      </c>
      <c r="H180" s="6" t="s">
        <v>1478</v>
      </c>
      <c r="I180" s="6" t="s">
        <v>105</v>
      </c>
      <c r="J180" s="6" t="s">
        <v>1480</v>
      </c>
      <c r="K180" s="6" t="s">
        <v>1481</v>
      </c>
      <c r="L180" s="6" t="s">
        <v>1482</v>
      </c>
      <c r="N180" s="6" t="s">
        <v>109</v>
      </c>
      <c r="O180" s="6" t="s">
        <v>110</v>
      </c>
      <c r="P180" s="6" t="s">
        <v>112</v>
      </c>
      <c r="Q180" s="6">
        <v>500.0</v>
      </c>
      <c r="R180" s="6">
        <v>1928.0</v>
      </c>
      <c r="S180" s="6">
        <v>40.0</v>
      </c>
      <c r="T180" s="6">
        <v>0.0</v>
      </c>
      <c r="U180" s="6">
        <v>41.0</v>
      </c>
      <c r="V180" s="6">
        <v>24120.0</v>
      </c>
      <c r="W180" s="6">
        <v>2025.0</v>
      </c>
      <c r="X180" s="18">
        <v>4828496.0</v>
      </c>
      <c r="Y180" s="18">
        <v>2069355.0</v>
      </c>
      <c r="Z180" s="18">
        <f t="shared" si="13"/>
        <v>6897851</v>
      </c>
      <c r="AA180" s="6">
        <v>2022.0</v>
      </c>
      <c r="AB180" s="6">
        <v>2022.0</v>
      </c>
      <c r="AC180" s="18">
        <v>0.0</v>
      </c>
      <c r="AD180" s="12">
        <v>6657.0</v>
      </c>
      <c r="AE180" s="6" t="s">
        <v>115</v>
      </c>
      <c r="AF180" s="6">
        <v>34.06631529</v>
      </c>
      <c r="AG180" s="6">
        <v>-118.3099889</v>
      </c>
      <c r="AH180" s="6" t="s">
        <v>1485</v>
      </c>
      <c r="AJ180" s="16">
        <f t="array" ref="AJ180">_xlfn.XLOOKUP(
  A180,
  'CMFA-CSCDA Grants'!A:A,
'CMFA-CSCDA Grants'!O:O)</f>
        <v>40</v>
      </c>
      <c r="AK180" s="16">
        <f t="array" ref="AK180">_xlfn.XLOOKUP(
  A180,
  'CMFA-CSCDA Grants'!A:A,
'CMFA-CSCDA Grants'!P:P)</f>
        <v>40</v>
      </c>
      <c r="AL180" s="8">
        <f t="array" ref="AL180">_xlfn.XLOOKUP(
  AD180,
  'Tax Rates'!A:A,
'Tax Rates'!B:B)</f>
        <v>0.0118738</v>
      </c>
    </row>
    <row r="181">
      <c r="A181" s="12">
        <v>112.0</v>
      </c>
      <c r="B181" s="6" t="str">
        <f t="array" ref="B181">_xlfn.XLOOKUP(
  A181,
  'CMFA-CSCDA Grants'!A:A,
'CMFA-CSCDA Grants'!E:E)</f>
        <v>Los Angeles</v>
      </c>
      <c r="C181" s="6" t="str">
        <f t="array" ref="C181">_xlfn.XLOOKUP(
  A181,
  'CMFA-CSCDA Grants'!A:A,
'CMFA-CSCDA Grants'!B:B)</f>
        <v>Mariposa II Apartments</v>
      </c>
      <c r="D181" s="12">
        <v>5.518008014E9</v>
      </c>
      <c r="F181" s="6" t="b">
        <v>0</v>
      </c>
      <c r="G181" s="6" t="s">
        <v>1498</v>
      </c>
      <c r="H181" s="6" t="s">
        <v>1499</v>
      </c>
      <c r="I181" s="6" t="s">
        <v>105</v>
      </c>
      <c r="J181" s="6" t="s">
        <v>1500</v>
      </c>
      <c r="K181" s="6" t="s">
        <v>1501</v>
      </c>
      <c r="L181" s="6" t="s">
        <v>1502</v>
      </c>
      <c r="N181" s="6" t="s">
        <v>109</v>
      </c>
      <c r="O181" s="6" t="s">
        <v>110</v>
      </c>
      <c r="P181" s="6" t="s">
        <v>112</v>
      </c>
      <c r="Q181" s="6">
        <v>500.0</v>
      </c>
      <c r="R181" s="6">
        <v>1927.0</v>
      </c>
      <c r="S181" s="6">
        <v>40.0</v>
      </c>
      <c r="T181" s="6">
        <v>18.0</v>
      </c>
      <c r="U181" s="6">
        <v>40.0</v>
      </c>
      <c r="V181" s="6">
        <v>21640.0</v>
      </c>
      <c r="W181" s="6">
        <v>2025.0</v>
      </c>
      <c r="X181" s="18">
        <v>5412160.0</v>
      </c>
      <c r="Y181" s="18">
        <v>2976688.0</v>
      </c>
      <c r="Z181" s="18">
        <f t="shared" si="13"/>
        <v>8388848</v>
      </c>
      <c r="AA181" s="6">
        <v>2021.0</v>
      </c>
      <c r="AB181" s="6">
        <v>2021.0</v>
      </c>
      <c r="AC181" s="18">
        <v>0.0</v>
      </c>
      <c r="AD181" s="12">
        <v>8830.0</v>
      </c>
      <c r="AE181" s="6" t="s">
        <v>115</v>
      </c>
      <c r="AF181" s="6">
        <v>34.06944146</v>
      </c>
      <c r="AG181" s="6">
        <v>-118.2987431</v>
      </c>
      <c r="AH181" s="6" t="s">
        <v>1506</v>
      </c>
      <c r="AJ181" s="16">
        <f t="array" ref="AJ181">_xlfn.XLOOKUP(
  A181,
  'CMFA-CSCDA Grants'!A:A,
'CMFA-CSCDA Grants'!O:O)</f>
        <v>40</v>
      </c>
      <c r="AK181" s="16">
        <f t="array" ref="AK181">_xlfn.XLOOKUP(
  A181,
  'CMFA-CSCDA Grants'!A:A,
'CMFA-CSCDA Grants'!P:P)</f>
        <v>40</v>
      </c>
      <c r="AL181" s="8">
        <f t="array" ref="AL181">_xlfn.XLOOKUP(
  AD181,
  'Tax Rates'!A:A,
'Tax Rates'!B:B)</f>
        <v>0.0118738</v>
      </c>
    </row>
    <row r="182">
      <c r="A182" s="12">
        <v>113.0</v>
      </c>
      <c r="B182" s="6" t="str">
        <f t="array" ref="B182">_xlfn.XLOOKUP(
  A182,
  'CMFA-CSCDA Grants'!A:A,
'CMFA-CSCDA Grants'!E:E)</f>
        <v>Los Angeles</v>
      </c>
      <c r="C182" s="6" t="str">
        <f t="array" ref="C182">_xlfn.XLOOKUP(
  A182,
  'CMFA-CSCDA Grants'!A:A,
'CMFA-CSCDA Grants'!B:B)</f>
        <v>Normandie Apartments</v>
      </c>
      <c r="D182" s="12">
        <v>5.094004004E9</v>
      </c>
      <c r="F182" s="6" t="b">
        <v>0</v>
      </c>
      <c r="G182" s="6" t="s">
        <v>1517</v>
      </c>
      <c r="H182" s="6" t="s">
        <v>1518</v>
      </c>
      <c r="I182" s="6" t="s">
        <v>105</v>
      </c>
      <c r="J182" s="6" t="s">
        <v>1520</v>
      </c>
      <c r="K182" s="6" t="s">
        <v>1521</v>
      </c>
      <c r="L182" s="6" t="s">
        <v>1522</v>
      </c>
      <c r="N182" s="6" t="s">
        <v>109</v>
      </c>
      <c r="O182" s="6" t="s">
        <v>110</v>
      </c>
      <c r="P182" s="6" t="s">
        <v>112</v>
      </c>
      <c r="Q182" s="6">
        <v>500.0</v>
      </c>
      <c r="R182" s="6">
        <v>1927.0</v>
      </c>
      <c r="S182" s="6">
        <v>32.0</v>
      </c>
      <c r="T182" s="6">
        <v>8.0</v>
      </c>
      <c r="U182" s="6">
        <v>32.0</v>
      </c>
      <c r="V182" s="6">
        <v>22394.0</v>
      </c>
      <c r="W182" s="6">
        <v>2025.0</v>
      </c>
      <c r="X182" s="18">
        <v>3329280.0</v>
      </c>
      <c r="Y182" s="18">
        <v>1664640.0</v>
      </c>
      <c r="Z182" s="18">
        <f t="shared" si="13"/>
        <v>4993920</v>
      </c>
      <c r="AA182" s="6">
        <v>2023.0</v>
      </c>
      <c r="AB182" s="6">
        <v>2023.0</v>
      </c>
      <c r="AC182" s="18">
        <v>0.0</v>
      </c>
      <c r="AD182" s="12">
        <v>6657.0</v>
      </c>
      <c r="AE182" s="6" t="s">
        <v>115</v>
      </c>
      <c r="AF182" s="6">
        <v>34.05857098</v>
      </c>
      <c r="AG182" s="6">
        <v>-118.30014212</v>
      </c>
      <c r="AH182" s="6" t="s">
        <v>1525</v>
      </c>
      <c r="AJ182" s="16">
        <f t="array" ref="AJ182">_xlfn.XLOOKUP(
  A182,
  'CMFA-CSCDA Grants'!A:A,
'CMFA-CSCDA Grants'!O:O)</f>
        <v>32</v>
      </c>
      <c r="AK182" s="16">
        <f t="array" ref="AK182">_xlfn.XLOOKUP(
  A182,
  'CMFA-CSCDA Grants'!A:A,
'CMFA-CSCDA Grants'!P:P)</f>
        <v>32</v>
      </c>
      <c r="AL182" s="8">
        <f t="array" ref="AL182">_xlfn.XLOOKUP(
  AD182,
  'Tax Rates'!A:A,
'Tax Rates'!B:B)</f>
        <v>0.0118738</v>
      </c>
    </row>
    <row r="183">
      <c r="A183" s="12">
        <v>114.0</v>
      </c>
      <c r="B183" s="6" t="str">
        <f t="array" ref="B183">_xlfn.XLOOKUP(
  A183,
  'CMFA-CSCDA Grants'!A:A,
'CMFA-CSCDA Grants'!E:E)</f>
        <v>Los Angeles</v>
      </c>
      <c r="C183" s="6" t="str">
        <f t="array" ref="C183">_xlfn.XLOOKUP(
  A183,
  'CMFA-CSCDA Grants'!A:A,
'CMFA-CSCDA Grants'!B:B)</f>
        <v>Norton Apartments</v>
      </c>
      <c r="D183" s="12">
        <v>5.081006014E9</v>
      </c>
      <c r="F183" s="6" t="b">
        <v>0</v>
      </c>
      <c r="G183" s="6" t="s">
        <v>1539</v>
      </c>
      <c r="H183" s="6" t="s">
        <v>1541</v>
      </c>
      <c r="I183" s="6" t="s">
        <v>105</v>
      </c>
      <c r="J183" s="6" t="s">
        <v>1542</v>
      </c>
      <c r="K183" s="6" t="s">
        <v>1543</v>
      </c>
      <c r="L183" s="6" t="s">
        <v>1544</v>
      </c>
      <c r="N183" s="6" t="s">
        <v>109</v>
      </c>
      <c r="O183" s="6" t="s">
        <v>110</v>
      </c>
      <c r="P183" s="6" t="s">
        <v>112</v>
      </c>
      <c r="Q183" s="6">
        <v>500.0</v>
      </c>
      <c r="R183" s="6">
        <v>1928.0</v>
      </c>
      <c r="S183" s="6">
        <v>20.0</v>
      </c>
      <c r="T183" s="6">
        <v>2.0</v>
      </c>
      <c r="U183" s="6">
        <v>20.0</v>
      </c>
      <c r="V183" s="6">
        <v>10209.0</v>
      </c>
      <c r="W183" s="6">
        <v>2025.0</v>
      </c>
      <c r="X183" s="18">
        <v>2184840.0</v>
      </c>
      <c r="Y183" s="18">
        <v>936360.0</v>
      </c>
      <c r="Z183" s="18">
        <f t="shared" si="13"/>
        <v>3121200</v>
      </c>
      <c r="AA183" s="6">
        <v>2023.0</v>
      </c>
      <c r="AB183" s="6">
        <v>2023.0</v>
      </c>
      <c r="AC183" s="18">
        <v>0.0</v>
      </c>
      <c r="AD183" s="12">
        <v>67.0</v>
      </c>
      <c r="AE183" s="6" t="s">
        <v>115</v>
      </c>
      <c r="AF183" s="6">
        <v>34.05126573</v>
      </c>
      <c r="AG183" s="6">
        <v>-118.3223903</v>
      </c>
      <c r="AH183" s="6" t="s">
        <v>1552</v>
      </c>
      <c r="AJ183" s="16">
        <f t="array" ref="AJ183">_xlfn.XLOOKUP(
  A183,
  'CMFA-CSCDA Grants'!A:A,
'CMFA-CSCDA Grants'!O:O)</f>
        <v>20</v>
      </c>
      <c r="AK183" s="16">
        <f t="array" ref="AK183">_xlfn.XLOOKUP(
  A183,
  'CMFA-CSCDA Grants'!A:A,
'CMFA-CSCDA Grants'!P:P)</f>
        <v>20</v>
      </c>
      <c r="AL183" s="8">
        <f t="array" ref="AL183">_xlfn.XLOOKUP(
  AD183,
  'Tax Rates'!A:A,
'Tax Rates'!B:B)</f>
        <v>0.0118738</v>
      </c>
    </row>
    <row r="184">
      <c r="A184" s="12">
        <v>115.0</v>
      </c>
      <c r="B184" s="6" t="str">
        <f t="array" ref="B184">_xlfn.XLOOKUP(
  A184,
  'CMFA-CSCDA Grants'!A:A,
'CMFA-CSCDA Grants'!E:E)</f>
        <v>Los Angeles</v>
      </c>
      <c r="C184" s="6" t="str">
        <f t="array" ref="C184">_xlfn.XLOOKUP(
  A184,
  'CMFA-CSCDA Grants'!A:A,
'CMFA-CSCDA Grants'!B:B)</f>
        <v>Oxford I Apartments</v>
      </c>
      <c r="D184" s="12">
        <v>5.080008006E9</v>
      </c>
      <c r="F184" s="6" t="b">
        <v>0</v>
      </c>
      <c r="G184" s="6" t="s">
        <v>1558</v>
      </c>
      <c r="H184" s="6" t="s">
        <v>1559</v>
      </c>
      <c r="I184" s="6" t="s">
        <v>105</v>
      </c>
      <c r="J184" s="6" t="s">
        <v>1560</v>
      </c>
      <c r="K184" s="6" t="s">
        <v>1561</v>
      </c>
      <c r="L184" s="6" t="s">
        <v>1562</v>
      </c>
      <c r="N184" s="6" t="s">
        <v>453</v>
      </c>
      <c r="O184" s="6" t="s">
        <v>110</v>
      </c>
      <c r="P184" s="6" t="s">
        <v>112</v>
      </c>
      <c r="Q184" s="6">
        <v>500.0</v>
      </c>
      <c r="R184" s="6">
        <v>1922.0</v>
      </c>
      <c r="S184" s="6">
        <v>20.0</v>
      </c>
      <c r="T184" s="6">
        <v>0.0</v>
      </c>
      <c r="U184" s="6">
        <v>20.0</v>
      </c>
      <c r="V184" s="6">
        <v>8068.0</v>
      </c>
      <c r="W184" s="6">
        <v>2025.0</v>
      </c>
      <c r="X184" s="18">
        <v>2652090.0</v>
      </c>
      <c r="Y184" s="18">
        <v>768831.0</v>
      </c>
      <c r="Z184" s="18">
        <f t="shared" si="13"/>
        <v>3420921</v>
      </c>
      <c r="AA184" s="6">
        <v>2020.0</v>
      </c>
      <c r="AB184" s="6">
        <v>2020.0</v>
      </c>
      <c r="AC184" s="18">
        <v>0.0</v>
      </c>
      <c r="AD184" s="12">
        <v>6657.0</v>
      </c>
      <c r="AE184" s="6" t="s">
        <v>115</v>
      </c>
      <c r="AF184" s="6">
        <v>34.05339008</v>
      </c>
      <c r="AG184" s="6">
        <v>-118.30777259</v>
      </c>
      <c r="AH184" s="6" t="s">
        <v>1563</v>
      </c>
      <c r="AI184" s="6" t="s">
        <v>473</v>
      </c>
      <c r="AJ184" s="16">
        <f t="array" ref="AJ184">_xlfn.XLOOKUP(
  A184,
  'CMFA-CSCDA Grants'!A:A,
'CMFA-CSCDA Grants'!O:O)</f>
        <v>60</v>
      </c>
      <c r="AK184" s="16">
        <f t="array" ref="AK184">_xlfn.XLOOKUP(
  A184,
  'CMFA-CSCDA Grants'!A:A,
'CMFA-CSCDA Grants'!P:P)</f>
        <v>60</v>
      </c>
      <c r="AL184" s="8">
        <f t="array" ref="AL184">_xlfn.XLOOKUP(
  AD184,
  'Tax Rates'!A:A,
'Tax Rates'!B:B)</f>
        <v>0.0118738</v>
      </c>
    </row>
    <row r="185">
      <c r="A185" s="12">
        <v>115.0</v>
      </c>
      <c r="B185" s="6" t="str">
        <f t="array" ref="B185">_xlfn.XLOOKUP(
  A185,
  'CMFA-CSCDA Grants'!A:A,
'CMFA-CSCDA Grants'!E:E)</f>
        <v>Los Angeles</v>
      </c>
      <c r="C185" s="6" t="str">
        <f t="array" ref="C185">_xlfn.XLOOKUP(
  A185,
  'CMFA-CSCDA Grants'!A:A,
'CMFA-CSCDA Grants'!B:B)</f>
        <v>Oxford I Apartments</v>
      </c>
      <c r="D185" s="12">
        <v>5.080008007E9</v>
      </c>
      <c r="F185" s="6" t="b">
        <v>0</v>
      </c>
      <c r="G185" s="6" t="s">
        <v>1568</v>
      </c>
      <c r="H185" s="6" t="s">
        <v>1569</v>
      </c>
      <c r="I185" s="6" t="s">
        <v>105</v>
      </c>
      <c r="J185" s="6" t="s">
        <v>1570</v>
      </c>
      <c r="K185" s="6" t="s">
        <v>1561</v>
      </c>
      <c r="L185" s="6" t="s">
        <v>1562</v>
      </c>
      <c r="N185" s="6" t="s">
        <v>453</v>
      </c>
      <c r="O185" s="6" t="s">
        <v>110</v>
      </c>
      <c r="P185" s="6" t="s">
        <v>112</v>
      </c>
      <c r="Q185" s="6">
        <v>500.0</v>
      </c>
      <c r="R185" s="6">
        <v>1920.0</v>
      </c>
      <c r="S185" s="6">
        <v>20.0</v>
      </c>
      <c r="T185" s="6">
        <v>0.0</v>
      </c>
      <c r="U185" s="6">
        <v>20.0</v>
      </c>
      <c r="V185" s="6">
        <v>8068.0</v>
      </c>
      <c r="W185" s="6">
        <v>2025.0</v>
      </c>
      <c r="X185" s="18">
        <v>2652090.0</v>
      </c>
      <c r="Y185" s="18">
        <v>883663.0</v>
      </c>
      <c r="Z185" s="18">
        <f t="shared" si="13"/>
        <v>3535753</v>
      </c>
      <c r="AA185" s="6">
        <v>2020.0</v>
      </c>
      <c r="AB185" s="6">
        <v>2020.0</v>
      </c>
      <c r="AC185" s="18">
        <v>0.0</v>
      </c>
      <c r="AD185" s="12">
        <v>6657.0</v>
      </c>
      <c r="AE185" s="6" t="s">
        <v>115</v>
      </c>
      <c r="AF185" s="6">
        <v>34.05324556</v>
      </c>
      <c r="AG185" s="6">
        <v>-118.30777207</v>
      </c>
      <c r="AH185" s="6" t="s">
        <v>1572</v>
      </c>
      <c r="AI185" s="6" t="s">
        <v>473</v>
      </c>
      <c r="AJ185" s="16">
        <f t="array" ref="AJ185">_xlfn.XLOOKUP(
  A185,
  'CMFA-CSCDA Grants'!A:A,
'CMFA-CSCDA Grants'!O:O)</f>
        <v>60</v>
      </c>
      <c r="AK185" s="16">
        <f t="array" ref="AK185">_xlfn.XLOOKUP(
  A185,
  'CMFA-CSCDA Grants'!A:A,
'CMFA-CSCDA Grants'!P:P)</f>
        <v>60</v>
      </c>
      <c r="AL185" s="8">
        <f t="array" ref="AL185">_xlfn.XLOOKUP(
  AD185,
  'Tax Rates'!A:A,
'Tax Rates'!B:B)</f>
        <v>0.0118738</v>
      </c>
    </row>
    <row r="186">
      <c r="A186" s="12">
        <v>115.0</v>
      </c>
      <c r="B186" s="6" t="str">
        <f t="array" ref="B186">_xlfn.XLOOKUP(
  A186,
  'CMFA-CSCDA Grants'!A:A,
'CMFA-CSCDA Grants'!E:E)</f>
        <v>Los Angeles</v>
      </c>
      <c r="C186" s="6" t="str">
        <f t="array" ref="C186">_xlfn.XLOOKUP(
  A186,
  'CMFA-CSCDA Grants'!A:A,
'CMFA-CSCDA Grants'!B:B)</f>
        <v>Oxford I Apartments</v>
      </c>
      <c r="D186" s="12">
        <v>5.080008008E9</v>
      </c>
      <c r="F186" s="6" t="b">
        <v>0</v>
      </c>
      <c r="G186" s="6" t="s">
        <v>1573</v>
      </c>
      <c r="H186" s="6" t="s">
        <v>1574</v>
      </c>
      <c r="I186" s="6" t="s">
        <v>105</v>
      </c>
      <c r="J186" s="6" t="s">
        <v>1575</v>
      </c>
      <c r="K186" s="6" t="s">
        <v>1561</v>
      </c>
      <c r="L186" s="6" t="s">
        <v>1562</v>
      </c>
      <c r="N186" s="6" t="s">
        <v>453</v>
      </c>
      <c r="O186" s="6" t="s">
        <v>110</v>
      </c>
      <c r="P186" s="6" t="s">
        <v>112</v>
      </c>
      <c r="Q186" s="6">
        <v>500.0</v>
      </c>
      <c r="R186" s="6">
        <v>1922.0</v>
      </c>
      <c r="S186" s="6">
        <v>20.0</v>
      </c>
      <c r="T186" s="6">
        <v>0.0</v>
      </c>
      <c r="U186" s="6">
        <v>20.0</v>
      </c>
      <c r="V186" s="6">
        <v>8068.0</v>
      </c>
      <c r="W186" s="6">
        <v>2025.0</v>
      </c>
      <c r="X186" s="18">
        <v>2652090.0</v>
      </c>
      <c r="Y186" s="18">
        <v>884758.0</v>
      </c>
      <c r="Z186" s="18">
        <f t="shared" si="13"/>
        <v>3536848</v>
      </c>
      <c r="AA186" s="6">
        <v>2020.0</v>
      </c>
      <c r="AB186" s="6">
        <v>2020.0</v>
      </c>
      <c r="AC186" s="18">
        <v>0.0</v>
      </c>
      <c r="AD186" s="12">
        <v>6657.0</v>
      </c>
      <c r="AE186" s="6" t="s">
        <v>115</v>
      </c>
      <c r="AF186" s="6">
        <v>34.05310817</v>
      </c>
      <c r="AG186" s="6">
        <v>-118.30777157</v>
      </c>
      <c r="AH186" s="6" t="s">
        <v>1576</v>
      </c>
      <c r="AI186" s="6" t="s">
        <v>473</v>
      </c>
      <c r="AJ186" s="16">
        <f t="array" ref="AJ186">_xlfn.XLOOKUP(
  A186,
  'CMFA-CSCDA Grants'!A:A,
'CMFA-CSCDA Grants'!O:O)</f>
        <v>60</v>
      </c>
      <c r="AK186" s="16">
        <f t="array" ref="AK186">_xlfn.XLOOKUP(
  A186,
  'CMFA-CSCDA Grants'!A:A,
'CMFA-CSCDA Grants'!P:P)</f>
        <v>60</v>
      </c>
      <c r="AL186" s="8">
        <f t="array" ref="AL186">_xlfn.XLOOKUP(
  AD186,
  'Tax Rates'!A:A,
'Tax Rates'!B:B)</f>
        <v>0.0118738</v>
      </c>
    </row>
    <row r="187">
      <c r="A187" s="12">
        <v>116.0</v>
      </c>
      <c r="B187" s="6" t="str">
        <f t="array" ref="B187">_xlfn.XLOOKUP(
  A187,
  'CMFA-CSCDA Grants'!A:A,
'CMFA-CSCDA Grants'!E:E)</f>
        <v>Los Angeles</v>
      </c>
      <c r="C187" s="6" t="str">
        <f t="array" ref="C187">_xlfn.XLOOKUP(
  A187,
  'CMFA-CSCDA Grants'!A:A,
'CMFA-CSCDA Grants'!B:B)</f>
        <v>Oxford III Apartments</v>
      </c>
      <c r="D187" s="12">
        <v>5.080015003E9</v>
      </c>
      <c r="F187" s="6" t="b">
        <v>0</v>
      </c>
      <c r="G187" s="6" t="s">
        <v>1580</v>
      </c>
      <c r="H187" s="6" t="s">
        <v>1581</v>
      </c>
      <c r="I187" s="6" t="s">
        <v>105</v>
      </c>
      <c r="J187" s="6" t="s">
        <v>1582</v>
      </c>
      <c r="K187" s="6" t="s">
        <v>1583</v>
      </c>
      <c r="L187" s="6" t="s">
        <v>1584</v>
      </c>
      <c r="N187" s="6" t="s">
        <v>109</v>
      </c>
      <c r="O187" s="6" t="s">
        <v>110</v>
      </c>
      <c r="P187" s="6" t="s">
        <v>112</v>
      </c>
      <c r="Q187" s="6">
        <v>500.0</v>
      </c>
      <c r="R187" s="6">
        <v>1923.0</v>
      </c>
      <c r="S187" s="6">
        <v>73.0</v>
      </c>
      <c r="T187" s="6">
        <v>0.0</v>
      </c>
      <c r="U187" s="6">
        <v>73.0</v>
      </c>
      <c r="V187" s="6">
        <v>48549.0</v>
      </c>
      <c r="W187" s="6">
        <v>2025.0</v>
      </c>
      <c r="X187" s="18">
        <v>9882605.0</v>
      </c>
      <c r="Y187" s="18">
        <v>4324315.0</v>
      </c>
      <c r="Z187" s="18">
        <f t="shared" si="13"/>
        <v>14206920</v>
      </c>
      <c r="AA187" s="6">
        <v>2021.0</v>
      </c>
      <c r="AB187" s="6">
        <v>2021.0</v>
      </c>
      <c r="AC187" s="18">
        <v>0.0</v>
      </c>
      <c r="AD187" s="12">
        <v>6657.0</v>
      </c>
      <c r="AE187" s="6" t="s">
        <v>115</v>
      </c>
      <c r="AF187" s="6">
        <v>34.05373902</v>
      </c>
      <c r="AG187" s="6">
        <v>-118.30709805</v>
      </c>
      <c r="AH187" s="6" t="s">
        <v>1585</v>
      </c>
      <c r="AJ187" s="16">
        <f t="array" ref="AJ187">_xlfn.XLOOKUP(
  A187,
  'CMFA-CSCDA Grants'!A:A,
'CMFA-CSCDA Grants'!O:O)</f>
        <v>73</v>
      </c>
      <c r="AK187" s="16">
        <f t="array" ref="AK187">_xlfn.XLOOKUP(
  A187,
  'CMFA-CSCDA Grants'!A:A,
'CMFA-CSCDA Grants'!P:P)</f>
        <v>73</v>
      </c>
      <c r="AL187" s="8">
        <f t="array" ref="AL187">_xlfn.XLOOKUP(
  AD187,
  'Tax Rates'!A:A,
'Tax Rates'!B:B)</f>
        <v>0.0118738</v>
      </c>
    </row>
    <row r="188">
      <c r="A188" s="12">
        <v>117.0</v>
      </c>
      <c r="B188" s="6" t="str">
        <f t="array" ref="B188">_xlfn.XLOOKUP(
  A188,
  'CMFA-CSCDA Grants'!A:A,
'CMFA-CSCDA Grants'!E:E)</f>
        <v>Los Angeles</v>
      </c>
      <c r="C188" s="6" t="str">
        <f t="array" ref="C188">_xlfn.XLOOKUP(
  A188,
  'CMFA-CSCDA Grants'!A:A,
'CMFA-CSCDA Grants'!B:B)</f>
        <v>Seven Lions Apartments</v>
      </c>
      <c r="D188" s="12">
        <v>5.51802701E9</v>
      </c>
      <c r="F188" s="6" t="b">
        <v>0</v>
      </c>
      <c r="G188" s="6" t="s">
        <v>1589</v>
      </c>
      <c r="H188" s="6" t="s">
        <v>1590</v>
      </c>
      <c r="I188" s="6" t="s">
        <v>105</v>
      </c>
      <c r="J188" s="6" t="s">
        <v>1592</v>
      </c>
      <c r="K188" s="6" t="s">
        <v>1593</v>
      </c>
      <c r="L188" s="6" t="s">
        <v>1595</v>
      </c>
      <c r="N188" s="6" t="s">
        <v>109</v>
      </c>
      <c r="O188" s="6" t="s">
        <v>110</v>
      </c>
      <c r="P188" s="6" t="s">
        <v>112</v>
      </c>
      <c r="Q188" s="6">
        <v>550.0</v>
      </c>
      <c r="R188" s="6">
        <v>1926.0</v>
      </c>
      <c r="S188" s="6">
        <v>55.0</v>
      </c>
      <c r="T188" s="6">
        <v>20.0</v>
      </c>
      <c r="U188" s="6">
        <v>55.0</v>
      </c>
      <c r="V188" s="6">
        <v>40183.0</v>
      </c>
      <c r="W188" s="6">
        <v>2025.0</v>
      </c>
      <c r="X188" s="18">
        <v>2164864.0</v>
      </c>
      <c r="Y188" s="18">
        <v>9741889.0</v>
      </c>
      <c r="Z188" s="18">
        <f t="shared" si="13"/>
        <v>11906753</v>
      </c>
      <c r="AA188" s="6">
        <v>2021.0</v>
      </c>
      <c r="AB188" s="6">
        <v>2021.0</v>
      </c>
      <c r="AC188" s="18">
        <v>0.0</v>
      </c>
      <c r="AD188" s="12">
        <v>8830.0</v>
      </c>
      <c r="AE188" s="6" t="s">
        <v>115</v>
      </c>
      <c r="AF188" s="6">
        <v>34.07294031</v>
      </c>
      <c r="AG188" s="6">
        <v>-118.29380464</v>
      </c>
      <c r="AH188" s="6" t="s">
        <v>1607</v>
      </c>
      <c r="AJ188" s="16">
        <f t="array" ref="AJ188">_xlfn.XLOOKUP(
  A188,
  'CMFA-CSCDA Grants'!A:A,
'CMFA-CSCDA Grants'!O:O)</f>
        <v>55</v>
      </c>
      <c r="AK188" s="16">
        <f t="array" ref="AK188">_xlfn.XLOOKUP(
  A188,
  'CMFA-CSCDA Grants'!A:A,
'CMFA-CSCDA Grants'!P:P)</f>
        <v>55</v>
      </c>
      <c r="AL188" s="8">
        <f t="array" ref="AL188">_xlfn.XLOOKUP(
  AD188,
  'Tax Rates'!A:A,
'Tax Rates'!B:B)</f>
        <v>0.0118738</v>
      </c>
    </row>
    <row r="189">
      <c r="A189" s="12">
        <v>118.0</v>
      </c>
      <c r="B189" s="6" t="str">
        <f t="array" ref="B189">_xlfn.XLOOKUP(
  A189,
  'CMFA-CSCDA Grants'!A:A,
'CMFA-CSCDA Grants'!E:E)</f>
        <v>Los Angeles</v>
      </c>
      <c r="C189" s="6" t="str">
        <f t="array" ref="C189">_xlfn.XLOOKUP(
  A189,
  'CMFA-CSCDA Grants'!A:A,
'CMFA-CSCDA Grants'!B:B)</f>
        <v>St. Andrews I Apartments</v>
      </c>
      <c r="D189" s="12">
        <v>5.504029006E9</v>
      </c>
      <c r="F189" s="6" t="b">
        <v>0</v>
      </c>
      <c r="G189" s="6" t="s">
        <v>1619</v>
      </c>
      <c r="H189" s="6" t="s">
        <v>1620</v>
      </c>
      <c r="I189" s="6" t="s">
        <v>105</v>
      </c>
      <c r="J189" s="6" t="s">
        <v>1621</v>
      </c>
      <c r="K189" s="6" t="s">
        <v>1622</v>
      </c>
      <c r="L189" s="6" t="s">
        <v>1623</v>
      </c>
      <c r="N189" s="6" t="s">
        <v>109</v>
      </c>
      <c r="O189" s="6" t="s">
        <v>110</v>
      </c>
      <c r="P189" s="6" t="s">
        <v>112</v>
      </c>
      <c r="Q189" s="6">
        <v>501.0</v>
      </c>
      <c r="R189" s="6">
        <v>1957.0</v>
      </c>
      <c r="S189" s="6">
        <v>40.0</v>
      </c>
      <c r="T189" s="6">
        <v>36.0</v>
      </c>
      <c r="U189" s="6">
        <v>47.0</v>
      </c>
      <c r="V189" s="6">
        <v>26031.0</v>
      </c>
      <c r="W189" s="6">
        <v>2025.0</v>
      </c>
      <c r="X189" s="18">
        <v>6494592.0</v>
      </c>
      <c r="Y189" s="18">
        <v>3517904.0</v>
      </c>
      <c r="Z189" s="18">
        <f t="shared" si="13"/>
        <v>10012496</v>
      </c>
      <c r="AA189" s="6">
        <v>2021.0</v>
      </c>
      <c r="AB189" s="6">
        <v>2021.0</v>
      </c>
      <c r="AC189" s="18">
        <v>0.0</v>
      </c>
      <c r="AD189" s="12">
        <v>6657.0</v>
      </c>
      <c r="AE189" s="6" t="s">
        <v>115</v>
      </c>
      <c r="AF189" s="6">
        <v>34.06483036</v>
      </c>
      <c r="AG189" s="6">
        <v>-118.31195492</v>
      </c>
      <c r="AH189" s="6" t="s">
        <v>1628</v>
      </c>
      <c r="AJ189" s="16">
        <f t="array" ref="AJ189">_xlfn.XLOOKUP(
  A189,
  'CMFA-CSCDA Grants'!A:A,
'CMFA-CSCDA Grants'!O:O)</f>
        <v>40</v>
      </c>
      <c r="AK189" s="16">
        <f t="array" ref="AK189">_xlfn.XLOOKUP(
  A189,
  'CMFA-CSCDA Grants'!A:A,
'CMFA-CSCDA Grants'!P:P)</f>
        <v>40</v>
      </c>
      <c r="AL189" s="8">
        <f t="array" ref="AL189">_xlfn.XLOOKUP(
  AD189,
  'Tax Rates'!A:A,
'Tax Rates'!B:B)</f>
        <v>0.0118738</v>
      </c>
    </row>
    <row r="190">
      <c r="A190" s="12">
        <v>119.0</v>
      </c>
      <c r="B190" s="6" t="str">
        <f t="array" ref="B190">_xlfn.XLOOKUP(
  A190,
  'CMFA-CSCDA Grants'!A:A,
'CMFA-CSCDA Grants'!E:E)</f>
        <v>Los Angeles</v>
      </c>
      <c r="C190" s="6" t="str">
        <f t="array" ref="C190">_xlfn.XLOOKUP(
  A190,
  'CMFA-CSCDA Grants'!A:A,
'CMFA-CSCDA Grants'!B:B)</f>
        <v>St. Andrews II Apartments</v>
      </c>
      <c r="D190" s="12">
        <v>5.503017013E9</v>
      </c>
      <c r="F190" s="6" t="b">
        <v>0</v>
      </c>
      <c r="G190" s="6" t="s">
        <v>1642</v>
      </c>
      <c r="H190" s="6" t="s">
        <v>1644</v>
      </c>
      <c r="I190" s="6" t="s">
        <v>105</v>
      </c>
      <c r="J190" s="6" t="s">
        <v>1646</v>
      </c>
      <c r="K190" s="6" t="s">
        <v>1647</v>
      </c>
      <c r="L190" s="6" t="s">
        <v>1648</v>
      </c>
      <c r="N190" s="6" t="s">
        <v>109</v>
      </c>
      <c r="O190" s="6" t="s">
        <v>110</v>
      </c>
      <c r="P190" s="6" t="s">
        <v>112</v>
      </c>
      <c r="Q190" s="6">
        <v>556.0</v>
      </c>
      <c r="R190" s="6">
        <v>1928.0</v>
      </c>
      <c r="S190" s="6">
        <v>59.0</v>
      </c>
      <c r="T190" s="6">
        <v>59.0</v>
      </c>
      <c r="U190" s="6">
        <v>59.0</v>
      </c>
      <c r="V190" s="6">
        <v>39552.0</v>
      </c>
      <c r="W190" s="6">
        <v>2025.0</v>
      </c>
      <c r="X190" s="18">
        <v>748151.0</v>
      </c>
      <c r="Y190" s="18">
        <v>1.3461423E7</v>
      </c>
      <c r="Z190" s="18">
        <f t="shared" si="13"/>
        <v>14209574</v>
      </c>
      <c r="AA190" s="6">
        <v>2022.0</v>
      </c>
      <c r="AB190" s="6">
        <v>2022.0</v>
      </c>
      <c r="AC190" s="18">
        <v>0.0</v>
      </c>
      <c r="AD190" s="12">
        <v>6657.0</v>
      </c>
      <c r="AE190" s="6" t="s">
        <v>115</v>
      </c>
      <c r="AF190" s="6">
        <v>34.06483047</v>
      </c>
      <c r="AG190" s="6">
        <v>-118.31121175</v>
      </c>
      <c r="AH190" s="6" t="s">
        <v>1652</v>
      </c>
      <c r="AJ190" s="16">
        <f t="array" ref="AJ190">_xlfn.XLOOKUP(
  A190,
  'CMFA-CSCDA Grants'!A:A,
'CMFA-CSCDA Grants'!O:O)</f>
        <v>59</v>
      </c>
      <c r="AK190" s="16">
        <f t="array" ref="AK190">_xlfn.XLOOKUP(
  A190,
  'CMFA-CSCDA Grants'!A:A,
'CMFA-CSCDA Grants'!P:P)</f>
        <v>59</v>
      </c>
      <c r="AL190" s="8">
        <f t="array" ref="AL190">_xlfn.XLOOKUP(
  AD190,
  'Tax Rates'!A:A,
'Tax Rates'!B:B)</f>
        <v>0.0118738</v>
      </c>
    </row>
    <row r="191">
      <c r="A191" s="22">
        <v>120.0</v>
      </c>
      <c r="B191" s="6" t="str">
        <f t="array" ref="B191">_xlfn.XLOOKUP(
  A191,
  'CMFA-CSCDA Grants'!A:A,
'CMFA-CSCDA Grants'!E:E)</f>
        <v>Sacramento</v>
      </c>
      <c r="C191" s="6" t="str">
        <f t="array" ref="C191">_xlfn.XLOOKUP(
  A191,
  'CMFA-CSCDA Grants'!A:A,
'CMFA-CSCDA Grants'!B:B)</f>
        <v>The Falls at Arden Apartments</v>
      </c>
      <c r="D191" s="24" t="s">
        <v>1666</v>
      </c>
      <c r="F191" s="6" t="b">
        <v>0</v>
      </c>
      <c r="G191" s="6" t="s">
        <v>1667</v>
      </c>
      <c r="H191" s="6" t="s">
        <v>1668</v>
      </c>
      <c r="X191" s="18" t="s">
        <v>146</v>
      </c>
      <c r="Y191" s="18" t="s">
        <v>146</v>
      </c>
      <c r="Z191" s="18">
        <v>5.1313873E7</v>
      </c>
      <c r="AC191" s="18">
        <v>0.0</v>
      </c>
      <c r="AD191" s="12" t="s">
        <v>120</v>
      </c>
      <c r="AJ191" s="16">
        <f t="array" ref="AJ191">_xlfn.XLOOKUP(
  A191,
  'CMFA-CSCDA Grants'!A:A,
'CMFA-CSCDA Grants'!O:O)</f>
        <v>272</v>
      </c>
      <c r="AK191" s="16">
        <f t="array" ref="AK191">_xlfn.XLOOKUP(
  A191,
  'CMFA-CSCDA Grants'!A:A,
'CMFA-CSCDA Grants'!P:P)</f>
        <v>272</v>
      </c>
      <c r="AL191" s="10">
        <f t="array" ref="AL191">_xlfn.XLOOKUP(
  AD191,
  'Tax Rates'!A:A,
'Tax Rates'!B:B)</f>
        <v>0.011454</v>
      </c>
    </row>
    <row r="192">
      <c r="A192" s="12">
        <v>121.0</v>
      </c>
      <c r="B192" s="6" t="str">
        <f t="array" ref="B192">_xlfn.XLOOKUP(
  A192,
  'CMFA-CSCDA Grants'!A:A,
'CMFA-CSCDA Grants'!E:E)</f>
        <v>Los Angeles</v>
      </c>
      <c r="C192" s="6" t="str">
        <f t="array" ref="C192">_xlfn.XLOOKUP(
  A192,
  'CMFA-CSCDA Grants'!A:A,
'CMFA-CSCDA Grants'!B:B)</f>
        <v>Alexandria II Apartments</v>
      </c>
      <c r="D192" s="12">
        <v>5.518013024E9</v>
      </c>
      <c r="F192" s="6" t="b">
        <v>0</v>
      </c>
      <c r="G192" s="6" t="s">
        <v>1681</v>
      </c>
      <c r="H192" s="6" t="s">
        <v>1682</v>
      </c>
      <c r="I192" s="6" t="s">
        <v>105</v>
      </c>
      <c r="J192" s="6" t="s">
        <v>1684</v>
      </c>
      <c r="K192" s="6" t="s">
        <v>1685</v>
      </c>
      <c r="L192" s="6" t="s">
        <v>1686</v>
      </c>
      <c r="N192" s="6" t="s">
        <v>109</v>
      </c>
      <c r="O192" s="6" t="s">
        <v>110</v>
      </c>
      <c r="P192" s="6" t="s">
        <v>112</v>
      </c>
      <c r="Q192" s="6">
        <v>500.0</v>
      </c>
      <c r="R192" s="6">
        <v>1990.0</v>
      </c>
      <c r="S192" s="6">
        <v>30.0</v>
      </c>
      <c r="T192" s="6">
        <v>60.0</v>
      </c>
      <c r="U192" s="6">
        <v>60.0</v>
      </c>
      <c r="V192" s="6">
        <v>41181.0</v>
      </c>
      <c r="W192" s="6">
        <v>2025.0</v>
      </c>
      <c r="X192" s="18">
        <v>1.0054945E7</v>
      </c>
      <c r="Y192" s="18">
        <v>3687697.0</v>
      </c>
      <c r="Z192" s="18">
        <f t="shared" ref="Z192:Z205" si="14">SUM(X192:Y192)</f>
        <v>13742642</v>
      </c>
      <c r="AA192" s="6">
        <v>2022.0</v>
      </c>
      <c r="AB192" s="6">
        <v>2022.0</v>
      </c>
      <c r="AC192" s="18">
        <v>0.0</v>
      </c>
      <c r="AD192" s="12">
        <v>8830.0</v>
      </c>
      <c r="AE192" s="6" t="s">
        <v>115</v>
      </c>
      <c r="AF192" s="6">
        <v>34.07169687</v>
      </c>
      <c r="AG192" s="6">
        <v>-118.29809817</v>
      </c>
      <c r="AH192" s="6" t="s">
        <v>1694</v>
      </c>
      <c r="AJ192" s="16">
        <f t="array" ref="AJ192">_xlfn.XLOOKUP(
  A192,
  'CMFA-CSCDA Grants'!A:A,
'CMFA-CSCDA Grants'!O:O)</f>
        <v>30</v>
      </c>
      <c r="AK192" s="16">
        <f t="array" ref="AK192">_xlfn.XLOOKUP(
  A192,
  'CMFA-CSCDA Grants'!A:A,
'CMFA-CSCDA Grants'!P:P)</f>
        <v>30</v>
      </c>
      <c r="AL192" s="8">
        <f t="array" ref="AL192">_xlfn.XLOOKUP(
  AD192,
  'Tax Rates'!A:A,
'Tax Rates'!B:B)</f>
        <v>0.0118738</v>
      </c>
    </row>
    <row r="193">
      <c r="A193" s="12">
        <v>122.0</v>
      </c>
      <c r="B193" s="6" t="str">
        <f t="array" ref="B193">_xlfn.XLOOKUP(
  A193,
  'CMFA-CSCDA Grants'!A:A,
'CMFA-CSCDA Grants'!E:E)</f>
        <v>Los Angeles</v>
      </c>
      <c r="C193" s="6" t="str">
        <f t="array" ref="C193">_xlfn.XLOOKUP(
  A193,
  'CMFA-CSCDA Grants'!A:A,
'CMFA-CSCDA Grants'!B:B)</f>
        <v>Fedora Apartments</v>
      </c>
      <c r="D193" s="12">
        <v>5.09401702E9</v>
      </c>
      <c r="F193" s="6" t="b">
        <v>0</v>
      </c>
      <c r="G193" s="6" t="s">
        <v>1706</v>
      </c>
      <c r="H193" s="6" t="s">
        <v>1707</v>
      </c>
      <c r="I193" s="6" t="s">
        <v>105</v>
      </c>
      <c r="J193" s="6" t="s">
        <v>1708</v>
      </c>
      <c r="K193" s="6" t="s">
        <v>1709</v>
      </c>
      <c r="L193" s="6" t="s">
        <v>1710</v>
      </c>
      <c r="N193" s="6" t="s">
        <v>109</v>
      </c>
      <c r="O193" s="6" t="s">
        <v>110</v>
      </c>
      <c r="P193" s="6" t="s">
        <v>112</v>
      </c>
      <c r="Q193" s="6">
        <v>500.0</v>
      </c>
      <c r="R193" s="6">
        <v>1930.0</v>
      </c>
      <c r="S193" s="6">
        <v>39.0</v>
      </c>
      <c r="T193" s="6">
        <v>3.0</v>
      </c>
      <c r="U193" s="6">
        <v>39.0</v>
      </c>
      <c r="V193" s="6">
        <v>24045.0</v>
      </c>
      <c r="W193" s="6">
        <v>2025.0</v>
      </c>
      <c r="X193" s="18">
        <v>7428456.0</v>
      </c>
      <c r="Y193" s="18">
        <v>2281597.0</v>
      </c>
      <c r="Z193" s="18">
        <f t="shared" si="14"/>
        <v>9710053</v>
      </c>
      <c r="AA193" s="6">
        <v>2022.0</v>
      </c>
      <c r="AB193" s="6">
        <v>2022.0</v>
      </c>
      <c r="AC193" s="18">
        <v>0.0</v>
      </c>
      <c r="AD193" s="12">
        <v>6657.0</v>
      </c>
      <c r="AE193" s="6" t="s">
        <v>115</v>
      </c>
      <c r="AF193" s="6">
        <v>34.05611472</v>
      </c>
      <c r="AG193" s="6">
        <v>-118.29793663</v>
      </c>
      <c r="AH193" s="6" t="s">
        <v>1715</v>
      </c>
      <c r="AJ193" s="16">
        <f t="array" ref="AJ193">_xlfn.XLOOKUP(
  A193,
  'CMFA-CSCDA Grants'!A:A,
'CMFA-CSCDA Grants'!O:O)</f>
        <v>39</v>
      </c>
      <c r="AK193" s="16">
        <f t="array" ref="AK193">_xlfn.XLOOKUP(
  A193,
  'CMFA-CSCDA Grants'!A:A,
'CMFA-CSCDA Grants'!P:P)</f>
        <v>39</v>
      </c>
      <c r="AL193" s="8">
        <f t="array" ref="AL193">_xlfn.XLOOKUP(
  AD193,
  'Tax Rates'!A:A,
'Tax Rates'!B:B)</f>
        <v>0.0118738</v>
      </c>
    </row>
    <row r="194">
      <c r="A194" s="12">
        <v>123.0</v>
      </c>
      <c r="B194" s="6" t="str">
        <f t="array" ref="B194">_xlfn.XLOOKUP(
  A194,
  'CMFA-CSCDA Grants'!A:A,
'CMFA-CSCDA Grants'!E:E)</f>
        <v>Los Angeles</v>
      </c>
      <c r="C194" s="6" t="str">
        <f t="array" ref="C194">_xlfn.XLOOKUP(
  A194,
  'CMFA-CSCDA Grants'!A:A,
'CMFA-CSCDA Grants'!B:B)</f>
        <v>Kenmore II Apartments</v>
      </c>
      <c r="D194" s="12">
        <v>5.518020021E9</v>
      </c>
      <c r="F194" s="6" t="b">
        <v>0</v>
      </c>
      <c r="G194" s="6" t="s">
        <v>1728</v>
      </c>
      <c r="H194" s="6" t="s">
        <v>1729</v>
      </c>
      <c r="I194" s="6" t="s">
        <v>105</v>
      </c>
      <c r="J194" s="6" t="s">
        <v>1730</v>
      </c>
      <c r="K194" s="6" t="s">
        <v>1731</v>
      </c>
      <c r="L194" s="6" t="s">
        <v>857</v>
      </c>
      <c r="N194" s="6" t="s">
        <v>109</v>
      </c>
      <c r="O194" s="6" t="s">
        <v>110</v>
      </c>
      <c r="P194" s="6" t="s">
        <v>112</v>
      </c>
      <c r="Q194" s="6">
        <v>500.0</v>
      </c>
      <c r="R194" s="6">
        <v>1926.0</v>
      </c>
      <c r="S194" s="6">
        <v>48.0</v>
      </c>
      <c r="T194" s="6">
        <v>7.0</v>
      </c>
      <c r="U194" s="6">
        <v>48.0</v>
      </c>
      <c r="V194" s="6">
        <v>22400.0</v>
      </c>
      <c r="W194" s="6">
        <v>2025.0</v>
      </c>
      <c r="X194" s="18">
        <v>6765201.0</v>
      </c>
      <c r="Y194" s="18">
        <v>2435472.0</v>
      </c>
      <c r="Z194" s="18">
        <f t="shared" si="14"/>
        <v>9200673</v>
      </c>
      <c r="AA194" s="6">
        <v>2021.0</v>
      </c>
      <c r="AB194" s="6">
        <v>2021.0</v>
      </c>
      <c r="AC194" s="18">
        <v>0.0</v>
      </c>
      <c r="AD194" s="12">
        <v>8830.0</v>
      </c>
      <c r="AE194" s="6" t="s">
        <v>115</v>
      </c>
      <c r="AF194" s="6">
        <v>34.07114645</v>
      </c>
      <c r="AG194" s="6">
        <v>-118.29626698</v>
      </c>
      <c r="AH194" s="6" t="s">
        <v>1736</v>
      </c>
      <c r="AJ194" s="16">
        <f t="array" ref="AJ194">_xlfn.XLOOKUP(
  A194,
  'CMFA-CSCDA Grants'!A:A,
'CMFA-CSCDA Grants'!O:O)</f>
        <v>48</v>
      </c>
      <c r="AK194" s="16">
        <f t="array" ref="AK194">_xlfn.XLOOKUP(
  A194,
  'CMFA-CSCDA Grants'!A:A,
'CMFA-CSCDA Grants'!P:P)</f>
        <v>48</v>
      </c>
      <c r="AL194" s="8">
        <f t="array" ref="AL194">_xlfn.XLOOKUP(
  AD194,
  'Tax Rates'!A:A,
'Tax Rates'!B:B)</f>
        <v>0.0118738</v>
      </c>
    </row>
    <row r="195">
      <c r="A195" s="12">
        <v>124.0</v>
      </c>
      <c r="B195" s="6" t="str">
        <f t="array" ref="B195">_xlfn.XLOOKUP(
  A195,
  'CMFA-CSCDA Grants'!A:A,
'CMFA-CSCDA Grants'!E:E)</f>
        <v>Los Angeles</v>
      </c>
      <c r="C195" s="6" t="str">
        <f t="array" ref="C195">_xlfn.XLOOKUP(
  A195,
  'CMFA-CSCDA Grants'!A:A,
'CMFA-CSCDA Grants'!B:B)</f>
        <v>Kenmore III Apartments</v>
      </c>
      <c r="D195" s="12">
        <v>5.094023025E9</v>
      </c>
      <c r="F195" s="6" t="b">
        <v>0</v>
      </c>
      <c r="G195" s="6" t="s">
        <v>1751</v>
      </c>
      <c r="H195" s="6" t="s">
        <v>1752</v>
      </c>
      <c r="I195" s="6" t="s">
        <v>105</v>
      </c>
      <c r="J195" s="6" t="s">
        <v>1753</v>
      </c>
      <c r="K195" s="6" t="s">
        <v>1755</v>
      </c>
      <c r="L195" s="6" t="s">
        <v>1757</v>
      </c>
      <c r="N195" s="6" t="s">
        <v>109</v>
      </c>
      <c r="O195" s="6" t="s">
        <v>110</v>
      </c>
      <c r="P195" s="6" t="s">
        <v>112</v>
      </c>
      <c r="Q195" s="6">
        <v>500.0</v>
      </c>
      <c r="R195" s="6">
        <v>1923.0</v>
      </c>
      <c r="S195" s="6">
        <v>18.0</v>
      </c>
      <c r="T195" s="6">
        <v>0.0</v>
      </c>
      <c r="U195" s="6">
        <v>18.0</v>
      </c>
      <c r="V195" s="6">
        <v>7512.0</v>
      </c>
      <c r="W195" s="6">
        <v>2025.0</v>
      </c>
      <c r="X195" s="18">
        <v>2164864.0</v>
      </c>
      <c r="Y195" s="18">
        <v>730641.0</v>
      </c>
      <c r="Z195" s="18">
        <f t="shared" si="14"/>
        <v>2895505</v>
      </c>
      <c r="AA195" s="6">
        <v>2021.0</v>
      </c>
      <c r="AB195" s="6">
        <v>2021.0</v>
      </c>
      <c r="AC195" s="18">
        <v>0.0</v>
      </c>
      <c r="AD195" s="12">
        <v>6657.0</v>
      </c>
      <c r="AE195" s="6" t="s">
        <v>115</v>
      </c>
      <c r="AF195" s="6">
        <v>34.0553459</v>
      </c>
      <c r="AG195" s="6">
        <v>-118.29683318</v>
      </c>
      <c r="AH195" s="6" t="s">
        <v>1758</v>
      </c>
      <c r="AJ195" s="16">
        <f t="array" ref="AJ195">_xlfn.XLOOKUP(
  A195,
  'CMFA-CSCDA Grants'!A:A,
'CMFA-CSCDA Grants'!O:O)</f>
        <v>18</v>
      </c>
      <c r="AK195" s="16">
        <f t="array" ref="AK195">_xlfn.XLOOKUP(
  A195,
  'CMFA-CSCDA Grants'!A:A,
'CMFA-CSCDA Grants'!P:P)</f>
        <v>18</v>
      </c>
      <c r="AL195" s="8">
        <f t="array" ref="AL195">_xlfn.XLOOKUP(
  AD195,
  'Tax Rates'!A:A,
'Tax Rates'!B:B)</f>
        <v>0.0118738</v>
      </c>
    </row>
    <row r="196">
      <c r="A196" s="12">
        <v>125.0</v>
      </c>
      <c r="B196" s="6" t="str">
        <f t="array" ref="B196">_xlfn.XLOOKUP(
  A196,
  'CMFA-CSCDA Grants'!A:A,
'CMFA-CSCDA Grants'!E:E)</f>
        <v>Los Angeles</v>
      </c>
      <c r="C196" s="6" t="str">
        <f t="array" ref="C196">_xlfn.XLOOKUP(
  A196,
  'CMFA-CSCDA Grants'!A:A,
'CMFA-CSCDA Grants'!B:B)</f>
        <v>Kingsley Apartments</v>
      </c>
      <c r="D196" s="12">
        <v>5.503024012E9</v>
      </c>
      <c r="F196" s="6" t="b">
        <v>0</v>
      </c>
      <c r="G196" s="6" t="s">
        <v>1761</v>
      </c>
      <c r="H196" s="6" t="s">
        <v>1762</v>
      </c>
      <c r="I196" s="6" t="s">
        <v>105</v>
      </c>
      <c r="J196" s="6" t="s">
        <v>1763</v>
      </c>
      <c r="K196" s="6" t="s">
        <v>1764</v>
      </c>
      <c r="L196" s="6" t="s">
        <v>1765</v>
      </c>
      <c r="N196" s="6" t="s">
        <v>109</v>
      </c>
      <c r="O196" s="6" t="s">
        <v>110</v>
      </c>
      <c r="P196" s="6" t="s">
        <v>112</v>
      </c>
      <c r="Q196" s="6">
        <v>500.0</v>
      </c>
      <c r="R196" s="6">
        <v>1930.0</v>
      </c>
      <c r="S196" s="6">
        <v>44.0</v>
      </c>
      <c r="T196" s="6">
        <v>9.0</v>
      </c>
      <c r="U196" s="6">
        <v>44.0</v>
      </c>
      <c r="V196" s="6">
        <v>31575.0</v>
      </c>
      <c r="W196" s="6">
        <v>2025.0</v>
      </c>
      <c r="X196" s="18">
        <v>6367248.0</v>
      </c>
      <c r="Y196" s="18">
        <v>4149323.0</v>
      </c>
      <c r="Z196" s="18">
        <f t="shared" si="14"/>
        <v>10516571</v>
      </c>
      <c r="AA196" s="6">
        <v>2022.0</v>
      </c>
      <c r="AB196" s="6">
        <v>2022.0</v>
      </c>
      <c r="AC196" s="18">
        <v>0.0</v>
      </c>
      <c r="AD196" s="12">
        <v>6657.0</v>
      </c>
      <c r="AE196" s="6" t="s">
        <v>115</v>
      </c>
      <c r="AF196" s="6">
        <v>34.06454281</v>
      </c>
      <c r="AG196" s="6">
        <v>-118.30247205</v>
      </c>
      <c r="AH196" s="6" t="s">
        <v>1766</v>
      </c>
      <c r="AJ196" s="16">
        <f t="array" ref="AJ196">_xlfn.XLOOKUP(
  A196,
  'CMFA-CSCDA Grants'!A:A,
'CMFA-CSCDA Grants'!O:O)</f>
        <v>45</v>
      </c>
      <c r="AK196" s="16">
        <f t="array" ref="AK196">_xlfn.XLOOKUP(
  A196,
  'CMFA-CSCDA Grants'!A:A,
'CMFA-CSCDA Grants'!P:P)</f>
        <v>45</v>
      </c>
      <c r="AL196" s="8">
        <f t="array" ref="AL196">_xlfn.XLOOKUP(
  AD196,
  'Tax Rates'!A:A,
'Tax Rates'!B:B)</f>
        <v>0.0118738</v>
      </c>
    </row>
    <row r="197">
      <c r="A197" s="12">
        <v>126.0</v>
      </c>
      <c r="B197" s="6" t="str">
        <f t="array" ref="B197">_xlfn.XLOOKUP(
  A197,
  'CMFA-CSCDA Grants'!A:A,
'CMFA-CSCDA Grants'!E:E)</f>
        <v>Los Angeles</v>
      </c>
      <c r="C197" s="6" t="str">
        <f t="array" ref="C197">_xlfn.XLOOKUP(
  A197,
  'CMFA-CSCDA Grants'!A:A,
'CMFA-CSCDA Grants'!B:B)</f>
        <v>Mariposa I Apartments</v>
      </c>
      <c r="D197" s="12">
        <v>5.094005005E9</v>
      </c>
      <c r="F197" s="6" t="b">
        <v>0</v>
      </c>
      <c r="G197" s="6" t="s">
        <v>1767</v>
      </c>
      <c r="H197" s="6" t="s">
        <v>1768</v>
      </c>
      <c r="I197" s="6" t="s">
        <v>105</v>
      </c>
      <c r="J197" s="6" t="s">
        <v>1770</v>
      </c>
      <c r="K197" s="6" t="s">
        <v>1771</v>
      </c>
      <c r="L197" s="6" t="s">
        <v>1772</v>
      </c>
      <c r="N197" s="6" t="s">
        <v>109</v>
      </c>
      <c r="O197" s="6" t="s">
        <v>110</v>
      </c>
      <c r="P197" s="6" t="s">
        <v>112</v>
      </c>
      <c r="Q197" s="6">
        <v>500.0</v>
      </c>
      <c r="R197" s="6">
        <v>1925.0</v>
      </c>
      <c r="S197" s="6">
        <v>40.0</v>
      </c>
      <c r="T197" s="6">
        <v>12.0</v>
      </c>
      <c r="U197" s="6">
        <v>40.0</v>
      </c>
      <c r="V197" s="6">
        <v>24576.0</v>
      </c>
      <c r="W197" s="6">
        <v>2025.0</v>
      </c>
      <c r="X197" s="18">
        <v>5303917.0</v>
      </c>
      <c r="Y197" s="18">
        <v>1786012.0</v>
      </c>
      <c r="Z197" s="18">
        <f t="shared" si="14"/>
        <v>7089929</v>
      </c>
      <c r="AA197" s="6">
        <v>2021.0</v>
      </c>
      <c r="AB197" s="6">
        <v>2021.0</v>
      </c>
      <c r="AC197" s="18">
        <v>0.0</v>
      </c>
      <c r="AD197" s="12">
        <v>6657.0</v>
      </c>
      <c r="AE197" s="6" t="s">
        <v>115</v>
      </c>
      <c r="AF197" s="6">
        <v>34.05890716</v>
      </c>
      <c r="AG197" s="6">
        <v>-118.2990354</v>
      </c>
      <c r="AH197" s="6" t="s">
        <v>1774</v>
      </c>
      <c r="AJ197" s="16">
        <f t="array" ref="AJ197">_xlfn.XLOOKUP(
  A197,
  'CMFA-CSCDA Grants'!A:A,
'CMFA-CSCDA Grants'!O:O)</f>
        <v>40</v>
      </c>
      <c r="AK197" s="16">
        <f t="array" ref="AK197">_xlfn.XLOOKUP(
  A197,
  'CMFA-CSCDA Grants'!A:A,
'CMFA-CSCDA Grants'!P:P)</f>
        <v>40</v>
      </c>
      <c r="AL197" s="8">
        <f t="array" ref="AL197">_xlfn.XLOOKUP(
  AD197,
  'Tax Rates'!A:A,
'Tax Rates'!B:B)</f>
        <v>0.0118738</v>
      </c>
    </row>
    <row r="198">
      <c r="A198" s="12">
        <v>127.0</v>
      </c>
      <c r="B198" s="6" t="str">
        <f t="array" ref="B198">_xlfn.XLOOKUP(
  A198,
  'CMFA-CSCDA Grants'!A:A,
'CMFA-CSCDA Grants'!E:E)</f>
        <v>Los Angeles</v>
      </c>
      <c r="C198" s="6" t="str">
        <f t="array" ref="C198">_xlfn.XLOOKUP(
  A198,
  'CMFA-CSCDA Grants'!A:A,
'CMFA-CSCDA Grants'!B:B)</f>
        <v>Mariposa III Apartments</v>
      </c>
      <c r="D198" s="12">
        <v>5.094006003E9</v>
      </c>
      <c r="F198" s="6" t="b">
        <v>0</v>
      </c>
      <c r="G198" s="6" t="s">
        <v>1775</v>
      </c>
      <c r="H198" s="6" t="s">
        <v>1776</v>
      </c>
      <c r="I198" s="6" t="s">
        <v>105</v>
      </c>
      <c r="J198" s="6" t="s">
        <v>1777</v>
      </c>
      <c r="K198" s="6" t="s">
        <v>1778</v>
      </c>
      <c r="L198" s="6" t="s">
        <v>1779</v>
      </c>
      <c r="N198" s="6" t="s">
        <v>109</v>
      </c>
      <c r="O198" s="6" t="s">
        <v>110</v>
      </c>
      <c r="P198" s="6" t="s">
        <v>112</v>
      </c>
      <c r="Q198" s="6">
        <v>500.0</v>
      </c>
      <c r="R198" s="6">
        <v>1925.0</v>
      </c>
      <c r="S198" s="6">
        <v>23.0</v>
      </c>
      <c r="T198" s="6">
        <v>40.0</v>
      </c>
      <c r="U198" s="6">
        <v>23.0</v>
      </c>
      <c r="V198" s="6">
        <v>23352.0</v>
      </c>
      <c r="W198" s="6">
        <v>2025.0</v>
      </c>
      <c r="X198" s="18">
        <v>4849720.0</v>
      </c>
      <c r="Y198" s="18">
        <v>1697932.0</v>
      </c>
      <c r="Z198" s="18">
        <f t="shared" si="14"/>
        <v>6547652</v>
      </c>
      <c r="AA198" s="6">
        <v>2022.0</v>
      </c>
      <c r="AB198" s="6">
        <v>2022.0</v>
      </c>
      <c r="AC198" s="18">
        <v>0.0</v>
      </c>
      <c r="AD198" s="12">
        <v>6657.0</v>
      </c>
      <c r="AE198" s="6" t="s">
        <v>115</v>
      </c>
      <c r="AF198" s="6">
        <v>34.05825149</v>
      </c>
      <c r="AG198" s="6">
        <v>-118.29839004</v>
      </c>
      <c r="AH198" s="6" t="s">
        <v>1780</v>
      </c>
      <c r="AJ198" s="16">
        <f t="array" ref="AJ198">_xlfn.XLOOKUP(
  A198,
  'CMFA-CSCDA Grants'!A:A,
'CMFA-CSCDA Grants'!O:O)</f>
        <v>23</v>
      </c>
      <c r="AK198" s="16">
        <f t="array" ref="AK198">_xlfn.XLOOKUP(
  A198,
  'CMFA-CSCDA Grants'!A:A,
'CMFA-CSCDA Grants'!P:P)</f>
        <v>23</v>
      </c>
      <c r="AL198" s="8">
        <f t="array" ref="AL198">_xlfn.XLOOKUP(
  AD198,
  'Tax Rates'!A:A,
'Tax Rates'!B:B)</f>
        <v>0.0118738</v>
      </c>
    </row>
    <row r="199">
      <c r="A199" s="12">
        <v>128.0</v>
      </c>
      <c r="B199" s="6" t="str">
        <f t="array" ref="B199">_xlfn.XLOOKUP(
  A199,
  'CMFA-CSCDA Grants'!A:A,
'CMFA-CSCDA Grants'!E:E)</f>
        <v>Los Angeles</v>
      </c>
      <c r="C199" s="6" t="str">
        <f t="array" ref="C199">_xlfn.XLOOKUP(
  A199,
  'CMFA-CSCDA Grants'!A:A,
'CMFA-CSCDA Grants'!B:B)</f>
        <v>Mariposa IV Apartments</v>
      </c>
      <c r="D199" s="12">
        <v>5.502019004E9</v>
      </c>
      <c r="F199" s="6" t="b">
        <v>0</v>
      </c>
      <c r="G199" s="6" t="s">
        <v>1784</v>
      </c>
      <c r="H199" s="6" t="s">
        <v>1785</v>
      </c>
      <c r="I199" s="6" t="s">
        <v>105</v>
      </c>
      <c r="J199" s="6" t="s">
        <v>1786</v>
      </c>
      <c r="K199" s="6" t="s">
        <v>1787</v>
      </c>
      <c r="L199" s="6" t="s">
        <v>1788</v>
      </c>
      <c r="N199" s="6" t="s">
        <v>109</v>
      </c>
      <c r="O199" s="6" t="s">
        <v>110</v>
      </c>
      <c r="P199" s="6" t="s">
        <v>112</v>
      </c>
      <c r="Q199" s="6">
        <v>500.0</v>
      </c>
      <c r="R199" s="6">
        <v>1928.0</v>
      </c>
      <c r="S199" s="6">
        <v>48.0</v>
      </c>
      <c r="T199" s="6">
        <v>6.0</v>
      </c>
      <c r="U199" s="6">
        <v>48.0</v>
      </c>
      <c r="V199" s="6">
        <v>28472.0</v>
      </c>
      <c r="W199" s="6">
        <v>2025.0</v>
      </c>
      <c r="X199" s="18">
        <v>9879846.0</v>
      </c>
      <c r="Y199" s="18">
        <v>1591812.0</v>
      </c>
      <c r="Z199" s="18">
        <f t="shared" si="14"/>
        <v>11471658</v>
      </c>
      <c r="AA199" s="6">
        <v>2022.0</v>
      </c>
      <c r="AB199" s="6">
        <v>2022.0</v>
      </c>
      <c r="AC199" s="18">
        <v>0.0</v>
      </c>
      <c r="AD199" s="12">
        <v>6657.0</v>
      </c>
      <c r="AE199" s="6" t="s">
        <v>115</v>
      </c>
      <c r="AF199" s="6">
        <v>34.06444204</v>
      </c>
      <c r="AG199" s="6">
        <v>-118.29881977</v>
      </c>
      <c r="AH199" s="6" t="s">
        <v>1789</v>
      </c>
      <c r="AJ199" s="16">
        <f t="array" ref="AJ199">_xlfn.XLOOKUP(
  A199,
  'CMFA-CSCDA Grants'!A:A,
'CMFA-CSCDA Grants'!O:O)</f>
        <v>48</v>
      </c>
      <c r="AK199" s="16">
        <f t="array" ref="AK199">_xlfn.XLOOKUP(
  A199,
  'CMFA-CSCDA Grants'!A:A,
'CMFA-CSCDA Grants'!P:P)</f>
        <v>48</v>
      </c>
      <c r="AL199" s="8">
        <f t="array" ref="AL199">_xlfn.XLOOKUP(
  AD199,
  'Tax Rates'!A:A,
'Tax Rates'!B:B)</f>
        <v>0.0118738</v>
      </c>
    </row>
    <row r="200">
      <c r="A200" s="12">
        <v>129.0</v>
      </c>
      <c r="B200" s="6" t="str">
        <f t="array" ref="B200">_xlfn.XLOOKUP(
  A200,
  'CMFA-CSCDA Grants'!A:A,
'CMFA-CSCDA Grants'!E:E)</f>
        <v>Los Angeles</v>
      </c>
      <c r="C200" s="6" t="str">
        <f t="array" ref="C200">_xlfn.XLOOKUP(
  A200,
  'CMFA-CSCDA Grants'!A:A,
'CMFA-CSCDA Grants'!B:B)</f>
        <v>Oxford II Apartments</v>
      </c>
      <c r="D200" s="12">
        <v>5.517005016E9</v>
      </c>
      <c r="F200" s="6" t="b">
        <v>0</v>
      </c>
      <c r="G200" s="6" t="s">
        <v>1790</v>
      </c>
      <c r="H200" s="6" t="s">
        <v>1791</v>
      </c>
      <c r="I200" s="6" t="s">
        <v>105</v>
      </c>
      <c r="J200" s="6" t="s">
        <v>1792</v>
      </c>
      <c r="K200" s="6" t="s">
        <v>1793</v>
      </c>
      <c r="L200" s="6" t="s">
        <v>1794</v>
      </c>
      <c r="N200" s="6" t="s">
        <v>109</v>
      </c>
      <c r="O200" s="6" t="s">
        <v>110</v>
      </c>
      <c r="P200" s="6" t="s">
        <v>112</v>
      </c>
      <c r="Q200" s="6">
        <v>500.0</v>
      </c>
      <c r="R200" s="6">
        <v>1927.0</v>
      </c>
      <c r="S200" s="6">
        <v>32.0</v>
      </c>
      <c r="T200" s="6">
        <v>25.0</v>
      </c>
      <c r="U200" s="6">
        <v>32.0</v>
      </c>
      <c r="V200" s="6">
        <v>21880.0</v>
      </c>
      <c r="W200" s="6">
        <v>2025.0</v>
      </c>
      <c r="X200" s="18">
        <v>4516755.0</v>
      </c>
      <c r="Y200" s="18">
        <v>1935751.0</v>
      </c>
      <c r="Z200" s="18">
        <f t="shared" si="14"/>
        <v>6452506</v>
      </c>
      <c r="AA200" s="6">
        <v>2020.0</v>
      </c>
      <c r="AB200" s="6">
        <v>2020.0</v>
      </c>
      <c r="AC200" s="18">
        <v>0.0</v>
      </c>
      <c r="AD200" s="12">
        <v>6657.0</v>
      </c>
      <c r="AE200" s="6" t="s">
        <v>115</v>
      </c>
      <c r="AF200" s="6">
        <v>34.07554201</v>
      </c>
      <c r="AG200" s="6">
        <v>-118.30830232</v>
      </c>
      <c r="AH200" s="6" t="s">
        <v>1795</v>
      </c>
      <c r="AJ200" s="16">
        <f t="array" ref="AJ200">_xlfn.XLOOKUP(
  A200,
  'CMFA-CSCDA Grants'!A:A,
'CMFA-CSCDA Grants'!O:O)</f>
        <v>32</v>
      </c>
      <c r="AK200" s="16">
        <f t="array" ref="AK200">_xlfn.XLOOKUP(
  A200,
  'CMFA-CSCDA Grants'!A:A,
'CMFA-CSCDA Grants'!P:P)</f>
        <v>32</v>
      </c>
      <c r="AL200" s="8">
        <f t="array" ref="AL200">_xlfn.XLOOKUP(
  AD200,
  'Tax Rates'!A:A,
'Tax Rates'!B:B)</f>
        <v>0.0118738</v>
      </c>
    </row>
    <row r="201">
      <c r="A201" s="12">
        <v>130.0</v>
      </c>
      <c r="B201" s="6" t="str">
        <f t="array" ref="B201">_xlfn.XLOOKUP(
  A201,
  'CMFA-CSCDA Grants'!A:A,
'CMFA-CSCDA Grants'!E:E)</f>
        <v>Los Angeles</v>
      </c>
      <c r="C201" s="6" t="str">
        <f t="array" ref="C201">_xlfn.XLOOKUP(
  A201,
  'CMFA-CSCDA Grants'!A:A,
'CMFA-CSCDA Grants'!B:B)</f>
        <v>Western Apartments</v>
      </c>
      <c r="D201" s="12">
        <v>5.080006008E9</v>
      </c>
      <c r="F201" s="6" t="b">
        <v>0</v>
      </c>
      <c r="G201" s="6" t="s">
        <v>1798</v>
      </c>
      <c r="H201" s="6" t="s">
        <v>1799</v>
      </c>
      <c r="I201" s="6" t="s">
        <v>105</v>
      </c>
      <c r="J201" s="6" t="s">
        <v>1800</v>
      </c>
      <c r="K201" s="6" t="s">
        <v>1801</v>
      </c>
      <c r="L201" s="6" t="s">
        <v>1802</v>
      </c>
      <c r="N201" s="6" t="s">
        <v>109</v>
      </c>
      <c r="O201" s="6" t="s">
        <v>110</v>
      </c>
      <c r="P201" s="6" t="s">
        <v>112</v>
      </c>
      <c r="Q201" s="6">
        <v>500.0</v>
      </c>
      <c r="R201" s="6">
        <v>1926.0</v>
      </c>
      <c r="S201" s="6">
        <v>76.0</v>
      </c>
      <c r="T201" s="6">
        <v>74.0</v>
      </c>
      <c r="U201" s="6">
        <v>74.0</v>
      </c>
      <c r="V201" s="6">
        <v>51116.0</v>
      </c>
      <c r="W201" s="6">
        <v>2025.0</v>
      </c>
      <c r="X201" s="18">
        <v>1.1155189E7</v>
      </c>
      <c r="Y201" s="18">
        <v>2855727.0</v>
      </c>
      <c r="Z201" s="18">
        <f t="shared" si="14"/>
        <v>14010916</v>
      </c>
      <c r="AA201" s="6">
        <v>2019.0</v>
      </c>
      <c r="AB201" s="6">
        <v>2019.0</v>
      </c>
      <c r="AC201" s="18">
        <v>0.0</v>
      </c>
      <c r="AD201" s="12">
        <v>6657.0</v>
      </c>
      <c r="AE201" s="6" t="s">
        <v>115</v>
      </c>
      <c r="AF201" s="6">
        <v>34.05107618</v>
      </c>
      <c r="AG201" s="6">
        <v>-118.30939309</v>
      </c>
      <c r="AH201" s="6" t="s">
        <v>1803</v>
      </c>
      <c r="AJ201" s="16">
        <f t="array" ref="AJ201">_xlfn.XLOOKUP(
  A201,
  'CMFA-CSCDA Grants'!A:A,
'CMFA-CSCDA Grants'!O:O)</f>
        <v>76</v>
      </c>
      <c r="AK201" s="16">
        <f t="array" ref="AK201">_xlfn.XLOOKUP(
  A201,
  'CMFA-CSCDA Grants'!A:A,
'CMFA-CSCDA Grants'!P:P)</f>
        <v>76</v>
      </c>
      <c r="AL201" s="8">
        <f t="array" ref="AL201">_xlfn.XLOOKUP(
  AD201,
  'Tax Rates'!A:A,
'Tax Rates'!B:B)</f>
        <v>0.0118738</v>
      </c>
    </row>
    <row r="202">
      <c r="A202" s="12">
        <v>132.0</v>
      </c>
      <c r="B202" s="6" t="str">
        <f t="array" ref="B202">_xlfn.XLOOKUP(
  A202,
  'CMFA-CSCDA Grants'!A:A,
'CMFA-CSCDA Grants'!E:E)</f>
        <v>Los Angeles</v>
      </c>
      <c r="C202" s="6" t="str">
        <f t="array" ref="C202">_xlfn.XLOOKUP(
  A202,
  'CMFA-CSCDA Grants'!A:A,
'CMFA-CSCDA Grants'!B:B)</f>
        <v>7524 S. Hoover St Apartments</v>
      </c>
      <c r="D202" s="12">
        <v>6.020022027E9</v>
      </c>
      <c r="E202" s="6">
        <v>6.020022025E9</v>
      </c>
      <c r="F202" s="6" t="b">
        <v>0</v>
      </c>
      <c r="G202" s="6" t="s">
        <v>246</v>
      </c>
      <c r="H202" s="6" t="s">
        <v>247</v>
      </c>
      <c r="I202" s="6" t="s">
        <v>105</v>
      </c>
      <c r="K202" s="6" t="s">
        <v>1806</v>
      </c>
      <c r="L202" s="6" t="s">
        <v>1807</v>
      </c>
      <c r="N202" s="6" t="s">
        <v>204</v>
      </c>
      <c r="O202" s="6" t="s">
        <v>534</v>
      </c>
      <c r="P202" s="6" t="s">
        <v>112</v>
      </c>
      <c r="W202" s="6">
        <v>2025.0</v>
      </c>
      <c r="X202" s="18">
        <v>2856000.0</v>
      </c>
      <c r="Y202" s="18">
        <v>0.0</v>
      </c>
      <c r="Z202" s="18">
        <f t="shared" si="14"/>
        <v>2856000</v>
      </c>
      <c r="AA202" s="6">
        <v>2024.0</v>
      </c>
      <c r="AB202" s="6">
        <v>2024.0</v>
      </c>
      <c r="AC202" s="18">
        <v>0.0</v>
      </c>
      <c r="AD202" s="12">
        <v>212.0</v>
      </c>
      <c r="AE202" s="6" t="s">
        <v>115</v>
      </c>
      <c r="AF202" s="6">
        <v>33.97101635</v>
      </c>
      <c r="AG202" s="6">
        <v>-118.28678824</v>
      </c>
      <c r="AI202" s="6" t="s">
        <v>535</v>
      </c>
      <c r="AJ202" s="16">
        <f t="array" ref="AJ202">_xlfn.XLOOKUP(
  A202,
  'CMFA-CSCDA Grants'!A:A,
'CMFA-CSCDA Grants'!O:O)</f>
        <v>79</v>
      </c>
      <c r="AK202" s="16">
        <f t="array" ref="AK202">_xlfn.XLOOKUP(
  A202,
  'CMFA-CSCDA Grants'!A:A,
'CMFA-CSCDA Grants'!P:P)</f>
        <v>78</v>
      </c>
      <c r="AL202" s="8">
        <f t="array" ref="AL202">_xlfn.XLOOKUP(
  AD202,
  'Tax Rates'!A:A,
'Tax Rates'!B:B)</f>
        <v>0.0118738</v>
      </c>
    </row>
    <row r="203">
      <c r="A203" s="12">
        <v>134.0</v>
      </c>
      <c r="B203" s="6" t="str">
        <f t="array" ref="B203">_xlfn.XLOOKUP(
  A203,
  'CMFA-CSCDA Grants'!A:A,
'CMFA-CSCDA Grants'!E:E)</f>
        <v>Los Angeles</v>
      </c>
      <c r="C203" s="6" t="str">
        <f t="array" ref="C203">_xlfn.XLOOKUP(
  A203,
  'CMFA-CSCDA Grants'!A:A,
'CMFA-CSCDA Grants'!B:B)</f>
        <v>10705 Avalon Blvd Apartments</v>
      </c>
      <c r="D203" s="12">
        <v>6.063029029E9</v>
      </c>
      <c r="F203" s="6" t="b">
        <v>0</v>
      </c>
      <c r="G203" s="6" t="s">
        <v>1808</v>
      </c>
      <c r="H203" s="6" t="s">
        <v>1809</v>
      </c>
      <c r="I203" s="6" t="s">
        <v>105</v>
      </c>
      <c r="J203" s="6" t="s">
        <v>1810</v>
      </c>
      <c r="K203" s="6" t="s">
        <v>1811</v>
      </c>
      <c r="L203" s="6" t="s">
        <v>1812</v>
      </c>
      <c r="N203" s="6" t="s">
        <v>109</v>
      </c>
      <c r="O203" s="6" t="s">
        <v>418</v>
      </c>
      <c r="P203" s="6" t="s">
        <v>419</v>
      </c>
      <c r="Q203" s="6">
        <v>1100.0</v>
      </c>
      <c r="R203" s="6">
        <v>1924.0</v>
      </c>
      <c r="S203" s="6">
        <v>0.0</v>
      </c>
      <c r="T203" s="6">
        <v>0.0</v>
      </c>
      <c r="U203" s="6">
        <v>0.0</v>
      </c>
      <c r="V203" s="6">
        <v>2160.0</v>
      </c>
      <c r="W203" s="6">
        <v>2025.0</v>
      </c>
      <c r="X203" s="18">
        <v>936360.0</v>
      </c>
      <c r="Y203" s="18">
        <v>0.0</v>
      </c>
      <c r="Z203" s="18">
        <f t="shared" si="14"/>
        <v>936360</v>
      </c>
      <c r="AA203" s="6">
        <v>2023.0</v>
      </c>
      <c r="AB203" s="6">
        <v>2023.0</v>
      </c>
      <c r="AC203" s="18">
        <v>936360.0</v>
      </c>
      <c r="AD203" s="12">
        <v>461.0</v>
      </c>
      <c r="AE203" s="6" t="s">
        <v>115</v>
      </c>
      <c r="AF203" s="6">
        <v>33.93900434</v>
      </c>
      <c r="AG203" s="6">
        <v>-118.26552112</v>
      </c>
      <c r="AH203" s="6" t="s">
        <v>1813</v>
      </c>
      <c r="AJ203" s="16">
        <f t="array" ref="AJ203">_xlfn.XLOOKUP(
  A203,
  'CMFA-CSCDA Grants'!A:A,
'CMFA-CSCDA Grants'!O:O)</f>
        <v>68</v>
      </c>
      <c r="AK203" s="16">
        <f t="array" ref="AK203">_xlfn.XLOOKUP(
  A203,
  'CMFA-CSCDA Grants'!A:A,
'CMFA-CSCDA Grants'!P:P)</f>
        <v>68</v>
      </c>
      <c r="AL203" s="8">
        <f t="array" ref="AL203">_xlfn.XLOOKUP(
  AD203,
  'Tax Rates'!A:A,
'Tax Rates'!B:B)</f>
        <v>0.0118738</v>
      </c>
    </row>
    <row r="204">
      <c r="A204" s="12">
        <v>135.0</v>
      </c>
      <c r="B204" s="6" t="str">
        <f t="array" ref="B204">_xlfn.XLOOKUP(
  A204,
  'CMFA-CSCDA Grants'!A:A,
'CMFA-CSCDA Grants'!E:E)</f>
        <v>Los Angeles</v>
      </c>
      <c r="C204" s="6" t="str">
        <f t="array" ref="C204">_xlfn.XLOOKUP(
  A204,
  'CMFA-CSCDA Grants'!A:A,
'CMFA-CSCDA Grants'!B:B)</f>
        <v>236 Berendo Apartments</v>
      </c>
      <c r="D204" s="12">
        <v>5.518026004E9</v>
      </c>
      <c r="F204" s="6" t="b">
        <v>0</v>
      </c>
      <c r="G204" s="6" t="s">
        <v>1816</v>
      </c>
      <c r="H204" s="6" t="s">
        <v>1817</v>
      </c>
      <c r="I204" s="6" t="s">
        <v>105</v>
      </c>
      <c r="J204" s="6" t="s">
        <v>1818</v>
      </c>
      <c r="K204" s="6" t="s">
        <v>1819</v>
      </c>
      <c r="L204" s="6" t="s">
        <v>1820</v>
      </c>
      <c r="N204" s="6" t="s">
        <v>109</v>
      </c>
      <c r="O204" s="6" t="s">
        <v>1114</v>
      </c>
      <c r="P204" s="6" t="s">
        <v>112</v>
      </c>
      <c r="Q204" s="6">
        <v>100.0</v>
      </c>
      <c r="R204" s="6">
        <v>1920.0</v>
      </c>
      <c r="S204" s="6">
        <v>1.0</v>
      </c>
      <c r="T204" s="6">
        <v>3.0</v>
      </c>
      <c r="U204" s="6">
        <v>1.0</v>
      </c>
      <c r="V204" s="6">
        <v>1706.0</v>
      </c>
      <c r="W204" s="6">
        <v>2025.0</v>
      </c>
      <c r="X204" s="18">
        <v>1020000.0</v>
      </c>
      <c r="Y204" s="18">
        <v>367200.0</v>
      </c>
      <c r="Z204" s="18">
        <f t="shared" si="14"/>
        <v>1387200</v>
      </c>
      <c r="AA204" s="6">
        <v>2024.0</v>
      </c>
      <c r="AB204" s="6">
        <v>2024.0</v>
      </c>
      <c r="AC204" s="18">
        <v>0.0</v>
      </c>
      <c r="AD204" s="12">
        <v>8830.0</v>
      </c>
      <c r="AE204" s="6" t="s">
        <v>115</v>
      </c>
      <c r="AF204" s="6">
        <v>34.0755716</v>
      </c>
      <c r="AG204" s="6">
        <v>-118.29381345</v>
      </c>
      <c r="AH204" s="6" t="s">
        <v>1821</v>
      </c>
      <c r="AJ204" s="16">
        <f t="array" ref="AJ204">_xlfn.XLOOKUP(
  A204,
  'CMFA-CSCDA Grants'!A:A,
'CMFA-CSCDA Grants'!O:O)</f>
        <v>52</v>
      </c>
      <c r="AK204" s="16">
        <f t="array" ref="AK204">_xlfn.XLOOKUP(
  A204,
  'CMFA-CSCDA Grants'!A:A,
'CMFA-CSCDA Grants'!P:P)</f>
        <v>52</v>
      </c>
      <c r="AL204" s="8">
        <f t="array" ref="AL204">_xlfn.XLOOKUP(
  AD204,
  'Tax Rates'!A:A,
'Tax Rates'!B:B)</f>
        <v>0.0118738</v>
      </c>
    </row>
    <row r="205">
      <c r="A205" s="12">
        <v>137.0</v>
      </c>
      <c r="B205" s="6" t="str">
        <f t="array" ref="B205">_xlfn.XLOOKUP(
  A205,
  'CMFA-CSCDA Grants'!A:A,
'CMFA-CSCDA Grants'!E:E)</f>
        <v>Los Angeles</v>
      </c>
      <c r="C205" s="6" t="str">
        <f t="array" ref="C205">_xlfn.XLOOKUP(
  A205,
  'CMFA-CSCDA Grants'!A:A,
'CMFA-CSCDA Grants'!B:B)</f>
        <v>Kittridge Affordable Housing Apartments</v>
      </c>
      <c r="D205" s="12">
        <v>2.125017014E9</v>
      </c>
      <c r="F205" s="6" t="b">
        <v>0</v>
      </c>
      <c r="G205" s="6" t="s">
        <v>1822</v>
      </c>
      <c r="H205" s="6" t="s">
        <v>1823</v>
      </c>
      <c r="I205" s="6" t="s">
        <v>105</v>
      </c>
      <c r="J205" s="6" t="s">
        <v>1825</v>
      </c>
      <c r="K205" s="6" t="s">
        <v>1826</v>
      </c>
      <c r="L205" s="6" t="s">
        <v>1827</v>
      </c>
      <c r="N205" s="6" t="s">
        <v>109</v>
      </c>
      <c r="O205" s="6" t="s">
        <v>1114</v>
      </c>
      <c r="P205" s="6" t="s">
        <v>112</v>
      </c>
      <c r="Q205" s="6">
        <v>100.0</v>
      </c>
      <c r="R205" s="6">
        <v>1946.0</v>
      </c>
      <c r="S205" s="6">
        <v>1.0</v>
      </c>
      <c r="T205" s="6">
        <v>2.0</v>
      </c>
      <c r="U205" s="6">
        <v>1.0</v>
      </c>
      <c r="V205" s="6">
        <v>960.0</v>
      </c>
      <c r="W205" s="6">
        <v>2025.0</v>
      </c>
      <c r="X205" s="18">
        <v>864144.0</v>
      </c>
      <c r="Y205" s="18">
        <v>79356.0</v>
      </c>
      <c r="Z205" s="18">
        <f t="shared" si="14"/>
        <v>943500</v>
      </c>
      <c r="AA205" s="6">
        <v>2024.0</v>
      </c>
      <c r="AB205" s="6">
        <v>2024.0</v>
      </c>
      <c r="AC205" s="18">
        <v>0.0</v>
      </c>
      <c r="AD205" s="12">
        <v>8852.0</v>
      </c>
      <c r="AE205" s="6" t="s">
        <v>115</v>
      </c>
      <c r="AF205" s="6">
        <v>34.19051576</v>
      </c>
      <c r="AG205" s="6">
        <v>-118.53307791</v>
      </c>
      <c r="AH205" s="6" t="s">
        <v>1829</v>
      </c>
      <c r="AJ205" s="16">
        <f t="array" ref="AJ205">_xlfn.XLOOKUP(
  A205,
  'CMFA-CSCDA Grants'!A:A,
'CMFA-CSCDA Grants'!O:O)</f>
        <v>41</v>
      </c>
      <c r="AK205" s="16">
        <f t="array" ref="AK205">_xlfn.XLOOKUP(
  A205,
  'CMFA-CSCDA Grants'!A:A,
'CMFA-CSCDA Grants'!P:P)</f>
        <v>41</v>
      </c>
      <c r="AL205" s="8">
        <f t="array" ref="AL205">_xlfn.XLOOKUP(
  AD205,
  'Tax Rates'!A:A,
'Tax Rates'!B:B)</f>
        <v>0.0118738</v>
      </c>
    </row>
    <row r="206">
      <c r="A206" s="22">
        <v>141.0</v>
      </c>
      <c r="B206" s="6" t="str">
        <f t="array" ref="B206">_xlfn.XLOOKUP(
  A206,
  'CMFA-CSCDA Grants'!A:A,
'CMFA-CSCDA Grants'!E:E)</f>
        <v>Fresno</v>
      </c>
      <c r="C206" s="6" t="str">
        <f t="array" ref="C206">_xlfn.XLOOKUP(
  A206,
  'CMFA-CSCDA Grants'!A:A,
'CMFA-CSCDA Grants'!B:B)</f>
        <v>Renaissance Apartment Homes</v>
      </c>
      <c r="D206" s="24" t="s">
        <v>1830</v>
      </c>
      <c r="F206" s="6" t="b">
        <v>0</v>
      </c>
      <c r="H206" s="6" t="s">
        <v>1831</v>
      </c>
      <c r="X206" s="18" t="s">
        <v>146</v>
      </c>
      <c r="Y206" s="18" t="s">
        <v>146</v>
      </c>
      <c r="Z206" s="18">
        <v>3.0330305E7</v>
      </c>
      <c r="AC206" s="18"/>
      <c r="AD206" s="12" t="s">
        <v>113</v>
      </c>
      <c r="AJ206" s="16">
        <f t="array" ref="AJ206">_xlfn.XLOOKUP(
  A206,
  'CMFA-CSCDA Grants'!A:A,
'CMFA-CSCDA Grants'!O:O)</f>
        <v>278</v>
      </c>
      <c r="AK206" s="16">
        <f t="array" ref="AK206">_xlfn.XLOOKUP(
  A206,
  'CMFA-CSCDA Grants'!A:A,
'CMFA-CSCDA Grants'!P:P)</f>
        <v>278</v>
      </c>
      <c r="AL206" s="10">
        <f t="array" ref="AL206">_xlfn.XLOOKUP(
  AD206,
  'Tax Rates'!A:A,
'Tax Rates'!B:B)</f>
        <v>0.0125</v>
      </c>
    </row>
    <row r="207">
      <c r="A207" s="12">
        <v>142.0</v>
      </c>
      <c r="B207" s="6" t="str">
        <f t="array" ref="B207">_xlfn.XLOOKUP(
  A207,
  'CMFA-CSCDA Grants'!A:A,
'CMFA-CSCDA Grants'!E:E)</f>
        <v>Los Angeles</v>
      </c>
      <c r="C207" s="6" t="str">
        <f t="array" ref="C207">_xlfn.XLOOKUP(
  A207,
  'CMFA-CSCDA Grants'!A:A,
'CMFA-CSCDA Grants'!B:B)</f>
        <v>9033 Ramsgate Apartments</v>
      </c>
      <c r="D207" s="12">
        <v>4.125011053E9</v>
      </c>
      <c r="E207" s="6">
        <v>4.12501101E9</v>
      </c>
      <c r="F207" s="6" t="b">
        <v>0</v>
      </c>
      <c r="G207" s="6" t="s">
        <v>1834</v>
      </c>
      <c r="H207" s="6" t="s">
        <v>1835</v>
      </c>
      <c r="I207" s="6" t="s">
        <v>105</v>
      </c>
      <c r="J207" s="6" t="s">
        <v>1836</v>
      </c>
      <c r="K207" s="6" t="s">
        <v>1837</v>
      </c>
      <c r="L207" s="6" t="s">
        <v>1838</v>
      </c>
      <c r="N207" s="6" t="s">
        <v>204</v>
      </c>
      <c r="O207" s="6" t="s">
        <v>236</v>
      </c>
      <c r="P207" s="6" t="s">
        <v>112</v>
      </c>
      <c r="Q207" s="6">
        <v>400.0</v>
      </c>
      <c r="R207" s="6">
        <v>1950.0</v>
      </c>
      <c r="S207" s="6">
        <v>4.0</v>
      </c>
      <c r="T207" s="6">
        <v>4.0</v>
      </c>
      <c r="U207" s="6">
        <v>4.0</v>
      </c>
      <c r="V207" s="6">
        <v>2948.0</v>
      </c>
      <c r="W207" s="6">
        <v>2025.0</v>
      </c>
      <c r="X207" s="18">
        <v>1206999.0</v>
      </c>
      <c r="Y207" s="18">
        <v>0.0</v>
      </c>
      <c r="Z207" s="18">
        <f>SUM(X207:Y207)</f>
        <v>1206999</v>
      </c>
      <c r="AA207" s="6">
        <v>2024.0</v>
      </c>
      <c r="AB207" s="6">
        <v>2024.0</v>
      </c>
      <c r="AC207" s="18">
        <v>0.0</v>
      </c>
      <c r="AD207" s="12">
        <v>68.0</v>
      </c>
      <c r="AE207" s="6" t="s">
        <v>115</v>
      </c>
      <c r="AF207" s="6">
        <v>33.95431377</v>
      </c>
      <c r="AG207" s="6">
        <v>-118.38296448</v>
      </c>
      <c r="AH207" s="6" t="s">
        <v>1839</v>
      </c>
      <c r="AI207" s="6" t="s">
        <v>1840</v>
      </c>
      <c r="AJ207" s="16">
        <f t="array" ref="AJ207">_xlfn.XLOOKUP(
  A207,
  'CMFA-CSCDA Grants'!A:A,
'CMFA-CSCDA Grants'!O:O)</f>
        <v>116</v>
      </c>
      <c r="AK207" s="16">
        <f t="array" ref="AK207">_xlfn.XLOOKUP(
  A207,
  'CMFA-CSCDA Grants'!A:A,
'CMFA-CSCDA Grants'!P:P)</f>
        <v>116</v>
      </c>
      <c r="AL207" s="8">
        <f t="array" ref="AL207">_xlfn.XLOOKUP(
  AD207,
  'Tax Rates'!A:A,
'Tax Rates'!B:B)</f>
        <v>0.0118738</v>
      </c>
    </row>
    <row r="208">
      <c r="A208" s="22">
        <v>143.0</v>
      </c>
      <c r="B208" s="6" t="str">
        <f t="array" ref="B208">_xlfn.XLOOKUP(
  A208,
  'CMFA-CSCDA Grants'!A:A,
'CMFA-CSCDA Grants'!E:E)</f>
        <v>Alameda</v>
      </c>
      <c r="C208" s="6" t="str">
        <f t="array" ref="C208">_xlfn.XLOOKUP(
  A208,
  'CMFA-CSCDA Grants'!A:A,
'CMFA-CSCDA Grants'!B:B)</f>
        <v>Coliseum Transit Village</v>
      </c>
      <c r="D208" s="24" t="s">
        <v>1841</v>
      </c>
      <c r="F208" s="6" t="b">
        <v>0</v>
      </c>
      <c r="H208" s="6" t="s">
        <v>1842</v>
      </c>
      <c r="X208" s="18" t="s">
        <v>146</v>
      </c>
      <c r="Y208" s="18" t="s">
        <v>146</v>
      </c>
      <c r="Z208" s="18">
        <v>0.0</v>
      </c>
      <c r="AC208" s="18"/>
      <c r="AD208" s="12" t="s">
        <v>210</v>
      </c>
      <c r="AJ208" s="16">
        <f t="array" ref="AJ208">_xlfn.XLOOKUP(
  A208,
  'CMFA-CSCDA Grants'!A:A,
'CMFA-CSCDA Grants'!O:O)</f>
        <v>110</v>
      </c>
      <c r="AK208" s="16">
        <f t="array" ref="AK208">_xlfn.XLOOKUP(
  A208,
  'CMFA-CSCDA Grants'!A:A,
'CMFA-CSCDA Grants'!P:P)</f>
        <v>55</v>
      </c>
      <c r="AL208" s="10">
        <f t="array" ref="AL208">_xlfn.XLOOKUP(
  AD208,
  'Tax Rates'!A:A,
'Tax Rates'!B:B)</f>
        <v>0.012779</v>
      </c>
    </row>
    <row r="209">
      <c r="A209" s="22">
        <v>144.0</v>
      </c>
      <c r="B209" s="6" t="str">
        <f t="array" ref="B209">_xlfn.XLOOKUP(
  A209,
  'CMFA-CSCDA Grants'!A:A,
'CMFA-CSCDA Grants'!E:E)</f>
        <v>Santa Barbara</v>
      </c>
      <c r="C209" s="6" t="str">
        <f t="array" ref="C209">_xlfn.XLOOKUP(
  A209,
  'CMFA-CSCDA Grants'!A:A,
'CMFA-CSCDA Grants'!B:B)</f>
        <v>La Vista Apartment Homes</v>
      </c>
      <c r="D209" s="24" t="s">
        <v>1845</v>
      </c>
      <c r="F209" s="6" t="b">
        <v>0</v>
      </c>
      <c r="H209" s="6" t="s">
        <v>1846</v>
      </c>
      <c r="X209" s="18" t="s">
        <v>146</v>
      </c>
      <c r="Y209" s="18" t="s">
        <v>146</v>
      </c>
      <c r="Z209" s="18">
        <v>6695000.0</v>
      </c>
      <c r="AC209" s="18"/>
      <c r="AD209" s="12" t="s">
        <v>252</v>
      </c>
      <c r="AJ209" s="16">
        <f t="array" ref="AJ209">_xlfn.XLOOKUP(
  A209,
  'CMFA-CSCDA Grants'!A:A,
'CMFA-CSCDA Grants'!O:O)</f>
        <v>460</v>
      </c>
      <c r="AK209" s="16">
        <f t="array" ref="AK209">_xlfn.XLOOKUP(
  A209,
  'CMFA-CSCDA Grants'!A:A,
'CMFA-CSCDA Grants'!P:P)</f>
        <v>460</v>
      </c>
      <c r="AL209" s="10">
        <f t="array" ref="AL209">_xlfn.XLOOKUP(
  AD209,
  'Tax Rates'!A:A,
'Tax Rates'!B:B)</f>
        <v>0.010472</v>
      </c>
    </row>
    <row r="210">
      <c r="A210" s="22">
        <v>144.0</v>
      </c>
      <c r="B210" s="6" t="str">
        <f t="array" ref="B210">_xlfn.XLOOKUP(
  A210,
  'CMFA-CSCDA Grants'!A:A,
'CMFA-CSCDA Grants'!E:E)</f>
        <v>Santa Barbara</v>
      </c>
      <c r="C210" s="6" t="str">
        <f t="array" ref="C210">_xlfn.XLOOKUP(
  A210,
  'CMFA-CSCDA Grants'!A:A,
'CMFA-CSCDA Grants'!B:B)</f>
        <v>La Vista Apartment Homes</v>
      </c>
      <c r="D210" s="24" t="s">
        <v>1847</v>
      </c>
      <c r="F210" s="6" t="b">
        <v>0</v>
      </c>
      <c r="H210" s="6" t="s">
        <v>146</v>
      </c>
      <c r="X210" s="18" t="s">
        <v>146</v>
      </c>
      <c r="Y210" s="18" t="s">
        <v>146</v>
      </c>
      <c r="Z210" s="18">
        <v>4460000.0</v>
      </c>
      <c r="AC210" s="18"/>
      <c r="AD210" s="12" t="s">
        <v>252</v>
      </c>
      <c r="AJ210" s="16">
        <f t="array" ref="AJ210">_xlfn.XLOOKUP(
  A210,
  'CMFA-CSCDA Grants'!A:A,
'CMFA-CSCDA Grants'!O:O)</f>
        <v>460</v>
      </c>
      <c r="AK210" s="16">
        <f t="array" ref="AK210">_xlfn.XLOOKUP(
  A210,
  'CMFA-CSCDA Grants'!A:A,
'CMFA-CSCDA Grants'!P:P)</f>
        <v>460</v>
      </c>
      <c r="AL210" s="10">
        <f t="array" ref="AL210">_xlfn.XLOOKUP(
  AD210,
  'Tax Rates'!A:A,
'Tax Rates'!B:B)</f>
        <v>0.010472</v>
      </c>
    </row>
    <row r="211">
      <c r="A211" s="22">
        <v>144.0</v>
      </c>
      <c r="B211" s="6" t="str">
        <f t="array" ref="B211">_xlfn.XLOOKUP(
  A211,
  'CMFA-CSCDA Grants'!A:A,
'CMFA-CSCDA Grants'!E:E)</f>
        <v>Santa Barbara</v>
      </c>
      <c r="C211" s="6" t="str">
        <f t="array" ref="C211">_xlfn.XLOOKUP(
  A211,
  'CMFA-CSCDA Grants'!A:A,
'CMFA-CSCDA Grants'!B:B)</f>
        <v>La Vista Apartment Homes</v>
      </c>
      <c r="D211" s="24" t="s">
        <v>1850</v>
      </c>
      <c r="F211" s="6" t="b">
        <v>0</v>
      </c>
      <c r="H211" s="6" t="s">
        <v>146</v>
      </c>
      <c r="X211" s="18" t="s">
        <v>146</v>
      </c>
      <c r="Y211" s="18" t="s">
        <v>146</v>
      </c>
      <c r="Z211" s="18">
        <v>4460000.0</v>
      </c>
      <c r="AC211" s="18"/>
      <c r="AD211" s="12" t="s">
        <v>252</v>
      </c>
      <c r="AJ211" s="16">
        <f t="array" ref="AJ211">_xlfn.XLOOKUP(
  A211,
  'CMFA-CSCDA Grants'!A:A,
'CMFA-CSCDA Grants'!O:O)</f>
        <v>460</v>
      </c>
      <c r="AK211" s="16">
        <f t="array" ref="AK211">_xlfn.XLOOKUP(
  A211,
  'CMFA-CSCDA Grants'!A:A,
'CMFA-CSCDA Grants'!P:P)</f>
        <v>460</v>
      </c>
      <c r="AL211" s="10">
        <f t="array" ref="AL211">_xlfn.XLOOKUP(
  AD211,
  'Tax Rates'!A:A,
'Tax Rates'!B:B)</f>
        <v>0.010472</v>
      </c>
    </row>
    <row r="212">
      <c r="A212" s="22">
        <v>144.0</v>
      </c>
      <c r="B212" s="6" t="str">
        <f t="array" ref="B212">_xlfn.XLOOKUP(
  A212,
  'CMFA-CSCDA Grants'!A:A,
'CMFA-CSCDA Grants'!E:E)</f>
        <v>Santa Barbara</v>
      </c>
      <c r="C212" s="6" t="str">
        <f t="array" ref="C212">_xlfn.XLOOKUP(
  A212,
  'CMFA-CSCDA Grants'!A:A,
'CMFA-CSCDA Grants'!B:B)</f>
        <v>La Vista Apartment Homes</v>
      </c>
      <c r="D212" s="24" t="s">
        <v>1851</v>
      </c>
      <c r="F212" s="6" t="b">
        <v>0</v>
      </c>
      <c r="H212" s="6" t="s">
        <v>146</v>
      </c>
      <c r="X212" s="18" t="s">
        <v>146</v>
      </c>
      <c r="Y212" s="18" t="s">
        <v>146</v>
      </c>
      <c r="Z212" s="18">
        <v>7113000.0</v>
      </c>
      <c r="AC212" s="18"/>
      <c r="AD212" s="12" t="s">
        <v>252</v>
      </c>
      <c r="AJ212" s="16">
        <f t="array" ref="AJ212">_xlfn.XLOOKUP(
  A212,
  'CMFA-CSCDA Grants'!A:A,
'CMFA-CSCDA Grants'!O:O)</f>
        <v>460</v>
      </c>
      <c r="AK212" s="16">
        <f t="array" ref="AK212">_xlfn.XLOOKUP(
  A212,
  'CMFA-CSCDA Grants'!A:A,
'CMFA-CSCDA Grants'!P:P)</f>
        <v>460</v>
      </c>
      <c r="AL212" s="10">
        <f t="array" ref="AL212">_xlfn.XLOOKUP(
  AD212,
  'Tax Rates'!A:A,
'Tax Rates'!B:B)</f>
        <v>0.010472</v>
      </c>
    </row>
    <row r="213">
      <c r="A213" s="22">
        <v>145.0</v>
      </c>
      <c r="B213" s="6" t="str">
        <f t="array" ref="B213">_xlfn.XLOOKUP(
  A213,
  'CMFA-CSCDA Grants'!A:A,
'CMFA-CSCDA Grants'!E:E)</f>
        <v>Fresno</v>
      </c>
      <c r="C213" s="6" t="str">
        <f t="array" ref="C213">_xlfn.XLOOKUP(
  A213,
  'CMFA-CSCDA Grants'!A:A,
'CMFA-CSCDA Grants'!B:B)</f>
        <v>Golden Gardens Apartments</v>
      </c>
      <c r="D213" s="115"/>
      <c r="F213" s="6" t="b">
        <v>0</v>
      </c>
      <c r="H213" s="6" t="s">
        <v>1866</v>
      </c>
      <c r="X213" s="18" t="s">
        <v>146</v>
      </c>
      <c r="Y213" s="18" t="s">
        <v>146</v>
      </c>
      <c r="Z213" s="18">
        <v>1.0673404E7</v>
      </c>
      <c r="AC213" s="31"/>
      <c r="AD213" s="12" t="s">
        <v>113</v>
      </c>
      <c r="AJ213" s="16">
        <f t="array" ref="AJ213">_xlfn.XLOOKUP(
  A213,
  'CMFA-CSCDA Grants'!A:A,
'CMFA-CSCDA Grants'!O:O)</f>
        <v>110</v>
      </c>
      <c r="AK213" s="16">
        <f t="array" ref="AK213">_xlfn.XLOOKUP(
  A213,
  'CMFA-CSCDA Grants'!A:A,
'CMFA-CSCDA Grants'!P:P)</f>
        <v>110</v>
      </c>
      <c r="AL213" s="10">
        <f t="array" ref="AL213">_xlfn.XLOOKUP(
  AD213,
  'Tax Rates'!A:A,
'Tax Rates'!B:B)</f>
        <v>0.0125</v>
      </c>
    </row>
    <row r="214">
      <c r="A214" s="12">
        <v>146.0</v>
      </c>
      <c r="B214" s="6" t="str">
        <f t="array" ref="B214">_xlfn.XLOOKUP(
  A214,
  'CMFA-CSCDA Grants'!A:A,
'CMFA-CSCDA Grants'!E:E)</f>
        <v>Los Angeles</v>
      </c>
      <c r="C214" s="6" t="str">
        <f t="array" ref="C214">_xlfn.XLOOKUP(
  A214,
  'CMFA-CSCDA Grants'!A:A,
'CMFA-CSCDA Grants'!B:B)</f>
        <v>San Pedro Apartments</v>
      </c>
      <c r="D214" s="12">
        <v>6.022014002E9</v>
      </c>
      <c r="F214" s="6" t="b">
        <v>0</v>
      </c>
      <c r="G214" s="6" t="s">
        <v>1882</v>
      </c>
      <c r="H214" s="6" t="s">
        <v>1883</v>
      </c>
      <c r="I214" s="6" t="s">
        <v>105</v>
      </c>
      <c r="J214" s="6" t="s">
        <v>1884</v>
      </c>
      <c r="K214" s="6" t="s">
        <v>1885</v>
      </c>
      <c r="L214" s="6" t="s">
        <v>1887</v>
      </c>
      <c r="N214" s="6" t="s">
        <v>109</v>
      </c>
      <c r="O214" s="6" t="s">
        <v>426</v>
      </c>
      <c r="P214" s="6" t="s">
        <v>419</v>
      </c>
      <c r="Q214" s="6">
        <v>1210.0</v>
      </c>
      <c r="R214" s="6">
        <v>1934.0</v>
      </c>
      <c r="S214" s="6">
        <v>0.0</v>
      </c>
      <c r="T214" s="6">
        <v>0.0</v>
      </c>
      <c r="U214" s="6">
        <v>0.0</v>
      </c>
      <c r="V214" s="6">
        <v>1790.0</v>
      </c>
      <c r="W214" s="6">
        <v>2025.0</v>
      </c>
      <c r="X214" s="18">
        <v>800000.0</v>
      </c>
      <c r="Y214" s="18">
        <v>0.0</v>
      </c>
      <c r="Z214" s="18">
        <f>SUM(X214:Y214)</f>
        <v>800000</v>
      </c>
      <c r="AA214" s="6">
        <v>2025.0</v>
      </c>
      <c r="AB214" s="6">
        <v>2025.0</v>
      </c>
      <c r="AC214" s="18">
        <v>0.0</v>
      </c>
      <c r="AD214" s="12">
        <v>7.0</v>
      </c>
      <c r="AE214" s="6" t="s">
        <v>115</v>
      </c>
      <c r="AF214" s="6">
        <v>33.9701724</v>
      </c>
      <c r="AG214" s="6">
        <v>-118.26987591</v>
      </c>
      <c r="AH214" s="6" t="s">
        <v>1894</v>
      </c>
      <c r="AJ214" s="16">
        <f t="array" ref="AJ214">_xlfn.XLOOKUP(
  A214,
  'CMFA-CSCDA Grants'!A:A,
'CMFA-CSCDA Grants'!O:O)</f>
        <v>40</v>
      </c>
      <c r="AK214" s="16">
        <f t="array" ref="AK214">_xlfn.XLOOKUP(
  A214,
  'CMFA-CSCDA Grants'!A:A,
'CMFA-CSCDA Grants'!P:P)</f>
        <v>40</v>
      </c>
      <c r="AL214" s="8">
        <f t="array" ref="AL214">_xlfn.XLOOKUP(
  AD214,
  'Tax Rates'!A:A,
'Tax Rates'!B:B)</f>
        <v>0.0118738</v>
      </c>
    </row>
    <row r="215">
      <c r="A215" s="22">
        <v>147.0</v>
      </c>
      <c r="B215" s="6" t="str">
        <f t="array" ref="B215">_xlfn.XLOOKUP(
  A215,
  'CMFA-CSCDA Grants'!A:A,
'CMFA-CSCDA Grants'!E:E)</f>
        <v>Alameda</v>
      </c>
      <c r="C215" s="6" t="str">
        <f t="array" ref="C215">_xlfn.XLOOKUP(
  A215,
  'CMFA-CSCDA Grants'!A:A,
'CMFA-CSCDA Grants'!B:B)</f>
        <v>Coliseum Connections</v>
      </c>
      <c r="D215" s="24" t="s">
        <v>1905</v>
      </c>
      <c r="F215" s="6" t="b">
        <v>0</v>
      </c>
      <c r="H215" s="6" t="s">
        <v>1906</v>
      </c>
      <c r="X215" s="18" t="s">
        <v>146</v>
      </c>
      <c r="Y215" s="18" t="s">
        <v>146</v>
      </c>
      <c r="Z215" s="18" t="s">
        <v>146</v>
      </c>
      <c r="AC215" s="18"/>
      <c r="AD215" s="12" t="s">
        <v>210</v>
      </c>
      <c r="AJ215" s="16">
        <f t="array" ref="AJ215">_xlfn.XLOOKUP(
  A215,
  'CMFA-CSCDA Grants'!A:A,
'CMFA-CSCDA Grants'!O:O)</f>
        <v>110</v>
      </c>
      <c r="AK215" s="16">
        <f t="array" ref="AK215">_xlfn.XLOOKUP(
  A215,
  'CMFA-CSCDA Grants'!A:A,
'CMFA-CSCDA Grants'!P:P)</f>
        <v>55</v>
      </c>
      <c r="AL215" s="10">
        <f t="array" ref="AL215">_xlfn.XLOOKUP(
  AD215,
  'Tax Rates'!A:A,
'Tax Rates'!B:B)</f>
        <v>0.012779</v>
      </c>
    </row>
    <row r="216">
      <c r="A216" s="12">
        <v>148.0</v>
      </c>
      <c r="B216" s="6" t="str">
        <f t="array" ref="B216">_xlfn.XLOOKUP(
  A216,
  'CMFA-CSCDA Grants'!A:A,
'CMFA-CSCDA Grants'!E:E)</f>
        <v>Los Angeles</v>
      </c>
      <c r="C216" s="6" t="str">
        <f t="array" ref="C216">_xlfn.XLOOKUP(
  A216,
  'CMFA-CSCDA Grants'!A:A,
'CMFA-CSCDA Grants'!B:B)</f>
        <v>Park Wilshire Apartments</v>
      </c>
      <c r="D216" s="12">
        <v>4.276017047E9</v>
      </c>
      <c r="F216" s="6" t="b">
        <v>0</v>
      </c>
      <c r="G216" s="6" t="s">
        <v>1918</v>
      </c>
      <c r="H216" s="6" t="s">
        <v>1919</v>
      </c>
      <c r="I216" s="6" t="s">
        <v>449</v>
      </c>
      <c r="J216" s="6" t="s">
        <v>1920</v>
      </c>
      <c r="K216" s="6" t="s">
        <v>1921</v>
      </c>
      <c r="L216" s="6" t="s">
        <v>1924</v>
      </c>
      <c r="N216" s="6" t="s">
        <v>109</v>
      </c>
      <c r="O216" s="6" t="s">
        <v>1925</v>
      </c>
      <c r="P216" s="6" t="s">
        <v>419</v>
      </c>
      <c r="Q216" s="6">
        <v>1700.0</v>
      </c>
      <c r="R216" s="6">
        <v>1948.0</v>
      </c>
      <c r="S216" s="6">
        <v>0.0</v>
      </c>
      <c r="T216" s="6">
        <v>0.0</v>
      </c>
      <c r="U216" s="6">
        <v>0.0</v>
      </c>
      <c r="V216" s="6">
        <v>3676.0</v>
      </c>
      <c r="W216" s="6">
        <v>2025.0</v>
      </c>
      <c r="X216" s="18">
        <v>2888923.0</v>
      </c>
      <c r="Y216" s="18">
        <v>565219.0</v>
      </c>
      <c r="Z216" s="18">
        <f t="shared" ref="Z216:Z223" si="15">SUM(X216:Y216)</f>
        <v>3454142</v>
      </c>
      <c r="AA216" s="6">
        <v>2012.0</v>
      </c>
      <c r="AB216" s="6">
        <v>2012.0</v>
      </c>
      <c r="AC216" s="18">
        <v>0.0</v>
      </c>
      <c r="AD216" s="12">
        <v>8604.0</v>
      </c>
      <c r="AE216" s="6" t="s">
        <v>454</v>
      </c>
      <c r="AF216" s="6">
        <v>34.03432369</v>
      </c>
      <c r="AG216" s="6">
        <v>-118.47895739</v>
      </c>
      <c r="AH216" s="6" t="s">
        <v>1927</v>
      </c>
      <c r="AJ216" s="16">
        <f t="array" ref="AJ216">_xlfn.XLOOKUP(
  A216,
  'CMFA-CSCDA Grants'!A:A,
'CMFA-CSCDA Grants'!O:O)</f>
        <v>170</v>
      </c>
      <c r="AK216" s="16">
        <f t="array" ref="AK216">_xlfn.XLOOKUP(
  A216,
  'CMFA-CSCDA Grants'!A:A,
'CMFA-CSCDA Grants'!P:P)</f>
        <v>170</v>
      </c>
      <c r="AL216" s="8">
        <f t="array" ref="AL216">_xlfn.XLOOKUP(
  AD216,
  'Tax Rates'!A:A,
'Tax Rates'!B:B)</f>
        <v>0.01203757</v>
      </c>
    </row>
    <row r="217">
      <c r="A217" s="12">
        <v>149.0</v>
      </c>
      <c r="B217" s="6" t="str">
        <f t="array" ref="B217">_xlfn.XLOOKUP(
  A217,
  'CMFA-CSCDA Grants'!A:A,
'CMFA-CSCDA Grants'!E:E)</f>
        <v>Los Angeles</v>
      </c>
      <c r="C217" s="6" t="str">
        <f t="array" ref="C217">_xlfn.XLOOKUP(
  A217,
  'CMFA-CSCDA Grants'!A:A,
'CMFA-CSCDA Grants'!B:B)</f>
        <v>Sir Francis Drake Villa Apartments</v>
      </c>
      <c r="D217" s="12">
        <v>5.093010009E9</v>
      </c>
      <c r="F217" s="6" t="b">
        <v>0</v>
      </c>
      <c r="G217" s="6" t="s">
        <v>1938</v>
      </c>
      <c r="H217" s="6" t="s">
        <v>1939</v>
      </c>
      <c r="I217" s="6" t="s">
        <v>105</v>
      </c>
      <c r="J217" s="6" t="s">
        <v>1940</v>
      </c>
      <c r="K217" s="6" t="s">
        <v>1941</v>
      </c>
      <c r="L217" s="6" t="s">
        <v>1942</v>
      </c>
      <c r="N217" s="6" t="s">
        <v>109</v>
      </c>
      <c r="O217" s="6" t="s">
        <v>110</v>
      </c>
      <c r="P217" s="6" t="s">
        <v>112</v>
      </c>
      <c r="Q217" s="6">
        <v>550.0</v>
      </c>
      <c r="R217" s="6">
        <v>1929.0</v>
      </c>
      <c r="S217" s="6">
        <v>62.0</v>
      </c>
      <c r="T217" s="6">
        <v>0.0</v>
      </c>
      <c r="U217" s="6">
        <v>0.0</v>
      </c>
      <c r="V217" s="6">
        <v>49243.0</v>
      </c>
      <c r="W217" s="6">
        <v>2025.0</v>
      </c>
      <c r="X217" s="18">
        <v>1092459.0</v>
      </c>
      <c r="Y217" s="18">
        <v>3465756.0</v>
      </c>
      <c r="Z217" s="18">
        <f t="shared" si="15"/>
        <v>4558215</v>
      </c>
      <c r="AA217" s="6">
        <v>2001.0</v>
      </c>
      <c r="AB217" s="6">
        <v>2001.0</v>
      </c>
      <c r="AC217" s="18">
        <v>0.0</v>
      </c>
      <c r="AD217" s="12">
        <v>6657.0</v>
      </c>
      <c r="AE217" s="6" t="s">
        <v>115</v>
      </c>
      <c r="AF217" s="6">
        <v>34.0564771</v>
      </c>
      <c r="AG217" s="6">
        <v>-118.30694704</v>
      </c>
      <c r="AH217" s="6" t="s">
        <v>1945</v>
      </c>
      <c r="AJ217" s="16">
        <f t="array" ref="AJ217">_xlfn.XLOOKUP(
  A217,
  'CMFA-CSCDA Grants'!A:A,
'CMFA-CSCDA Grants'!O:O)</f>
        <v>61</v>
      </c>
      <c r="AK217" s="16">
        <f t="array" ref="AK217">_xlfn.XLOOKUP(
  A217,
  'CMFA-CSCDA Grants'!A:A,
'CMFA-CSCDA Grants'!P:P)</f>
        <v>61</v>
      </c>
      <c r="AL217" s="8">
        <f t="array" ref="AL217">_xlfn.XLOOKUP(
  AD217,
  'Tax Rates'!A:A,
'Tax Rates'!B:B)</f>
        <v>0.0118738</v>
      </c>
    </row>
    <row r="218">
      <c r="A218" s="12">
        <v>150.0</v>
      </c>
      <c r="B218" s="6" t="str">
        <f t="array" ref="B218">_xlfn.XLOOKUP(
  A218,
  'CMFA-CSCDA Grants'!A:A,
'CMFA-CSCDA Grants'!E:E)</f>
        <v>Los Angeles</v>
      </c>
      <c r="C218" s="6" t="str">
        <f t="array" ref="C218">_xlfn.XLOOKUP(
  A218,
  'CMFA-CSCDA Grants'!A:A,
'CMFA-CSCDA Grants'!B:B)</f>
        <v>Langham Apartments</v>
      </c>
      <c r="D218" s="12">
        <v>5.094004007E9</v>
      </c>
      <c r="F218" s="6" t="b">
        <v>0</v>
      </c>
      <c r="G218" s="6" t="s">
        <v>1957</v>
      </c>
      <c r="H218" s="6" t="s">
        <v>1958</v>
      </c>
      <c r="I218" s="6" t="s">
        <v>105</v>
      </c>
      <c r="J218" s="6" t="s">
        <v>1960</v>
      </c>
      <c r="K218" s="6" t="s">
        <v>1961</v>
      </c>
      <c r="L218" s="6" t="s">
        <v>1962</v>
      </c>
      <c r="N218" s="6" t="s">
        <v>109</v>
      </c>
      <c r="O218" s="6" t="s">
        <v>110</v>
      </c>
      <c r="P218" s="6" t="s">
        <v>112</v>
      </c>
      <c r="Q218" s="6">
        <v>551.0</v>
      </c>
      <c r="R218" s="6">
        <v>1927.0</v>
      </c>
      <c r="S218" s="6">
        <v>181.0</v>
      </c>
      <c r="T218" s="6">
        <v>57.0</v>
      </c>
      <c r="U218" s="6">
        <v>99.0</v>
      </c>
      <c r="V218" s="6">
        <v>132210.0</v>
      </c>
      <c r="W218" s="6">
        <v>2025.0</v>
      </c>
      <c r="X218" s="18">
        <v>1079080.0</v>
      </c>
      <c r="Y218" s="18">
        <v>4752233.0</v>
      </c>
      <c r="Z218" s="18">
        <f t="shared" si="15"/>
        <v>5831313</v>
      </c>
      <c r="AA218" s="6">
        <v>2002.0</v>
      </c>
      <c r="AB218" s="6">
        <v>2002.0</v>
      </c>
      <c r="AC218" s="18">
        <v>0.0</v>
      </c>
      <c r="AD218" s="12">
        <v>6657.0</v>
      </c>
      <c r="AE218" s="6" t="s">
        <v>115</v>
      </c>
      <c r="AF218" s="6">
        <v>34.05931282</v>
      </c>
      <c r="AG218" s="6">
        <v>-118.30014436</v>
      </c>
      <c r="AH218" s="6" t="s">
        <v>1966</v>
      </c>
      <c r="AJ218" s="16">
        <f t="array" ref="AJ218">_xlfn.XLOOKUP(
  A218,
  'CMFA-CSCDA Grants'!A:A,
'CMFA-CSCDA Grants'!O:O)</f>
        <v>181</v>
      </c>
      <c r="AK218" s="16">
        <f t="array" ref="AK218">_xlfn.XLOOKUP(
  A218,
  'CMFA-CSCDA Grants'!A:A,
'CMFA-CSCDA Grants'!P:P)</f>
        <v>181</v>
      </c>
      <c r="AL218" s="8">
        <f t="array" ref="AL218">_xlfn.XLOOKUP(
  AD218,
  'Tax Rates'!A:A,
'Tax Rates'!B:B)</f>
        <v>0.0118738</v>
      </c>
    </row>
    <row r="219">
      <c r="A219" s="12">
        <v>151.0</v>
      </c>
      <c r="B219" s="6" t="str">
        <f t="array" ref="B219">_xlfn.XLOOKUP(
  A219,
  'CMFA-CSCDA Grants'!A:A,
'CMFA-CSCDA Grants'!E:E)</f>
        <v>Los Angeles</v>
      </c>
      <c r="C219" s="6" t="str">
        <f t="array" ref="C219">_xlfn.XLOOKUP(
  A219,
  'CMFA-CSCDA Grants'!A:A,
'CMFA-CSCDA Grants'!B:B)</f>
        <v>Piccadilly Apartments</v>
      </c>
      <c r="D219" s="12">
        <v>5.094002004E9</v>
      </c>
      <c r="F219" s="6" t="b">
        <v>0</v>
      </c>
      <c r="G219" s="6" t="s">
        <v>1976</v>
      </c>
      <c r="H219" s="6" t="s">
        <v>1978</v>
      </c>
      <c r="I219" s="6" t="s">
        <v>105</v>
      </c>
      <c r="J219" s="6" t="s">
        <v>1979</v>
      </c>
      <c r="K219" s="6" t="s">
        <v>1980</v>
      </c>
      <c r="L219" s="6" t="s">
        <v>1981</v>
      </c>
      <c r="N219" s="6" t="s">
        <v>109</v>
      </c>
      <c r="O219" s="6" t="s">
        <v>110</v>
      </c>
      <c r="P219" s="6" t="s">
        <v>112</v>
      </c>
      <c r="Q219" s="6">
        <v>550.0</v>
      </c>
      <c r="R219" s="6">
        <v>1929.0</v>
      </c>
      <c r="S219" s="6">
        <v>74.0</v>
      </c>
      <c r="T219" s="6">
        <v>0.0</v>
      </c>
      <c r="U219" s="6">
        <v>0.0</v>
      </c>
      <c r="V219" s="6">
        <v>62933.0</v>
      </c>
      <c r="W219" s="6">
        <v>2025.0</v>
      </c>
      <c r="X219" s="18">
        <v>1197304.0</v>
      </c>
      <c r="Y219" s="18">
        <v>2326994.0</v>
      </c>
      <c r="Z219" s="18">
        <f t="shared" si="15"/>
        <v>3524298</v>
      </c>
      <c r="AA219" s="6">
        <v>2000.0</v>
      </c>
      <c r="AB219" s="6">
        <v>2000.0</v>
      </c>
      <c r="AC219" s="18">
        <v>0.0</v>
      </c>
      <c r="AD219" s="12">
        <v>6657.0</v>
      </c>
      <c r="AE219" s="6" t="s">
        <v>115</v>
      </c>
      <c r="AF219" s="6">
        <v>34.06036012</v>
      </c>
      <c r="AG219" s="6">
        <v>-118.30057788</v>
      </c>
      <c r="AH219" s="6" t="s">
        <v>1985</v>
      </c>
      <c r="AJ219" s="16">
        <f t="array" ref="AJ219">_xlfn.XLOOKUP(
  A219,
  'CMFA-CSCDA Grants'!A:A,
'CMFA-CSCDA Grants'!O:O)</f>
        <v>74</v>
      </c>
      <c r="AK219" s="16">
        <f t="array" ref="AK219">_xlfn.XLOOKUP(
  A219,
  'CMFA-CSCDA Grants'!A:A,
'CMFA-CSCDA Grants'!P:P)</f>
        <v>74</v>
      </c>
      <c r="AL219" s="8">
        <f t="array" ref="AL219">_xlfn.XLOOKUP(
  AD219,
  'Tax Rates'!A:A,
'Tax Rates'!B:B)</f>
        <v>0.0118738</v>
      </c>
    </row>
    <row r="220">
      <c r="A220" s="12">
        <v>152.0</v>
      </c>
      <c r="B220" s="6" t="str">
        <f t="array" ref="B220">_xlfn.XLOOKUP(
  A220,
  'CMFA-CSCDA Grants'!A:A,
'CMFA-CSCDA Grants'!E:E)</f>
        <v>Los Angeles</v>
      </c>
      <c r="C220" s="6" t="str">
        <f t="array" ref="C220">_xlfn.XLOOKUP(
  A220,
  'CMFA-CSCDA Grants'!A:A,
'CMFA-CSCDA Grants'!B:B)</f>
        <v>The Hive at Ackerfield Apartments</v>
      </c>
      <c r="D220" s="12">
        <v>7.157012023E9</v>
      </c>
      <c r="F220" s="6" t="b">
        <v>0</v>
      </c>
      <c r="G220" s="6" t="s">
        <v>2000</v>
      </c>
      <c r="H220" s="6" t="s">
        <v>2002</v>
      </c>
      <c r="I220" s="6" t="s">
        <v>846</v>
      </c>
      <c r="J220" s="6" t="s">
        <v>2003</v>
      </c>
      <c r="K220" s="6" t="s">
        <v>2004</v>
      </c>
      <c r="L220" s="6" t="s">
        <v>2005</v>
      </c>
      <c r="N220" s="6" t="s">
        <v>453</v>
      </c>
      <c r="O220" s="6" t="s">
        <v>110</v>
      </c>
      <c r="P220" s="6" t="s">
        <v>112</v>
      </c>
      <c r="Q220" s="6">
        <v>501.0</v>
      </c>
      <c r="R220" s="6">
        <v>1973.0</v>
      </c>
      <c r="S220" s="6">
        <v>93.0</v>
      </c>
      <c r="T220" s="6">
        <v>11.0</v>
      </c>
      <c r="U220" s="6">
        <v>11.0</v>
      </c>
      <c r="V220" s="6">
        <v>69530.0</v>
      </c>
      <c r="W220" s="6">
        <v>2025.0</v>
      </c>
      <c r="X220" s="18">
        <v>4669315.0</v>
      </c>
      <c r="Y220" s="18">
        <v>2.0162952E7</v>
      </c>
      <c r="Z220" s="18">
        <f t="shared" si="15"/>
        <v>24832267</v>
      </c>
      <c r="AA220" s="6">
        <v>2022.0</v>
      </c>
      <c r="AB220" s="6">
        <v>2022.0</v>
      </c>
      <c r="AC220" s="18">
        <v>0.0</v>
      </c>
      <c r="AD220" s="12">
        <v>7211.0</v>
      </c>
      <c r="AE220" s="6" t="s">
        <v>850</v>
      </c>
      <c r="AF220" s="6">
        <v>33.85952316</v>
      </c>
      <c r="AG220" s="6">
        <v>-118.16254168</v>
      </c>
      <c r="AH220" s="6" t="s">
        <v>2010</v>
      </c>
      <c r="AI220" s="6" t="s">
        <v>456</v>
      </c>
      <c r="AJ220" s="16">
        <f t="array" ref="AJ220">_xlfn.XLOOKUP(
  A220,
  'CMFA-CSCDA Grants'!A:A,
'CMFA-CSCDA Grants'!O:O)</f>
        <v>152</v>
      </c>
      <c r="AK220" s="16">
        <f t="array" ref="AK220">_xlfn.XLOOKUP(
  A220,
  'CMFA-CSCDA Grants'!A:A,
'CMFA-CSCDA Grants'!P:P)</f>
        <v>152</v>
      </c>
      <c r="AL220" s="8">
        <f t="array" ref="AL220">_xlfn.XLOOKUP(
  AD220,
  'Tax Rates'!A:A,
'Tax Rates'!B:B)</f>
        <v>0.01206499</v>
      </c>
    </row>
    <row r="221">
      <c r="A221" s="12">
        <v>152.0</v>
      </c>
      <c r="B221" s="6" t="str">
        <f t="array" ref="B221">_xlfn.XLOOKUP(
  A221,
  'CMFA-CSCDA Grants'!A:A,
'CMFA-CSCDA Grants'!E:E)</f>
        <v>Los Angeles</v>
      </c>
      <c r="C221" s="6" t="str">
        <f t="array" ref="C221">_xlfn.XLOOKUP(
  A221,
  'CMFA-CSCDA Grants'!A:A,
'CMFA-CSCDA Grants'!B:B)</f>
        <v>The Hive at Ackerfield Apartments</v>
      </c>
      <c r="D221" s="12">
        <v>7.157012017E9</v>
      </c>
      <c r="F221" s="6" t="b">
        <v>0</v>
      </c>
      <c r="G221" s="6" t="s">
        <v>2017</v>
      </c>
      <c r="H221" s="6" t="s">
        <v>2019</v>
      </c>
      <c r="I221" s="6" t="s">
        <v>846</v>
      </c>
      <c r="J221" s="6" t="s">
        <v>2020</v>
      </c>
      <c r="K221" s="6" t="s">
        <v>2004</v>
      </c>
      <c r="L221" s="6" t="s">
        <v>2005</v>
      </c>
      <c r="N221" s="6" t="s">
        <v>453</v>
      </c>
      <c r="O221" s="6" t="s">
        <v>110</v>
      </c>
      <c r="P221" s="6" t="s">
        <v>112</v>
      </c>
      <c r="Q221" s="6">
        <v>501.0</v>
      </c>
      <c r="R221" s="6">
        <v>1973.0</v>
      </c>
      <c r="S221" s="6">
        <v>50.0</v>
      </c>
      <c r="T221" s="6">
        <v>96.0</v>
      </c>
      <c r="U221" s="6">
        <v>88.0</v>
      </c>
      <c r="V221" s="6">
        <v>45092.0</v>
      </c>
      <c r="W221" s="6">
        <v>2025.0</v>
      </c>
      <c r="X221" s="18">
        <v>3873409.0</v>
      </c>
      <c r="Y221" s="18">
        <v>1.061208E7</v>
      </c>
      <c r="Z221" s="18">
        <f t="shared" si="15"/>
        <v>14485489</v>
      </c>
      <c r="AA221" s="6">
        <v>2022.0</v>
      </c>
      <c r="AB221" s="6">
        <v>2022.0</v>
      </c>
      <c r="AC221" s="18">
        <v>0.0</v>
      </c>
      <c r="AD221" s="12">
        <v>7211.0</v>
      </c>
      <c r="AE221" s="6" t="s">
        <v>850</v>
      </c>
      <c r="AF221" s="6">
        <v>33.85856516</v>
      </c>
      <c r="AG221" s="6">
        <v>-118.16367441</v>
      </c>
      <c r="AH221" s="6" t="s">
        <v>2023</v>
      </c>
      <c r="AI221" s="6" t="s">
        <v>456</v>
      </c>
      <c r="AJ221" s="16">
        <f t="array" ref="AJ221">_xlfn.XLOOKUP(
  A221,
  'CMFA-CSCDA Grants'!A:A,
'CMFA-CSCDA Grants'!O:O)</f>
        <v>152</v>
      </c>
      <c r="AK221" s="16">
        <f t="array" ref="AK221">_xlfn.XLOOKUP(
  A221,
  'CMFA-CSCDA Grants'!A:A,
'CMFA-CSCDA Grants'!P:P)</f>
        <v>152</v>
      </c>
      <c r="AL221" s="8">
        <f t="array" ref="AL221">_xlfn.XLOOKUP(
  AD221,
  'Tax Rates'!A:A,
'Tax Rates'!B:B)</f>
        <v>0.01206499</v>
      </c>
    </row>
    <row r="222">
      <c r="A222" s="12">
        <v>153.0</v>
      </c>
      <c r="B222" s="6" t="str">
        <f t="array" ref="B222">_xlfn.XLOOKUP(
  A222,
  'CMFA-CSCDA Grants'!A:A,
'CMFA-CSCDA Grants'!E:E)</f>
        <v>Los Angeles</v>
      </c>
      <c r="C222" s="6" t="str">
        <f t="array" ref="C222">_xlfn.XLOOKUP(
  A222,
  'CMFA-CSCDA Grants'!A:A,
'CMFA-CSCDA Grants'!B:B)</f>
        <v>Hawaiian Terrace Senior Apartments</v>
      </c>
      <c r="D222" s="12">
        <v>7.075020011E9</v>
      </c>
      <c r="F222" s="6" t="b">
        <v>0</v>
      </c>
      <c r="G222" s="6" t="s">
        <v>2036</v>
      </c>
      <c r="H222" s="6" t="s">
        <v>2038</v>
      </c>
      <c r="I222" s="6" t="s">
        <v>2039</v>
      </c>
      <c r="J222" s="6" t="s">
        <v>2040</v>
      </c>
      <c r="K222" s="6" t="s">
        <v>2041</v>
      </c>
      <c r="L222" s="6" t="s">
        <v>2043</v>
      </c>
      <c r="N222" s="6" t="s">
        <v>453</v>
      </c>
      <c r="O222" s="6" t="s">
        <v>110</v>
      </c>
      <c r="P222" s="6" t="s">
        <v>112</v>
      </c>
      <c r="Q222" s="6">
        <v>500.0</v>
      </c>
      <c r="R222" s="6">
        <v>1990.0</v>
      </c>
      <c r="S222" s="6">
        <v>100.0</v>
      </c>
      <c r="T222" s="6">
        <v>0.0</v>
      </c>
      <c r="U222" s="6">
        <v>0.0</v>
      </c>
      <c r="V222" s="6">
        <v>86449.0</v>
      </c>
      <c r="W222" s="6">
        <v>2025.0</v>
      </c>
      <c r="X222" s="18">
        <v>5624402.0</v>
      </c>
      <c r="Y222" s="18">
        <v>1.3795704E7</v>
      </c>
      <c r="Z222" s="18">
        <f t="shared" si="15"/>
        <v>19420106</v>
      </c>
      <c r="AA222" s="6">
        <v>2022.0</v>
      </c>
      <c r="AB222" s="6">
        <v>2022.0</v>
      </c>
      <c r="AC222" s="18">
        <v>0.0</v>
      </c>
      <c r="AD222" s="12">
        <v>2525.0</v>
      </c>
      <c r="AE222" s="6" t="s">
        <v>2046</v>
      </c>
      <c r="AF222" s="6">
        <v>33.82378543</v>
      </c>
      <c r="AG222" s="6">
        <v>-118.07363673</v>
      </c>
      <c r="AH222" s="6" t="s">
        <v>2047</v>
      </c>
      <c r="AI222" s="6" t="s">
        <v>456</v>
      </c>
      <c r="AJ222" s="16">
        <f t="array" ref="AJ222">_xlfn.XLOOKUP(
  A222,
  'CMFA-CSCDA Grants'!A:A,
'CMFA-CSCDA Grants'!O:O)</f>
        <v>101</v>
      </c>
      <c r="AK222" s="16">
        <f t="array" ref="AK222">_xlfn.XLOOKUP(
  A222,
  'CMFA-CSCDA Grants'!A:A,
'CMFA-CSCDA Grants'!P:P)</f>
        <v>101</v>
      </c>
      <c r="AL222" s="8">
        <f t="array" ref="AL222">_xlfn.XLOOKUP(
  AD222,
  'Tax Rates'!A:A,
'Tax Rates'!B:B)</f>
        <v>0.01135572</v>
      </c>
    </row>
    <row r="223">
      <c r="A223" s="12">
        <v>153.0</v>
      </c>
      <c r="B223" s="6" t="str">
        <f t="array" ref="B223">_xlfn.XLOOKUP(
  A223,
  'CMFA-CSCDA Grants'!A:A,
'CMFA-CSCDA Grants'!E:E)</f>
        <v>Los Angeles</v>
      </c>
      <c r="C223" s="6" t="str">
        <f t="array" ref="C223">_xlfn.XLOOKUP(
  A223,
  'CMFA-CSCDA Grants'!A:A,
'CMFA-CSCDA Grants'!B:B)</f>
        <v>Hawaiian Terrace Senior Apartments</v>
      </c>
      <c r="D223" s="12">
        <v>7.075020012E9</v>
      </c>
      <c r="F223" s="6" t="b">
        <v>0</v>
      </c>
      <c r="G223" s="6" t="s">
        <v>2058</v>
      </c>
      <c r="H223" s="6" t="s">
        <v>2059</v>
      </c>
      <c r="I223" s="6" t="s">
        <v>2060</v>
      </c>
      <c r="J223" s="6" t="s">
        <v>2040</v>
      </c>
      <c r="K223" s="6" t="s">
        <v>2041</v>
      </c>
      <c r="L223" s="6" t="s">
        <v>2043</v>
      </c>
      <c r="N223" s="6" t="s">
        <v>453</v>
      </c>
      <c r="O223" s="6" t="s">
        <v>110</v>
      </c>
      <c r="P223" s="6" t="s">
        <v>112</v>
      </c>
      <c r="Q223" s="6" t="s">
        <v>137</v>
      </c>
      <c r="W223" s="6">
        <v>2025.0</v>
      </c>
      <c r="X223" s="18">
        <v>3926469.0</v>
      </c>
      <c r="Y223" s="18">
        <v>0.0</v>
      </c>
      <c r="Z223" s="18">
        <f t="shared" si="15"/>
        <v>3926469</v>
      </c>
      <c r="AA223" s="6">
        <v>2022.0</v>
      </c>
      <c r="AB223" s="6">
        <v>2022.0</v>
      </c>
      <c r="AC223" s="18">
        <v>0.0</v>
      </c>
      <c r="AD223" s="12">
        <v>2519.0</v>
      </c>
      <c r="AE223" s="6" t="s">
        <v>2046</v>
      </c>
      <c r="AF223" s="6">
        <v>33.82354879</v>
      </c>
      <c r="AG223" s="6">
        <v>-118.07364078</v>
      </c>
      <c r="AH223" s="6" t="s">
        <v>2064</v>
      </c>
      <c r="AI223" s="6" t="s">
        <v>456</v>
      </c>
      <c r="AJ223" s="16">
        <f t="array" ref="AJ223">_xlfn.XLOOKUP(
  A223,
  'CMFA-CSCDA Grants'!A:A,
'CMFA-CSCDA Grants'!O:O)</f>
        <v>101</v>
      </c>
      <c r="AK223" s="16">
        <f t="array" ref="AK223">_xlfn.XLOOKUP(
  A223,
  'CMFA-CSCDA Grants'!A:A,
'CMFA-CSCDA Grants'!P:P)</f>
        <v>101</v>
      </c>
      <c r="AL223" s="8">
        <f t="array" ref="AL223">_xlfn.XLOOKUP(
  AD223,
  'Tax Rates'!A:A,
'Tax Rates'!B:B)</f>
        <v>0.01135572</v>
      </c>
    </row>
    <row r="224">
      <c r="A224" s="22">
        <v>154.0</v>
      </c>
      <c r="B224" s="6" t="str">
        <f t="array" ref="B224">_xlfn.XLOOKUP(
  A224,
  'CMFA-CSCDA Grants'!A:A,
'CMFA-CSCDA Grants'!E:E)</f>
        <v>San Mateo</v>
      </c>
      <c r="C224" s="6" t="str">
        <f t="array" ref="C224">_xlfn.XLOOKUP(
  A224,
  'CMFA-CSCDA Grants'!A:A,
'CMFA-CSCDA Grants'!B:B)</f>
        <v>Crystal Springs Terrace</v>
      </c>
      <c r="D224" s="24" t="s">
        <v>2072</v>
      </c>
      <c r="F224" s="6" t="b">
        <v>0</v>
      </c>
      <c r="H224" s="6" t="s">
        <v>2074</v>
      </c>
      <c r="X224" s="18" t="s">
        <v>146</v>
      </c>
      <c r="Y224" s="18" t="s">
        <v>146</v>
      </c>
      <c r="Z224" s="18">
        <v>1.80060039E8</v>
      </c>
      <c r="AC224" s="18"/>
      <c r="AD224" s="12" t="s">
        <v>242</v>
      </c>
      <c r="AJ224" s="16">
        <f t="array" ref="AJ224">_xlfn.XLOOKUP(
  A224,
  'CMFA-CSCDA Grants'!A:A,
'CMFA-CSCDA Grants'!O:O)</f>
        <v>482</v>
      </c>
      <c r="AK224" s="16">
        <f t="array" ref="AK224">_xlfn.XLOOKUP(
  A224,
  'CMFA-CSCDA Grants'!A:A,
'CMFA-CSCDA Grants'!P:P)</f>
        <v>216</v>
      </c>
      <c r="AL224" s="10">
        <f t="array" ref="AL224">_xlfn.XLOOKUP(
  AD224,
  'Tax Rates'!A:A,
'Tax Rates'!B:B)</f>
        <v>0.010941</v>
      </c>
    </row>
    <row r="225">
      <c r="A225" s="22">
        <v>155.0</v>
      </c>
      <c r="B225" s="6" t="str">
        <f t="array" ref="B225">_xlfn.XLOOKUP(
  A225,
  'CMFA-CSCDA Grants'!A:A,
'CMFA-CSCDA Grants'!E:E)</f>
        <v>Contra Costa</v>
      </c>
      <c r="C225" s="6" t="str">
        <f t="array" ref="C225">_xlfn.XLOOKUP(
  A225,
  'CMFA-CSCDA Grants'!A:A,
'CMFA-CSCDA Grants'!B:B)</f>
        <v>Trailview Apartments</v>
      </c>
      <c r="D225" s="24" t="s">
        <v>2083</v>
      </c>
      <c r="F225" s="6" t="b">
        <v>0</v>
      </c>
      <c r="H225" s="6" t="s">
        <v>2084</v>
      </c>
      <c r="X225" s="18" t="s">
        <v>146</v>
      </c>
      <c r="Y225" s="18" t="s">
        <v>146</v>
      </c>
      <c r="Z225" s="18">
        <v>3.4848175E7</v>
      </c>
      <c r="AC225" s="18"/>
      <c r="AD225" s="12" t="s">
        <v>320</v>
      </c>
      <c r="AJ225" s="16">
        <f t="array" ref="AJ225">_xlfn.XLOOKUP(
  A225,
  'CMFA-CSCDA Grants'!A:A,
'CMFA-CSCDA Grants'!O:O)</f>
        <v>120</v>
      </c>
      <c r="AK225" s="16">
        <f t="array" ref="AK225">_xlfn.XLOOKUP(
  A225,
  'CMFA-CSCDA Grants'!A:A,
'CMFA-CSCDA Grants'!P:P)</f>
        <v>120</v>
      </c>
      <c r="AL225" s="10">
        <f t="array" ref="AL225">_xlfn.XLOOKUP(
  AD225,
  'Tax Rates'!A:A,
'Tax Rates'!B:B)</f>
        <v>0.010992</v>
      </c>
    </row>
    <row r="226">
      <c r="A226" s="22">
        <v>156.0</v>
      </c>
      <c r="B226" s="6" t="str">
        <f t="array" ref="B226">_xlfn.XLOOKUP(
  A226,
  'CMFA-CSCDA Grants'!A:A,
'CMFA-CSCDA Grants'!E:E)</f>
        <v>Alameda</v>
      </c>
      <c r="C226" s="6" t="str">
        <f t="array" ref="C226">_xlfn.XLOOKUP(
  A226,
  'CMFA-CSCDA Grants'!A:A,
'CMFA-CSCDA Grants'!B:B)</f>
        <v>Casa Serena Apartments</v>
      </c>
      <c r="D226" s="24" t="s">
        <v>2100</v>
      </c>
      <c r="F226" s="6" t="b">
        <v>0</v>
      </c>
      <c r="H226" s="6" t="s">
        <v>2101</v>
      </c>
      <c r="X226" s="18" t="s">
        <v>146</v>
      </c>
      <c r="Y226" s="18" t="s">
        <v>146</v>
      </c>
      <c r="Z226" s="18">
        <v>6.5613972E7</v>
      </c>
      <c r="AC226" s="18"/>
      <c r="AD226" s="12" t="s">
        <v>212</v>
      </c>
      <c r="AJ226" s="16">
        <f t="array" ref="AJ226">_xlfn.XLOOKUP(
  A226,
  'CMFA-CSCDA Grants'!A:A,
'CMFA-CSCDA Grants'!O:O)</f>
        <v>170</v>
      </c>
      <c r="AK226" s="16">
        <f t="array" ref="AK226">_xlfn.XLOOKUP(
  A226,
  'CMFA-CSCDA Grants'!A:A,
'CMFA-CSCDA Grants'!P:P)</f>
        <v>170</v>
      </c>
      <c r="AL226" s="10">
        <f t="array" ref="AL226">_xlfn.XLOOKUP(
  AD226,
  'Tax Rates'!A:A,
'Tax Rates'!B:B)</f>
        <v>0.011741</v>
      </c>
    </row>
    <row r="227">
      <c r="A227" s="22">
        <v>157.0</v>
      </c>
      <c r="B227" s="6" t="str">
        <f t="array" ref="B227">_xlfn.XLOOKUP(
  A227,
  'CMFA-CSCDA Grants'!A:A,
'CMFA-CSCDA Grants'!E:E)</f>
        <v>San Diego</v>
      </c>
      <c r="C227" s="6" t="str">
        <f t="array" ref="C227">_xlfn.XLOOKUP(
  A227,
  'CMFA-CSCDA Grants'!A:A,
'CMFA-CSCDA Grants'!B:B)</f>
        <v>Hendrix and Hadley Apartments</v>
      </c>
      <c r="D227" s="24" t="s">
        <v>2118</v>
      </c>
      <c r="F227" s="6" t="b">
        <v>0</v>
      </c>
      <c r="H227" s="6" t="s">
        <v>2119</v>
      </c>
      <c r="X227" s="18" t="s">
        <v>146</v>
      </c>
      <c r="Y227" s="18" t="s">
        <v>146</v>
      </c>
      <c r="Z227" s="18">
        <v>1.2540125E7</v>
      </c>
      <c r="AC227" s="18"/>
      <c r="AD227" s="12" t="s">
        <v>172</v>
      </c>
      <c r="AJ227" s="16">
        <f t="array" ref="AJ227">_xlfn.XLOOKUP(
  A227,
  'CMFA-CSCDA Grants'!A:A,
'CMFA-CSCDA Grants'!O:O)</f>
        <v>551</v>
      </c>
      <c r="AK227" s="16">
        <f t="array" ref="AK227">_xlfn.XLOOKUP(
  A227,
  'CMFA-CSCDA Grants'!A:A,
'CMFA-CSCDA Grants'!P:P)</f>
        <v>440</v>
      </c>
      <c r="AL227" s="10">
        <f t="array" ref="AL227">_xlfn.XLOOKUP(
  AD227,
  'Tax Rates'!A:A,
'Tax Rates'!B:B)</f>
        <v>0.0114011</v>
      </c>
    </row>
    <row r="228">
      <c r="A228" s="22">
        <v>157.0</v>
      </c>
      <c r="B228" s="6" t="str">
        <f t="array" ref="B228">_xlfn.XLOOKUP(
  A228,
  'CMFA-CSCDA Grants'!A:A,
'CMFA-CSCDA Grants'!E:E)</f>
        <v>San Diego</v>
      </c>
      <c r="C228" s="6" t="str">
        <f t="array" ref="C228">_xlfn.XLOOKUP(
  A228,
  'CMFA-CSCDA Grants'!A:A,
'CMFA-CSCDA Grants'!B:B)</f>
        <v>Hendrix and Hadley Apartments</v>
      </c>
      <c r="D228" s="24" t="s">
        <v>2130</v>
      </c>
      <c r="F228" s="6" t="b">
        <v>0</v>
      </c>
      <c r="H228" s="6" t="s">
        <v>2131</v>
      </c>
      <c r="X228" s="18" t="s">
        <v>146</v>
      </c>
      <c r="Y228" s="18" t="s">
        <v>146</v>
      </c>
      <c r="Z228" s="18">
        <v>4.1107952E7</v>
      </c>
      <c r="AC228" s="18"/>
      <c r="AD228" s="12" t="s">
        <v>172</v>
      </c>
      <c r="AJ228" s="16">
        <f t="array" ref="AJ228">_xlfn.XLOOKUP(
  A228,
  'CMFA-CSCDA Grants'!A:A,
'CMFA-CSCDA Grants'!O:O)</f>
        <v>551</v>
      </c>
      <c r="AK228" s="16">
        <f t="array" ref="AK228">_xlfn.XLOOKUP(
  A228,
  'CMFA-CSCDA Grants'!A:A,
'CMFA-CSCDA Grants'!P:P)</f>
        <v>440</v>
      </c>
      <c r="AL228" s="10">
        <f t="array" ref="AL228">_xlfn.XLOOKUP(
  AD228,
  'Tax Rates'!A:A,
'Tax Rates'!B:B)</f>
        <v>0.0114011</v>
      </c>
    </row>
    <row r="229">
      <c r="A229" s="22">
        <v>157.0</v>
      </c>
      <c r="B229" s="6" t="str">
        <f t="array" ref="B229">_xlfn.XLOOKUP(
  A229,
  'CMFA-CSCDA Grants'!A:A,
'CMFA-CSCDA Grants'!E:E)</f>
        <v>San Diego</v>
      </c>
      <c r="C229" s="6" t="str">
        <f t="array" ref="C229">_xlfn.XLOOKUP(
  A229,
  'CMFA-CSCDA Grants'!A:A,
'CMFA-CSCDA Grants'!B:B)</f>
        <v>Hendrix and Hadley Apartments</v>
      </c>
      <c r="D229" s="24" t="s">
        <v>2148</v>
      </c>
      <c r="F229" s="6" t="b">
        <v>0</v>
      </c>
      <c r="H229" s="6" t="s">
        <v>2149</v>
      </c>
      <c r="X229" s="18" t="s">
        <v>146</v>
      </c>
      <c r="Y229" s="18" t="s">
        <v>146</v>
      </c>
      <c r="Z229" s="18">
        <v>1.8982539E7</v>
      </c>
      <c r="AC229" s="18"/>
      <c r="AD229" s="12" t="s">
        <v>172</v>
      </c>
      <c r="AJ229" s="16">
        <f t="array" ref="AJ229">_xlfn.XLOOKUP(
  A229,
  'CMFA-CSCDA Grants'!A:A,
'CMFA-CSCDA Grants'!O:O)</f>
        <v>551</v>
      </c>
      <c r="AK229" s="16">
        <f t="array" ref="AK229">_xlfn.XLOOKUP(
  A229,
  'CMFA-CSCDA Grants'!A:A,
'CMFA-CSCDA Grants'!P:P)</f>
        <v>440</v>
      </c>
      <c r="AL229" s="10">
        <f t="array" ref="AL229">_xlfn.XLOOKUP(
  AD229,
  'Tax Rates'!A:A,
'Tax Rates'!B:B)</f>
        <v>0.0114011</v>
      </c>
    </row>
    <row r="230">
      <c r="A230" s="22">
        <v>157.0</v>
      </c>
      <c r="B230" s="6" t="str">
        <f t="array" ref="B230">_xlfn.XLOOKUP(
  A230,
  'CMFA-CSCDA Grants'!A:A,
'CMFA-CSCDA Grants'!E:E)</f>
        <v>San Diego</v>
      </c>
      <c r="C230" s="6" t="str">
        <f t="array" ref="C230">_xlfn.XLOOKUP(
  A230,
  'CMFA-CSCDA Grants'!A:A,
'CMFA-CSCDA Grants'!B:B)</f>
        <v>Hendrix and Hadley Apartments</v>
      </c>
      <c r="D230" s="24" t="s">
        <v>2158</v>
      </c>
      <c r="F230" s="6" t="b">
        <v>0</v>
      </c>
      <c r="H230" s="6" t="s">
        <v>2161</v>
      </c>
      <c r="X230" s="18" t="s">
        <v>146</v>
      </c>
      <c r="Y230" s="18" t="s">
        <v>146</v>
      </c>
      <c r="Z230" s="18">
        <v>1.2540125E7</v>
      </c>
      <c r="AC230" s="18"/>
      <c r="AD230" s="12" t="s">
        <v>172</v>
      </c>
      <c r="AJ230" s="16">
        <f t="array" ref="AJ230">_xlfn.XLOOKUP(
  A230,
  'CMFA-CSCDA Grants'!A:A,
'CMFA-CSCDA Grants'!O:O)</f>
        <v>551</v>
      </c>
      <c r="AK230" s="16">
        <f t="array" ref="AK230">_xlfn.XLOOKUP(
  A230,
  'CMFA-CSCDA Grants'!A:A,
'CMFA-CSCDA Grants'!P:P)</f>
        <v>440</v>
      </c>
      <c r="AL230" s="10">
        <f t="array" ref="AL230">_xlfn.XLOOKUP(
  AD230,
  'Tax Rates'!A:A,
'Tax Rates'!B:B)</f>
        <v>0.0114011</v>
      </c>
    </row>
    <row r="231">
      <c r="A231" s="12">
        <v>158.0</v>
      </c>
      <c r="B231" s="6" t="str">
        <f t="array" ref="B231">_xlfn.XLOOKUP(
  A231,
  'CMFA-CSCDA Grants'!A:A,
'CMFA-CSCDA Grants'!E:E)</f>
        <v>Los Angeles</v>
      </c>
      <c r="C231" s="6" t="str">
        <f t="array" ref="C231">_xlfn.XLOOKUP(
  A231,
  'CMFA-CSCDA Grants'!A:A,
'CMFA-CSCDA Grants'!B:B)</f>
        <v>Kalmia Apartments</v>
      </c>
    </row>
    <row r="232">
      <c r="A232" s="12">
        <v>159.0</v>
      </c>
      <c r="B232" s="6" t="str">
        <f t="array" ref="B232">_xlfn.XLOOKUP(
  A232,
  'CMFA-CSCDA Grants'!A:A,
'CMFA-CSCDA Grants'!E:E)</f>
        <v>Los Angeles</v>
      </c>
      <c r="C232" s="6" t="str">
        <f t="array" ref="C232">_xlfn.XLOOKUP(
  A232,
  'CMFA-CSCDA Grants'!A:A,
'CMFA-CSCDA Grants'!B:B)</f>
        <v>1141 N. Vermont Avenue Apartments</v>
      </c>
      <c r="D232" s="12" t="s">
        <v>2176</v>
      </c>
      <c r="F232" s="6" t="b">
        <v>0</v>
      </c>
      <c r="G232" s="6"/>
      <c r="H232" s="6" t="s">
        <v>2178</v>
      </c>
      <c r="I232" s="6"/>
      <c r="J232" s="6"/>
      <c r="K232" s="6"/>
      <c r="L232" s="6"/>
      <c r="N232" s="6"/>
      <c r="O232" s="6"/>
      <c r="P232" s="6"/>
      <c r="Q232" s="6"/>
      <c r="R232" s="6"/>
      <c r="S232" s="6"/>
      <c r="T232" s="6"/>
      <c r="U232" s="6"/>
      <c r="V232" s="6"/>
      <c r="W232" s="6"/>
      <c r="X232" s="18"/>
      <c r="Y232" s="18"/>
      <c r="Z232" s="18"/>
      <c r="AA232" s="6"/>
      <c r="AB232" s="6"/>
      <c r="AC232" s="18"/>
      <c r="AD232" s="12">
        <v>13.0</v>
      </c>
      <c r="AE232" s="6" t="s">
        <v>115</v>
      </c>
      <c r="AF232" s="6"/>
      <c r="AG232" s="6"/>
      <c r="AH232" s="6"/>
      <c r="AI232" s="6"/>
    </row>
    <row r="233">
      <c r="A233" s="12">
        <v>160.0</v>
      </c>
      <c r="B233" s="6" t="str">
        <f t="array" ref="B233">_xlfn.XLOOKUP(
  A233,
  'CMFA-CSCDA Grants'!A:A,
'CMFA-CSCDA Grants'!E:E)</f>
        <v>Los Angeles</v>
      </c>
      <c r="C233" s="6" t="str">
        <f t="array" ref="C233">_xlfn.XLOOKUP(
  A233,
  'CMFA-CSCDA Grants'!A:A,
'CMFA-CSCDA Grants'!B:B)</f>
        <v>12th Street Apartments</v>
      </c>
      <c r="D233" s="12">
        <v>5.080011007E9</v>
      </c>
      <c r="F233" s="6" t="b">
        <v>0</v>
      </c>
      <c r="G233" s="6" t="s">
        <v>2185</v>
      </c>
      <c r="H233" s="6" t="s">
        <v>2186</v>
      </c>
      <c r="I233" s="6" t="s">
        <v>105</v>
      </c>
      <c r="J233" s="6" t="s">
        <v>2187</v>
      </c>
      <c r="K233" s="6" t="s">
        <v>2165</v>
      </c>
      <c r="L233" s="6" t="s">
        <v>2159</v>
      </c>
      <c r="N233" s="6" t="s">
        <v>109</v>
      </c>
      <c r="O233" s="6" t="s">
        <v>110</v>
      </c>
      <c r="P233" s="6" t="s">
        <v>112</v>
      </c>
      <c r="Q233" s="6">
        <v>500.0</v>
      </c>
      <c r="R233" s="6">
        <v>1928.0</v>
      </c>
      <c r="S233" s="6">
        <v>16.0</v>
      </c>
      <c r="T233" s="6">
        <v>4.0</v>
      </c>
      <c r="U233" s="6">
        <v>16.0</v>
      </c>
      <c r="V233" s="6">
        <v>9842.0</v>
      </c>
      <c r="W233" s="6">
        <v>2025.0</v>
      </c>
      <c r="X233" s="18">
        <v>2007932.0</v>
      </c>
      <c r="Y233" s="18">
        <v>680463.0</v>
      </c>
      <c r="Z233" s="18">
        <f t="shared" ref="Z233:Z234" si="16">SUM(X233:Y233)</f>
        <v>2688395</v>
      </c>
      <c r="AA233" s="6">
        <v>2019.0</v>
      </c>
      <c r="AB233" s="6">
        <v>2019.0</v>
      </c>
      <c r="AC233" s="18">
        <v>0.0</v>
      </c>
      <c r="AD233" s="12">
        <v>67.0</v>
      </c>
      <c r="AE233" s="6" t="s">
        <v>115</v>
      </c>
      <c r="AF233" s="6">
        <v>34.04875265</v>
      </c>
      <c r="AG233" s="6">
        <v>-118.30772673</v>
      </c>
      <c r="AH233" s="6" t="s">
        <v>2196</v>
      </c>
      <c r="AI233" s="6" t="s">
        <v>2197</v>
      </c>
      <c r="AJ233" s="16">
        <f t="array" ref="AJ233">_xlfn.XLOOKUP(
  A231,
  'CMFA-CSCDA Grants'!A:A,
'CMFA-CSCDA Grants'!O:O)</f>
        <v>29</v>
      </c>
      <c r="AK233" s="16">
        <f t="array" ref="AK233">_xlfn.XLOOKUP(
  A231,
  'CMFA-CSCDA Grants'!A:A,
'CMFA-CSCDA Grants'!P:P)</f>
        <v>29</v>
      </c>
      <c r="AL233" s="8">
        <f t="array" ref="AL233">_xlfn.XLOOKUP(
  AD233,
  'Tax Rates'!A:A,
'Tax Rates'!B:B)</f>
        <v>0.0118738</v>
      </c>
    </row>
    <row r="234">
      <c r="A234" s="12">
        <v>161.0</v>
      </c>
      <c r="B234" s="6" t="str">
        <f t="array" ref="B234">_xlfn.XLOOKUP(
  A234,
  'CMFA-CSCDA Grants'!A:A,
'CMFA-CSCDA Grants'!E:E)</f>
        <v>Los Angeles</v>
      </c>
      <c r="C234" s="6" t="str">
        <f t="array" ref="C234">_xlfn.XLOOKUP(
  A234,
  'CMFA-CSCDA Grants'!A:A,
'CMFA-CSCDA Grants'!B:B)</f>
        <v>8th Street Apartments</v>
      </c>
      <c r="D234" s="12" t="s">
        <v>2215</v>
      </c>
      <c r="F234" s="6" t="b">
        <v>0</v>
      </c>
      <c r="G234" s="6" t="s">
        <v>2215</v>
      </c>
      <c r="H234" s="6" t="s">
        <v>2216</v>
      </c>
      <c r="I234" s="6"/>
      <c r="J234" s="6"/>
      <c r="K234" s="6"/>
      <c r="L234" s="6"/>
      <c r="N234" s="6"/>
      <c r="O234" s="6"/>
      <c r="P234" s="6"/>
      <c r="Q234" s="6"/>
      <c r="R234" s="6"/>
      <c r="S234" s="6"/>
      <c r="T234" s="6"/>
      <c r="U234" s="6"/>
      <c r="V234" s="6"/>
      <c r="W234" s="6"/>
      <c r="X234" s="18">
        <v>6221592.0</v>
      </c>
      <c r="Y234" s="18">
        <v>2861100.0</v>
      </c>
      <c r="Z234" s="18">
        <f t="shared" si="16"/>
        <v>9082692</v>
      </c>
      <c r="AA234" s="6"/>
      <c r="AB234" s="6"/>
      <c r="AC234" s="18"/>
      <c r="AD234" s="12">
        <v>6657.0</v>
      </c>
      <c r="AE234" s="6"/>
      <c r="AF234" s="6"/>
      <c r="AG234" s="6"/>
      <c r="AH234" s="6"/>
      <c r="AI234" s="6"/>
    </row>
    <row r="235">
      <c r="A235" s="12">
        <v>162.0</v>
      </c>
      <c r="B235" s="6" t="str">
        <f t="array" ref="B235">_xlfn.XLOOKUP(
  A235,
  'CMFA-CSCDA Grants'!A:A,
'CMFA-CSCDA Grants'!E:E)</f>
        <v>Los Angeles</v>
      </c>
      <c r="C235" s="6" t="str">
        <f t="array" ref="C235">_xlfn.XLOOKUP(
  A235,
  'CMFA-CSCDA Grants'!A:A,
'CMFA-CSCDA Grants'!B:B)</f>
        <v>Alexandria II Apartments</v>
      </c>
      <c r="D235" s="12" t="s">
        <v>1681</v>
      </c>
      <c r="F235" s="6" t="b">
        <v>0</v>
      </c>
      <c r="G235" s="6" t="s">
        <v>1681</v>
      </c>
      <c r="H235" s="6" t="s">
        <v>1682</v>
      </c>
      <c r="I235" s="6"/>
      <c r="J235" s="6"/>
      <c r="K235" s="6"/>
      <c r="L235" s="6"/>
      <c r="N235" s="6"/>
      <c r="O235" s="6"/>
      <c r="P235" s="6"/>
      <c r="Q235" s="6"/>
      <c r="R235" s="6"/>
      <c r="S235" s="6"/>
      <c r="T235" s="6"/>
      <c r="U235" s="6"/>
      <c r="V235" s="6"/>
      <c r="W235" s="6"/>
      <c r="X235" s="18"/>
      <c r="Y235" s="18"/>
      <c r="Z235" s="18"/>
      <c r="AA235" s="6"/>
      <c r="AB235" s="6"/>
      <c r="AC235" s="18"/>
      <c r="AD235" s="12"/>
      <c r="AE235" s="6"/>
      <c r="AF235" s="6"/>
      <c r="AG235" s="6"/>
      <c r="AH235" s="6"/>
      <c r="AI235" s="6"/>
    </row>
    <row r="236">
      <c r="A236" s="12">
        <v>163.0</v>
      </c>
      <c r="B236" s="6" t="str">
        <f t="array" ref="B236">_xlfn.XLOOKUP(
  A236,
  'CMFA-CSCDA Grants'!A:A,
'CMFA-CSCDA Grants'!E:E)</f>
        <v>Los Angeles</v>
      </c>
      <c r="C236" s="6" t="str">
        <f t="array" ref="C236">_xlfn.XLOOKUP(
  A236,
  'CMFA-CSCDA Grants'!A:A,
'CMFA-CSCDA Grants'!B:B)</f>
        <v>Ardmore Apartments</v>
      </c>
      <c r="D236" s="12" t="s">
        <v>2237</v>
      </c>
      <c r="F236" s="6" t="b">
        <v>0</v>
      </c>
      <c r="G236" s="6" t="s">
        <v>2237</v>
      </c>
      <c r="H236" s="6" t="s">
        <v>2238</v>
      </c>
      <c r="I236" s="6"/>
      <c r="J236" s="6"/>
      <c r="K236" s="6"/>
      <c r="L236" s="6"/>
      <c r="N236" s="6"/>
      <c r="O236" s="6"/>
      <c r="P236" s="6"/>
      <c r="Q236" s="6"/>
      <c r="R236" s="6"/>
      <c r="S236" s="6"/>
      <c r="T236" s="6"/>
      <c r="U236" s="6"/>
      <c r="V236" s="6"/>
      <c r="W236" s="6"/>
      <c r="X236" s="18"/>
      <c r="Y236" s="18"/>
      <c r="Z236" s="18"/>
      <c r="AA236" s="6"/>
      <c r="AB236" s="6"/>
      <c r="AC236" s="18"/>
      <c r="AD236" s="12"/>
      <c r="AE236" s="6"/>
      <c r="AF236" s="6"/>
      <c r="AG236" s="6"/>
      <c r="AH236" s="6"/>
      <c r="AI236" s="6"/>
    </row>
    <row r="237">
      <c r="A237" s="12">
        <v>164.0</v>
      </c>
      <c r="B237" s="6" t="str">
        <f t="array" ref="B237">_xlfn.XLOOKUP(
  A237,
  'CMFA-CSCDA Grants'!A:A,
'CMFA-CSCDA Grants'!E:E)</f>
        <v>Los Angeles</v>
      </c>
      <c r="C237" s="6" t="str">
        <f t="array" ref="C237">_xlfn.XLOOKUP(
  A237,
  'CMFA-CSCDA Grants'!A:A,
'CMFA-CSCDA Grants'!B:B)</f>
        <v>Avalon Apartments</v>
      </c>
      <c r="D237" s="12" t="s">
        <v>2244</v>
      </c>
      <c r="F237" s="6" t="b">
        <v>0</v>
      </c>
      <c r="G237" s="6" t="s">
        <v>2244</v>
      </c>
      <c r="H237" s="6" t="s">
        <v>2245</v>
      </c>
      <c r="I237" s="6"/>
      <c r="J237" s="6"/>
      <c r="K237" s="6"/>
      <c r="L237" s="6"/>
      <c r="N237" s="6"/>
      <c r="O237" s="6"/>
      <c r="P237" s="6"/>
      <c r="Q237" s="6"/>
      <c r="R237" s="6"/>
      <c r="S237" s="6"/>
      <c r="T237" s="6"/>
      <c r="U237" s="6"/>
      <c r="V237" s="6"/>
      <c r="W237" s="6"/>
      <c r="X237" s="18"/>
      <c r="Y237" s="18"/>
      <c r="Z237" s="18"/>
      <c r="AA237" s="6"/>
      <c r="AB237" s="6"/>
      <c r="AC237" s="18"/>
      <c r="AD237" s="12"/>
      <c r="AE237" s="6"/>
      <c r="AF237" s="6"/>
      <c r="AG237" s="6"/>
      <c r="AH237" s="6"/>
      <c r="AI237" s="6"/>
    </row>
    <row r="238">
      <c r="A238" s="12">
        <v>165.0</v>
      </c>
      <c r="B238" s="6" t="str">
        <f t="array" ref="B238">_xlfn.XLOOKUP(
  A238,
  'CMFA-CSCDA Grants'!A:A,
'CMFA-CSCDA Grants'!E:E)</f>
        <v>Los Angeles</v>
      </c>
      <c r="C238" s="6" t="str">
        <f t="array" ref="C238">_xlfn.XLOOKUP(
  A238,
  'CMFA-CSCDA Grants'!A:A,
'CMFA-CSCDA Grants'!B:B)</f>
        <v>Fedora Apartments</v>
      </c>
      <c r="D238" s="12" t="s">
        <v>1706</v>
      </c>
      <c r="F238" s="6" t="b">
        <v>0</v>
      </c>
      <c r="G238" s="6" t="s">
        <v>1706</v>
      </c>
      <c r="H238" s="6" t="s">
        <v>1707</v>
      </c>
      <c r="I238" s="6"/>
      <c r="J238" s="6"/>
      <c r="K238" s="6"/>
      <c r="L238" s="6"/>
      <c r="N238" s="6"/>
      <c r="O238" s="6"/>
      <c r="P238" s="6"/>
      <c r="Q238" s="6"/>
      <c r="R238" s="6"/>
      <c r="S238" s="6"/>
      <c r="T238" s="6"/>
      <c r="U238" s="6"/>
      <c r="V238" s="6"/>
      <c r="W238" s="6"/>
      <c r="X238" s="18"/>
      <c r="Y238" s="18"/>
      <c r="Z238" s="18"/>
      <c r="AA238" s="6"/>
      <c r="AB238" s="6"/>
      <c r="AC238" s="18"/>
      <c r="AD238" s="12"/>
      <c r="AE238" s="6"/>
      <c r="AF238" s="6"/>
      <c r="AG238" s="6"/>
      <c r="AH238" s="6"/>
      <c r="AI238" s="6"/>
    </row>
    <row r="239">
      <c r="A239" s="12">
        <v>166.0</v>
      </c>
      <c r="B239" s="6" t="str">
        <f t="array" ref="B239">_xlfn.XLOOKUP(
  A239,
  'CMFA-CSCDA Grants'!A:A,
'CMFA-CSCDA Grants'!E:E)</f>
        <v>Los Angeles</v>
      </c>
      <c r="C239" s="6" t="str">
        <f t="array" ref="C239">_xlfn.XLOOKUP(
  A239,
  'CMFA-CSCDA Grants'!A:A,
'CMFA-CSCDA Grants'!B:B)</f>
        <v>Harvard Apartments</v>
      </c>
      <c r="D239" s="12" t="s">
        <v>2263</v>
      </c>
      <c r="F239" s="6" t="b">
        <v>0</v>
      </c>
      <c r="G239" s="6" t="s">
        <v>2263</v>
      </c>
      <c r="H239" s="6" t="s">
        <v>2266</v>
      </c>
      <c r="I239" s="6"/>
      <c r="J239" s="6"/>
      <c r="K239" s="6"/>
      <c r="L239" s="6"/>
      <c r="N239" s="6"/>
      <c r="O239" s="6"/>
      <c r="P239" s="6"/>
      <c r="Q239" s="6"/>
      <c r="R239" s="6"/>
      <c r="S239" s="6"/>
      <c r="T239" s="6"/>
      <c r="U239" s="6"/>
      <c r="V239" s="6"/>
      <c r="W239" s="6"/>
      <c r="X239" s="18"/>
      <c r="Y239" s="18"/>
      <c r="Z239" s="18"/>
      <c r="AA239" s="6"/>
      <c r="AB239" s="6"/>
      <c r="AC239" s="18"/>
      <c r="AD239" s="12"/>
      <c r="AE239" s="6"/>
      <c r="AF239" s="6"/>
      <c r="AG239" s="6"/>
      <c r="AH239" s="6"/>
      <c r="AI239" s="6"/>
    </row>
    <row r="240">
      <c r="A240" s="12">
        <v>167.0</v>
      </c>
      <c r="B240" s="6" t="str">
        <f t="array" ref="B240">_xlfn.XLOOKUP(
  A240,
  'CMFA-CSCDA Grants'!A:A,
'CMFA-CSCDA Grants'!E:E)</f>
        <v>Los Angeles</v>
      </c>
      <c r="C240" s="6" t="str">
        <f t="array" ref="C240">_xlfn.XLOOKUP(
  A240,
  'CMFA-CSCDA Grants'!A:A,
'CMFA-CSCDA Grants'!B:B)</f>
        <v>Hollywood Apartments</v>
      </c>
      <c r="D240" s="12" t="s">
        <v>2273</v>
      </c>
      <c r="F240" s="6" t="b">
        <v>0</v>
      </c>
      <c r="G240" s="6" t="s">
        <v>2273</v>
      </c>
      <c r="H240" s="6" t="s">
        <v>2274</v>
      </c>
      <c r="I240" s="6"/>
      <c r="J240" s="6"/>
      <c r="K240" s="6"/>
      <c r="L240" s="6"/>
      <c r="N240" s="6"/>
      <c r="O240" s="6"/>
      <c r="P240" s="6"/>
      <c r="Q240" s="6"/>
      <c r="R240" s="6"/>
      <c r="S240" s="6"/>
      <c r="T240" s="6"/>
      <c r="U240" s="6"/>
      <c r="V240" s="6"/>
      <c r="W240" s="6"/>
      <c r="X240" s="18"/>
      <c r="Y240" s="18"/>
      <c r="Z240" s="18"/>
      <c r="AA240" s="6"/>
      <c r="AB240" s="6"/>
      <c r="AC240" s="18"/>
      <c r="AD240" s="12"/>
      <c r="AE240" s="6"/>
      <c r="AF240" s="6"/>
      <c r="AG240" s="6"/>
      <c r="AH240" s="6"/>
      <c r="AI240" s="6"/>
    </row>
    <row r="241">
      <c r="A241" s="12">
        <v>168.0</v>
      </c>
      <c r="B241" s="6" t="str">
        <f t="array" ref="B241">_xlfn.XLOOKUP(
  A241,
  'CMFA-CSCDA Grants'!A:A,
'CMFA-CSCDA Grants'!E:E)</f>
        <v>Los Angeles</v>
      </c>
      <c r="C241" s="6" t="str">
        <f t="array" ref="C241">_xlfn.XLOOKUP(
  A241,
  'CMFA-CSCDA Grants'!A:A,
'CMFA-CSCDA Grants'!B:B)</f>
        <v>Kenmore II Apartments</v>
      </c>
      <c r="D241" s="12" t="s">
        <v>1728</v>
      </c>
      <c r="F241" s="6" t="b">
        <v>0</v>
      </c>
      <c r="G241" s="6" t="s">
        <v>1728</v>
      </c>
      <c r="H241" s="6" t="s">
        <v>1729</v>
      </c>
      <c r="I241" s="6"/>
      <c r="J241" s="6"/>
      <c r="K241" s="6"/>
      <c r="L241" s="6"/>
      <c r="N241" s="6"/>
      <c r="O241" s="6"/>
      <c r="P241" s="6"/>
      <c r="Q241" s="6"/>
      <c r="R241" s="6"/>
      <c r="S241" s="6"/>
      <c r="T241" s="6"/>
      <c r="U241" s="6"/>
      <c r="V241" s="6"/>
      <c r="W241" s="6"/>
      <c r="X241" s="18"/>
      <c r="Y241" s="18"/>
      <c r="Z241" s="18"/>
      <c r="AA241" s="6"/>
      <c r="AB241" s="6"/>
      <c r="AC241" s="18"/>
      <c r="AD241" s="12"/>
      <c r="AE241" s="6"/>
      <c r="AF241" s="6"/>
      <c r="AG241" s="6"/>
      <c r="AH241" s="6"/>
      <c r="AI241" s="6"/>
    </row>
    <row r="242">
      <c r="A242" s="12">
        <v>169.0</v>
      </c>
      <c r="B242" s="6" t="str">
        <f t="array" ref="B242">_xlfn.XLOOKUP(
  A242,
  'CMFA-CSCDA Grants'!A:A,
'CMFA-CSCDA Grants'!E:E)</f>
        <v>Los Angeles</v>
      </c>
      <c r="C242" s="6" t="str">
        <f t="array" ref="C242">_xlfn.XLOOKUP(
  A242,
  'CMFA-CSCDA Grants'!A:A,
'CMFA-CSCDA Grants'!B:B)</f>
        <v>Kenmore III Apartments</v>
      </c>
      <c r="D242" s="12" t="s">
        <v>1751</v>
      </c>
      <c r="F242" s="6" t="b">
        <v>0</v>
      </c>
      <c r="G242" s="6" t="s">
        <v>1751</v>
      </c>
      <c r="H242" s="6" t="s">
        <v>1752</v>
      </c>
      <c r="I242" s="6"/>
      <c r="J242" s="6"/>
      <c r="K242" s="6"/>
      <c r="L242" s="6"/>
      <c r="N242" s="6"/>
      <c r="O242" s="6"/>
      <c r="P242" s="6"/>
      <c r="Q242" s="6"/>
      <c r="R242" s="6"/>
      <c r="S242" s="6"/>
      <c r="T242" s="6"/>
      <c r="U242" s="6"/>
      <c r="V242" s="6"/>
      <c r="W242" s="6"/>
      <c r="X242" s="18"/>
      <c r="Y242" s="18"/>
      <c r="Z242" s="18"/>
      <c r="AA242" s="6"/>
      <c r="AB242" s="6"/>
      <c r="AC242" s="18"/>
      <c r="AD242" s="12"/>
      <c r="AE242" s="6"/>
      <c r="AF242" s="6"/>
      <c r="AG242" s="6"/>
      <c r="AH242" s="6"/>
      <c r="AI242" s="6"/>
    </row>
    <row r="243">
      <c r="A243" s="12">
        <v>170.0</v>
      </c>
      <c r="B243" s="6" t="str">
        <f t="array" ref="B243">_xlfn.XLOOKUP(
  A243,
  'CMFA-CSCDA Grants'!A:A,
'CMFA-CSCDA Grants'!E:E)</f>
        <v>Los Angeles</v>
      </c>
      <c r="C243" s="6" t="str">
        <f t="array" ref="C243">_xlfn.XLOOKUP(
  A243,
  'CMFA-CSCDA Grants'!A:A,
'CMFA-CSCDA Grants'!B:B)</f>
        <v>Kinglsey Apartments</v>
      </c>
      <c r="D243" s="12" t="s">
        <v>1761</v>
      </c>
      <c r="F243" s="6" t="b">
        <v>0</v>
      </c>
      <c r="G243" s="6" t="s">
        <v>1761</v>
      </c>
      <c r="H243" s="6" t="s">
        <v>1762</v>
      </c>
      <c r="I243" s="6"/>
      <c r="J243" s="6"/>
      <c r="K243" s="6"/>
      <c r="L243" s="6"/>
      <c r="N243" s="6"/>
      <c r="O243" s="6"/>
      <c r="P243" s="6"/>
      <c r="Q243" s="6"/>
      <c r="R243" s="6"/>
      <c r="S243" s="6"/>
      <c r="T243" s="6"/>
      <c r="U243" s="6"/>
      <c r="V243" s="6"/>
      <c r="W243" s="6"/>
      <c r="X243" s="18"/>
      <c r="Y243" s="18"/>
      <c r="Z243" s="18"/>
      <c r="AA243" s="6"/>
      <c r="AB243" s="6"/>
      <c r="AC243" s="18"/>
      <c r="AD243" s="12"/>
      <c r="AE243" s="6"/>
      <c r="AF243" s="6"/>
      <c r="AG243" s="6"/>
      <c r="AH243" s="6"/>
      <c r="AI243" s="6"/>
    </row>
    <row r="244">
      <c r="A244" s="12">
        <v>171.0</v>
      </c>
      <c r="B244" s="6" t="str">
        <f t="array" ref="B244">_xlfn.XLOOKUP(
  A244,
  'CMFA-CSCDA Grants'!A:A,
'CMFA-CSCDA Grants'!E:E)</f>
        <v>Los Angeles</v>
      </c>
      <c r="C244" s="6" t="str">
        <f t="array" ref="C244">_xlfn.XLOOKUP(
  A244,
  'CMFA-CSCDA Grants'!A:A,
'CMFA-CSCDA Grants'!B:B)</f>
        <v>Lexington Apartments</v>
      </c>
      <c r="D244" s="12" t="s">
        <v>2290</v>
      </c>
      <c r="F244" s="6" t="b">
        <v>0</v>
      </c>
      <c r="G244" s="6" t="s">
        <v>2290</v>
      </c>
      <c r="H244" s="6" t="s">
        <v>2291</v>
      </c>
      <c r="I244" s="6"/>
      <c r="J244" s="6"/>
      <c r="K244" s="6"/>
      <c r="L244" s="6"/>
      <c r="N244" s="6"/>
      <c r="O244" s="6"/>
      <c r="P244" s="6"/>
      <c r="Q244" s="6"/>
      <c r="R244" s="6"/>
      <c r="S244" s="6"/>
      <c r="T244" s="6"/>
      <c r="U244" s="6"/>
      <c r="V244" s="6"/>
      <c r="W244" s="6"/>
      <c r="X244" s="18"/>
      <c r="Y244" s="18"/>
      <c r="Z244" s="18"/>
      <c r="AA244" s="6"/>
      <c r="AB244" s="6"/>
      <c r="AC244" s="18"/>
      <c r="AD244" s="12"/>
      <c r="AE244" s="6"/>
      <c r="AF244" s="6"/>
      <c r="AG244" s="6"/>
      <c r="AH244" s="6"/>
      <c r="AI244" s="6"/>
    </row>
    <row r="245">
      <c r="A245" s="12">
        <v>172.0</v>
      </c>
      <c r="B245" s="6" t="str">
        <f t="array" ref="B245">_xlfn.XLOOKUP(
  A245,
  'CMFA-CSCDA Grants'!A:A,
'CMFA-CSCDA Grants'!E:E)</f>
        <v>Los Angeles</v>
      </c>
      <c r="C245" s="6" t="str">
        <f t="array" ref="C245">_xlfn.XLOOKUP(
  A245,
  'CMFA-CSCDA Grants'!A:A,
'CMFA-CSCDA Grants'!B:B)</f>
        <v>Manhattan I &amp; II Apartments</v>
      </c>
      <c r="D245" s="12" t="s">
        <v>2300</v>
      </c>
      <c r="F245" s="6" t="b">
        <v>0</v>
      </c>
      <c r="G245" s="6" t="s">
        <v>2300</v>
      </c>
      <c r="H245" s="6" t="s">
        <v>2302</v>
      </c>
      <c r="I245" s="6"/>
      <c r="J245" s="6"/>
      <c r="K245" s="6"/>
      <c r="L245" s="6"/>
      <c r="N245" s="6"/>
      <c r="O245" s="6"/>
      <c r="P245" s="6"/>
      <c r="Q245" s="6"/>
      <c r="R245" s="6"/>
      <c r="S245" s="6"/>
      <c r="T245" s="6"/>
      <c r="U245" s="6"/>
      <c r="V245" s="6"/>
      <c r="W245" s="6"/>
      <c r="X245" s="18"/>
      <c r="Y245" s="18"/>
      <c r="Z245" s="18"/>
      <c r="AA245" s="6"/>
      <c r="AB245" s="6"/>
      <c r="AC245" s="18"/>
      <c r="AD245" s="12"/>
      <c r="AE245" s="6"/>
      <c r="AF245" s="6"/>
      <c r="AG245" s="6"/>
      <c r="AH245" s="6"/>
      <c r="AI245" s="6"/>
    </row>
    <row r="246">
      <c r="A246" s="12">
        <v>172.0</v>
      </c>
      <c r="B246" s="6" t="str">
        <f t="array" ref="B246">_xlfn.XLOOKUP(
  A246,
  'CMFA-CSCDA Grants'!A:A,
'CMFA-CSCDA Grants'!E:E)</f>
        <v>Los Angeles</v>
      </c>
      <c r="C246" s="6" t="str">
        <f t="array" ref="C246">_xlfn.XLOOKUP(
  A246,
  'CMFA-CSCDA Grants'!A:A,
'CMFA-CSCDA Grants'!B:B)</f>
        <v>Manhattan I &amp; II Apartments</v>
      </c>
      <c r="D246" s="12" t="s">
        <v>2314</v>
      </c>
      <c r="F246" s="6" t="b">
        <v>0</v>
      </c>
      <c r="G246" s="6" t="s">
        <v>2314</v>
      </c>
      <c r="H246" s="6" t="s">
        <v>2317</v>
      </c>
      <c r="I246" s="6"/>
      <c r="J246" s="6"/>
      <c r="K246" s="6"/>
      <c r="L246" s="6"/>
      <c r="N246" s="6"/>
      <c r="O246" s="6"/>
      <c r="P246" s="6"/>
      <c r="Q246" s="6"/>
      <c r="R246" s="6"/>
      <c r="S246" s="6"/>
      <c r="T246" s="6"/>
      <c r="U246" s="6"/>
      <c r="V246" s="6"/>
      <c r="W246" s="6"/>
      <c r="X246" s="18"/>
      <c r="Y246" s="18"/>
      <c r="Z246" s="18"/>
      <c r="AA246" s="6"/>
      <c r="AB246" s="6"/>
      <c r="AC246" s="18"/>
      <c r="AD246" s="12"/>
      <c r="AE246" s="6"/>
      <c r="AF246" s="6"/>
      <c r="AG246" s="6"/>
      <c r="AH246" s="6"/>
      <c r="AI246" s="6"/>
    </row>
    <row r="247">
      <c r="A247" s="12">
        <v>173.0</v>
      </c>
      <c r="B247" s="6" t="str">
        <f t="array" ref="B247">_xlfn.XLOOKUP(
  A247,
  'CMFA-CSCDA Grants'!A:A,
'CMFA-CSCDA Grants'!E:E)</f>
        <v>Los Angeles</v>
      </c>
      <c r="C247" s="6" t="str">
        <f t="array" ref="C247">_xlfn.XLOOKUP(
  A247,
  'CMFA-CSCDA Grants'!A:A,
'CMFA-CSCDA Grants'!B:B)</f>
        <v>Mariposa I Apartments</v>
      </c>
      <c r="D247" s="12" t="s">
        <v>1767</v>
      </c>
      <c r="F247" s="6" t="b">
        <v>0</v>
      </c>
      <c r="G247" s="6" t="s">
        <v>1767</v>
      </c>
      <c r="H247" s="6" t="s">
        <v>1768</v>
      </c>
      <c r="I247" s="6"/>
      <c r="J247" s="6"/>
      <c r="K247" s="6"/>
      <c r="L247" s="6"/>
      <c r="N247" s="6"/>
      <c r="O247" s="6"/>
      <c r="P247" s="6"/>
      <c r="Q247" s="6"/>
      <c r="R247" s="6"/>
      <c r="S247" s="6"/>
      <c r="T247" s="6"/>
      <c r="U247" s="6"/>
      <c r="V247" s="6"/>
      <c r="W247" s="6"/>
      <c r="X247" s="18"/>
      <c r="Y247" s="18"/>
      <c r="Z247" s="18"/>
      <c r="AA247" s="6"/>
      <c r="AB247" s="6"/>
      <c r="AC247" s="18"/>
      <c r="AD247" s="12"/>
      <c r="AE247" s="6"/>
      <c r="AF247" s="6"/>
      <c r="AG247" s="6"/>
      <c r="AH247" s="6"/>
      <c r="AI247" s="6"/>
    </row>
    <row r="248">
      <c r="A248" s="12">
        <v>174.0</v>
      </c>
      <c r="B248" s="6" t="str">
        <f t="array" ref="B248">_xlfn.XLOOKUP(
  A248,
  'CMFA-CSCDA Grants'!A:A,
'CMFA-CSCDA Grants'!E:E)</f>
        <v>Los Angeles</v>
      </c>
      <c r="C248" s="6" t="str">
        <f t="array" ref="C248">_xlfn.XLOOKUP(
  A248,
  'CMFA-CSCDA Grants'!A:A,
'CMFA-CSCDA Grants'!B:B)</f>
        <v>Mariposa III Apartments</v>
      </c>
      <c r="D248" s="12" t="s">
        <v>1775</v>
      </c>
      <c r="F248" s="6" t="b">
        <v>0</v>
      </c>
      <c r="G248" s="6" t="s">
        <v>1775</v>
      </c>
      <c r="H248" s="6" t="s">
        <v>1776</v>
      </c>
      <c r="I248" s="6"/>
      <c r="J248" s="6"/>
      <c r="K248" s="6"/>
      <c r="L248" s="6"/>
      <c r="N248" s="6"/>
      <c r="O248" s="6"/>
      <c r="P248" s="6"/>
      <c r="Q248" s="6"/>
      <c r="R248" s="6"/>
      <c r="S248" s="6"/>
      <c r="T248" s="6"/>
      <c r="U248" s="6"/>
      <c r="V248" s="6"/>
      <c r="W248" s="6"/>
      <c r="X248" s="18"/>
      <c r="Y248" s="18"/>
      <c r="Z248" s="18"/>
      <c r="AA248" s="6"/>
      <c r="AB248" s="6"/>
      <c r="AC248" s="18"/>
      <c r="AD248" s="12"/>
      <c r="AE248" s="6"/>
      <c r="AF248" s="6"/>
      <c r="AG248" s="6"/>
      <c r="AH248" s="6"/>
      <c r="AI248" s="6"/>
    </row>
    <row r="249">
      <c r="A249" s="12">
        <v>175.0</v>
      </c>
      <c r="B249" s="6" t="str">
        <f t="array" ref="B249">_xlfn.XLOOKUP(
  A249,
  'CMFA-CSCDA Grants'!A:A,
'CMFA-CSCDA Grants'!E:E)</f>
        <v>Los Angeles</v>
      </c>
      <c r="C249" s="6" t="str">
        <f t="array" ref="C249">_xlfn.XLOOKUP(
  A249,
  'CMFA-CSCDA Grants'!A:A,
'CMFA-CSCDA Grants'!B:B)</f>
        <v>Mariposa IV Apartments</v>
      </c>
      <c r="D249" s="12" t="s">
        <v>1784</v>
      </c>
      <c r="F249" s="6" t="b">
        <v>0</v>
      </c>
      <c r="G249" s="6" t="s">
        <v>1784</v>
      </c>
      <c r="H249" s="6" t="s">
        <v>1785</v>
      </c>
      <c r="I249" s="6"/>
      <c r="J249" s="6"/>
      <c r="K249" s="6"/>
      <c r="L249" s="6"/>
      <c r="N249" s="6"/>
      <c r="O249" s="6"/>
      <c r="P249" s="6"/>
      <c r="Q249" s="6"/>
      <c r="R249" s="6"/>
      <c r="S249" s="6"/>
      <c r="T249" s="6"/>
      <c r="U249" s="6"/>
      <c r="V249" s="6"/>
      <c r="W249" s="6"/>
      <c r="X249" s="18"/>
      <c r="Y249" s="18"/>
      <c r="Z249" s="18"/>
      <c r="AA249" s="6"/>
      <c r="AB249" s="6"/>
      <c r="AC249" s="18"/>
      <c r="AD249" s="12"/>
      <c r="AE249" s="6"/>
      <c r="AF249" s="6"/>
      <c r="AG249" s="6"/>
      <c r="AH249" s="6"/>
      <c r="AI249" s="6"/>
    </row>
    <row r="250">
      <c r="A250" s="12">
        <v>176.0</v>
      </c>
      <c r="B250" s="6" t="str">
        <f t="array" ref="B250">_xlfn.XLOOKUP(
  A250,
  'CMFA-CSCDA Grants'!A:A,
'CMFA-CSCDA Grants'!E:E)</f>
        <v>Los Angeles</v>
      </c>
      <c r="C250" s="6" t="str">
        <f t="array" ref="C250">_xlfn.XLOOKUP(
  A250,
  'CMFA-CSCDA Grants'!A:A,
'CMFA-CSCDA Grants'!B:B)</f>
        <v>Monte Vista Apartments</v>
      </c>
      <c r="D250" s="12" t="s">
        <v>2356</v>
      </c>
      <c r="F250" s="6" t="b">
        <v>0</v>
      </c>
      <c r="G250" s="6" t="s">
        <v>2356</v>
      </c>
      <c r="H250" s="6" t="s">
        <v>2358</v>
      </c>
      <c r="I250" s="6"/>
      <c r="J250" s="6"/>
      <c r="K250" s="6"/>
      <c r="L250" s="6"/>
      <c r="N250" s="6"/>
      <c r="O250" s="6"/>
      <c r="P250" s="6"/>
      <c r="Q250" s="6"/>
      <c r="R250" s="6"/>
      <c r="S250" s="6"/>
      <c r="T250" s="6"/>
      <c r="U250" s="6"/>
      <c r="V250" s="6"/>
      <c r="W250" s="6"/>
      <c r="X250" s="18"/>
      <c r="Y250" s="18"/>
      <c r="Z250" s="18"/>
      <c r="AA250" s="6"/>
      <c r="AB250" s="6"/>
      <c r="AC250" s="18"/>
      <c r="AD250" s="12"/>
      <c r="AE250" s="6"/>
      <c r="AF250" s="6"/>
      <c r="AG250" s="6"/>
      <c r="AH250" s="6"/>
      <c r="AI250" s="6"/>
    </row>
    <row r="251">
      <c r="A251" s="12">
        <v>177.0</v>
      </c>
      <c r="B251" s="6" t="str">
        <f t="array" ref="B251">_xlfn.XLOOKUP(
  A251,
  'CMFA-CSCDA Grants'!A:A,
'CMFA-CSCDA Grants'!E:E)</f>
        <v>Los Angeles</v>
      </c>
      <c r="C251" s="6" t="str">
        <f t="array" ref="C251">_xlfn.XLOOKUP(
  A251,
  'CMFA-CSCDA Grants'!A:A,
'CMFA-CSCDA Grants'!B:B)</f>
        <v>Oxford II Apartments</v>
      </c>
      <c r="D251" s="12" t="s">
        <v>1790</v>
      </c>
      <c r="F251" s="6" t="b">
        <v>0</v>
      </c>
      <c r="G251" s="6" t="s">
        <v>1790</v>
      </c>
      <c r="H251" s="6" t="s">
        <v>1791</v>
      </c>
      <c r="I251" s="6"/>
      <c r="J251" s="6"/>
      <c r="K251" s="6"/>
      <c r="L251" s="6"/>
      <c r="N251" s="6"/>
      <c r="O251" s="6"/>
      <c r="P251" s="6"/>
      <c r="Q251" s="6"/>
      <c r="R251" s="6"/>
      <c r="S251" s="6"/>
      <c r="T251" s="6"/>
      <c r="U251" s="6"/>
      <c r="V251" s="6"/>
      <c r="W251" s="6"/>
      <c r="X251" s="18"/>
      <c r="Y251" s="18"/>
      <c r="Z251" s="18"/>
      <c r="AA251" s="6"/>
      <c r="AB251" s="6"/>
      <c r="AC251" s="18"/>
      <c r="AD251" s="12"/>
      <c r="AE251" s="6"/>
      <c r="AF251" s="6"/>
      <c r="AG251" s="6"/>
      <c r="AH251" s="6"/>
      <c r="AI251" s="6"/>
    </row>
    <row r="252">
      <c r="A252" s="12">
        <v>178.0</v>
      </c>
      <c r="B252" s="6" t="str">
        <f t="array" ref="B252">_xlfn.XLOOKUP(
  A252,
  'CMFA-CSCDA Grants'!A:A,
'CMFA-CSCDA Grants'!E:E)</f>
        <v>Los Angeles</v>
      </c>
      <c r="C252" s="6" t="str">
        <f t="array" ref="C252">_xlfn.XLOOKUP(
  A252,
  'CMFA-CSCDA Grants'!A:A,
'CMFA-CSCDA Grants'!B:B)</f>
        <v>Parkview Apartments</v>
      </c>
      <c r="D252" s="12" t="s">
        <v>2381</v>
      </c>
      <c r="F252" s="6" t="b">
        <v>0</v>
      </c>
      <c r="G252" s="6" t="s">
        <v>2381</v>
      </c>
      <c r="H252" s="6" t="s">
        <v>2383</v>
      </c>
      <c r="I252" s="6"/>
      <c r="J252" s="6"/>
      <c r="K252" s="6"/>
      <c r="L252" s="6"/>
      <c r="N252" s="6"/>
      <c r="O252" s="6"/>
      <c r="P252" s="6"/>
      <c r="Q252" s="6"/>
      <c r="R252" s="6"/>
      <c r="S252" s="6"/>
      <c r="T252" s="6"/>
      <c r="U252" s="6"/>
      <c r="V252" s="6"/>
      <c r="W252" s="6"/>
      <c r="X252" s="18"/>
      <c r="Y252" s="18"/>
      <c r="Z252" s="18"/>
      <c r="AA252" s="6"/>
      <c r="AB252" s="6"/>
      <c r="AC252" s="18"/>
      <c r="AD252" s="12"/>
      <c r="AE252" s="6"/>
      <c r="AF252" s="6"/>
      <c r="AG252" s="6"/>
      <c r="AH252" s="6"/>
      <c r="AI252" s="6"/>
    </row>
    <row r="253">
      <c r="A253" s="12">
        <v>179.0</v>
      </c>
      <c r="B253" s="6" t="str">
        <f t="array" ref="B253">_xlfn.XLOOKUP(
  A253,
  'CMFA-CSCDA Grants'!A:A,
'CMFA-CSCDA Grants'!E:E)</f>
        <v>Los Angeles</v>
      </c>
      <c r="C253" s="6" t="str">
        <f t="array" ref="C253">_xlfn.XLOOKUP(
  A253,
  'CMFA-CSCDA Grants'!A:A,
'CMFA-CSCDA Grants'!B:B)</f>
        <v>Western Apartments</v>
      </c>
      <c r="D253" s="12" t="s">
        <v>1798</v>
      </c>
      <c r="F253" s="6" t="b">
        <v>0</v>
      </c>
      <c r="G253" s="6" t="s">
        <v>1798</v>
      </c>
      <c r="H253" s="6" t="s">
        <v>1799</v>
      </c>
      <c r="I253" s="6"/>
      <c r="J253" s="6"/>
      <c r="K253" s="6"/>
      <c r="L253" s="6"/>
      <c r="N253" s="6"/>
      <c r="O253" s="6"/>
      <c r="P253" s="6"/>
      <c r="Q253" s="6"/>
      <c r="R253" s="6"/>
      <c r="S253" s="6"/>
      <c r="T253" s="6"/>
      <c r="U253" s="6"/>
      <c r="V253" s="6"/>
      <c r="W253" s="6"/>
      <c r="X253" s="18"/>
      <c r="Y253" s="18"/>
      <c r="Z253" s="18"/>
      <c r="AA253" s="6"/>
      <c r="AB253" s="6"/>
      <c r="AC253" s="18"/>
      <c r="AD253" s="12"/>
      <c r="AE253" s="6"/>
      <c r="AF253" s="6"/>
      <c r="AG253" s="6"/>
      <c r="AH253" s="6"/>
      <c r="AI253" s="6"/>
    </row>
    <row r="254">
      <c r="A254" s="12">
        <v>180.0</v>
      </c>
      <c r="B254" s="6" t="str">
        <f t="array" ref="B254">_xlfn.XLOOKUP(
  A254,
  'CMFA-CSCDA Grants'!A:A,
'CMFA-CSCDA Grants'!E:E)</f>
        <v>Los Angeles</v>
      </c>
      <c r="C254" s="6" t="str">
        <f t="array" ref="C254">_xlfn.XLOOKUP(
  A254,
  'CMFA-CSCDA Grants'!A:A,
'CMFA-CSCDA Grants'!B:B)</f>
        <v>Westmoreland Apartments</v>
      </c>
      <c r="D254" s="12" t="s">
        <v>2400</v>
      </c>
      <c r="F254" s="6" t="b">
        <v>0</v>
      </c>
      <c r="G254" s="6" t="s">
        <v>2400</v>
      </c>
      <c r="H254" s="6" t="s">
        <v>2402</v>
      </c>
      <c r="I254" s="6"/>
      <c r="J254" s="6"/>
      <c r="K254" s="6"/>
      <c r="L254" s="6"/>
      <c r="N254" s="6"/>
      <c r="O254" s="6"/>
      <c r="P254" s="6"/>
      <c r="Q254" s="6"/>
      <c r="R254" s="6"/>
      <c r="S254" s="6"/>
      <c r="T254" s="6"/>
      <c r="U254" s="6"/>
      <c r="V254" s="6"/>
      <c r="W254" s="6"/>
      <c r="X254" s="18"/>
      <c r="Y254" s="18"/>
      <c r="Z254" s="18"/>
      <c r="AA254" s="6"/>
      <c r="AB254" s="6"/>
      <c r="AC254" s="18"/>
      <c r="AD254" s="12"/>
      <c r="AE254" s="6"/>
      <c r="AF254" s="6"/>
      <c r="AG254" s="6"/>
      <c r="AH254" s="6"/>
      <c r="AI254" s="6"/>
    </row>
    <row r="255">
      <c r="A255" s="12">
        <v>181.0</v>
      </c>
      <c r="B255" s="6" t="str">
        <f t="array" ref="B255">_xlfn.XLOOKUP(
  A255,
  'CMFA-CSCDA Grants'!A:A,
'CMFA-CSCDA Grants'!E:E)</f>
        <v>Los Angeles</v>
      </c>
      <c r="C255" s="6" t="str">
        <f t="array" ref="C255">_xlfn.XLOOKUP(
  A255,
  'CMFA-CSCDA Grants'!A:A,
'CMFA-CSCDA Grants'!B:B)</f>
        <v>The Hive Apartments</v>
      </c>
      <c r="D255" s="12" t="s">
        <v>2017</v>
      </c>
      <c r="F255" s="6" t="b">
        <v>0</v>
      </c>
      <c r="G255" s="6" t="s">
        <v>2017</v>
      </c>
      <c r="H255" s="6" t="s">
        <v>2019</v>
      </c>
      <c r="I255" s="6"/>
      <c r="J255" s="6"/>
      <c r="K255" s="6"/>
      <c r="L255" s="6"/>
      <c r="N255" s="6"/>
      <c r="O255" s="6"/>
      <c r="P255" s="6"/>
      <c r="Q255" s="6"/>
      <c r="R255" s="6"/>
      <c r="S255" s="6"/>
      <c r="T255" s="6"/>
      <c r="U255" s="6"/>
      <c r="V255" s="6"/>
      <c r="W255" s="6"/>
      <c r="X255" s="18"/>
      <c r="Y255" s="18"/>
      <c r="Z255" s="18"/>
      <c r="AA255" s="6"/>
      <c r="AB255" s="6"/>
      <c r="AC255" s="18"/>
      <c r="AD255" s="12"/>
      <c r="AE255" s="6"/>
      <c r="AF255" s="6"/>
      <c r="AG255" s="6"/>
      <c r="AH255" s="6"/>
      <c r="AI255" s="6"/>
    </row>
    <row r="256">
      <c r="A256" s="12">
        <v>182.0</v>
      </c>
      <c r="B256" s="6" t="str">
        <f t="array" ref="B256">_xlfn.XLOOKUP(
  A256,
  'CMFA-CSCDA Grants'!A:A,
'CMFA-CSCDA Grants'!E:E)</f>
        <v>Los Angeles</v>
      </c>
      <c r="C256" s="6" t="str">
        <f t="array" ref="C256">_xlfn.XLOOKUP(
  A256,
  'CMFA-CSCDA Grants'!A:A,
'CMFA-CSCDA Grants'!B:B)</f>
        <v>1451 W MLK BLVD Apartments</v>
      </c>
      <c r="D256" s="12" t="s">
        <v>1232</v>
      </c>
      <c r="F256" s="6" t="b">
        <v>0</v>
      </c>
      <c r="G256" s="6" t="s">
        <v>1232</v>
      </c>
      <c r="H256" s="6" t="s">
        <v>1233</v>
      </c>
      <c r="I256" s="6"/>
      <c r="J256" s="6"/>
      <c r="K256" s="6"/>
      <c r="L256" s="6"/>
      <c r="N256" s="6"/>
      <c r="O256" s="6"/>
      <c r="P256" s="6"/>
      <c r="Q256" s="6"/>
      <c r="R256" s="6"/>
      <c r="S256" s="6"/>
      <c r="T256" s="6"/>
      <c r="U256" s="6"/>
      <c r="V256" s="6"/>
      <c r="W256" s="6"/>
      <c r="X256" s="18"/>
      <c r="Y256" s="18"/>
      <c r="Z256" s="18"/>
      <c r="AA256" s="6"/>
      <c r="AB256" s="6"/>
      <c r="AC256" s="18"/>
      <c r="AD256" s="12"/>
      <c r="AE256" s="6"/>
      <c r="AF256" s="6"/>
      <c r="AG256" s="6"/>
      <c r="AH256" s="6"/>
      <c r="AI256" s="6"/>
    </row>
    <row r="257">
      <c r="A257" s="12">
        <v>183.0</v>
      </c>
      <c r="B257" s="6" t="str">
        <f t="array" ref="B257">_xlfn.XLOOKUP(
  A257,
  'CMFA-CSCDA Grants'!A:A,
'CMFA-CSCDA Grants'!E:E)</f>
        <v>Los Angeles</v>
      </c>
      <c r="C257" s="6" t="str">
        <f t="array" ref="C257">_xlfn.XLOOKUP(
  A257,
  'CMFA-CSCDA Grants'!A:A,
'CMFA-CSCDA Grants'!B:B)</f>
        <v>4256 Whittier Blvd Apartments</v>
      </c>
      <c r="D257" s="12" t="s">
        <v>2444</v>
      </c>
      <c r="F257" s="6" t="b">
        <v>0</v>
      </c>
      <c r="G257" s="6" t="s">
        <v>2444</v>
      </c>
      <c r="H257" s="6" t="s">
        <v>2446</v>
      </c>
      <c r="I257" s="6"/>
      <c r="J257" s="6"/>
      <c r="K257" s="6"/>
      <c r="L257" s="6"/>
      <c r="N257" s="6"/>
      <c r="O257" s="6"/>
      <c r="P257" s="6"/>
      <c r="Q257" s="6"/>
      <c r="R257" s="6"/>
      <c r="S257" s="6"/>
      <c r="T257" s="6"/>
      <c r="U257" s="6"/>
      <c r="V257" s="6"/>
      <c r="W257" s="6"/>
      <c r="X257" s="18"/>
      <c r="Y257" s="18"/>
      <c r="Z257" s="18"/>
      <c r="AA257" s="6"/>
      <c r="AB257" s="6"/>
      <c r="AC257" s="18"/>
      <c r="AD257" s="12"/>
      <c r="AE257" s="6"/>
      <c r="AF257" s="6"/>
      <c r="AG257" s="6"/>
      <c r="AH257" s="6"/>
      <c r="AI257" s="6"/>
    </row>
    <row r="258">
      <c r="A258" s="12">
        <v>184.0</v>
      </c>
      <c r="B258" s="6" t="str">
        <f t="array" ref="B258">_xlfn.XLOOKUP(
  A258,
  'CMFA-CSCDA Grants'!A:A,
'CMFA-CSCDA Grants'!E:E)</f>
        <v>Los Angeles</v>
      </c>
      <c r="C258" s="6" t="str">
        <f t="array" ref="C258">_xlfn.XLOOKUP(
  A258,
  'CMFA-CSCDA Grants'!A:A,
'CMFA-CSCDA Grants'!B:B)</f>
        <v>225 W 25th Apartments</v>
      </c>
      <c r="D258" s="12" t="s">
        <v>2456</v>
      </c>
      <c r="F258" s="6" t="b">
        <v>0</v>
      </c>
      <c r="G258" s="6" t="s">
        <v>2456</v>
      </c>
      <c r="H258" s="6" t="s">
        <v>2458</v>
      </c>
      <c r="I258" s="6"/>
      <c r="J258" s="6"/>
      <c r="K258" s="6"/>
      <c r="L258" s="6"/>
      <c r="N258" s="6"/>
      <c r="O258" s="6"/>
      <c r="P258" s="6"/>
      <c r="Q258" s="6"/>
      <c r="R258" s="6"/>
      <c r="S258" s="6"/>
      <c r="T258" s="6"/>
      <c r="U258" s="6"/>
      <c r="V258" s="6"/>
      <c r="W258" s="6"/>
      <c r="X258" s="18"/>
      <c r="Y258" s="18"/>
      <c r="Z258" s="18"/>
      <c r="AA258" s="6"/>
      <c r="AB258" s="6"/>
      <c r="AC258" s="18"/>
      <c r="AD258" s="12"/>
      <c r="AE258" s="6"/>
      <c r="AF258" s="6"/>
      <c r="AG258" s="6"/>
      <c r="AH258" s="6"/>
      <c r="AI258" s="6"/>
    </row>
    <row r="259">
      <c r="A259" s="12">
        <v>185.0</v>
      </c>
      <c r="B259" s="6" t="str">
        <f t="array" ref="B259">_xlfn.XLOOKUP(
  A259,
  'CMFA-CSCDA Grants'!A:A,
'CMFA-CSCDA Grants'!E:E)</f>
        <v>Los Angeles</v>
      </c>
      <c r="C259" s="6" t="str">
        <f t="array" ref="C259">_xlfn.XLOOKUP(
  A259,
  'CMFA-CSCDA Grants'!A:A,
'CMFA-CSCDA Grants'!B:B)</f>
        <v>9422 Firth Avenue Apartments</v>
      </c>
      <c r="D259" s="12" t="s">
        <v>2469</v>
      </c>
      <c r="F259" s="6" t="b">
        <v>0</v>
      </c>
      <c r="G259" s="6" t="s">
        <v>2469</v>
      </c>
      <c r="H259" s="6" t="s">
        <v>2471</v>
      </c>
      <c r="I259" s="6"/>
      <c r="J259" s="6"/>
      <c r="K259" s="6"/>
      <c r="L259" s="6"/>
      <c r="N259" s="6"/>
      <c r="O259" s="6"/>
      <c r="P259" s="6"/>
      <c r="Q259" s="6"/>
      <c r="R259" s="6"/>
      <c r="S259" s="6"/>
      <c r="T259" s="6"/>
      <c r="U259" s="6"/>
      <c r="V259" s="6"/>
      <c r="W259" s="6"/>
      <c r="X259" s="18"/>
      <c r="Y259" s="18"/>
      <c r="Z259" s="18"/>
      <c r="AA259" s="6"/>
      <c r="AB259" s="6"/>
      <c r="AC259" s="18"/>
      <c r="AD259" s="12"/>
      <c r="AE259" s="6"/>
      <c r="AF259" s="6"/>
      <c r="AG259" s="6"/>
      <c r="AH259" s="6"/>
      <c r="AI259" s="6"/>
    </row>
    <row r="260">
      <c r="A260" s="12">
        <v>186.0</v>
      </c>
      <c r="B260" s="6" t="str">
        <f t="array" ref="B260">_xlfn.XLOOKUP(
  A260,
  'CMFA-CSCDA Grants'!A:A,
'CMFA-CSCDA Grants'!E:E)</f>
        <v>Los Angeles</v>
      </c>
      <c r="C260" s="6" t="str">
        <f t="array" ref="C260">_xlfn.XLOOKUP(
  A260,
  'CMFA-CSCDA Grants'!A:A,
'CMFA-CSCDA Grants'!B:B)</f>
        <v>4008 Martin Luther King Blvd Apartments</v>
      </c>
      <c r="D260" s="12" t="s">
        <v>2483</v>
      </c>
      <c r="F260" s="6" t="b">
        <v>0</v>
      </c>
      <c r="G260" s="6" t="s">
        <v>2483</v>
      </c>
      <c r="H260" s="6" t="s">
        <v>2484</v>
      </c>
      <c r="I260" s="6"/>
      <c r="J260" s="6"/>
      <c r="K260" s="6"/>
      <c r="L260" s="6"/>
      <c r="N260" s="6"/>
      <c r="O260" s="6"/>
      <c r="P260" s="6"/>
      <c r="Q260" s="6"/>
      <c r="R260" s="6"/>
      <c r="S260" s="6"/>
      <c r="T260" s="6"/>
      <c r="U260" s="6"/>
      <c r="V260" s="6"/>
      <c r="W260" s="6"/>
      <c r="X260" s="18"/>
      <c r="Y260" s="18"/>
      <c r="Z260" s="18"/>
      <c r="AA260" s="6"/>
      <c r="AB260" s="6"/>
      <c r="AC260" s="18"/>
      <c r="AD260" s="12"/>
      <c r="AE260" s="6"/>
      <c r="AF260" s="6"/>
      <c r="AG260" s="6"/>
      <c r="AH260" s="6"/>
      <c r="AI260" s="6"/>
    </row>
    <row r="261">
      <c r="A261" s="12">
        <v>187.0</v>
      </c>
      <c r="B261" s="6" t="str">
        <f t="array" ref="B261">_xlfn.XLOOKUP(
  A261,
  'CMFA-CSCDA Grants'!A:A,
'CMFA-CSCDA Grants'!E:E)</f>
        <v>Orange</v>
      </c>
      <c r="C261" s="6" t="str">
        <f t="array" ref="C261">_xlfn.XLOOKUP(
  A261,
  'CMFA-CSCDA Grants'!A:A,
'CMFA-CSCDA Grants'!B:B)</f>
        <v>Bentley Parke Apartments</v>
      </c>
      <c r="D261" s="12" t="s">
        <v>2485</v>
      </c>
      <c r="F261" s="6" t="b">
        <v>0</v>
      </c>
      <c r="G261" s="6" t="s">
        <v>2485</v>
      </c>
      <c r="H261" s="6" t="s">
        <v>2486</v>
      </c>
      <c r="I261" s="6" t="s">
        <v>783</v>
      </c>
      <c r="J261" s="6">
        <v>92703.0</v>
      </c>
      <c r="K261" s="6"/>
      <c r="L261" s="6"/>
      <c r="N261" s="6"/>
      <c r="O261" s="6"/>
      <c r="P261" s="6"/>
      <c r="Q261" s="6"/>
      <c r="R261" s="6"/>
      <c r="S261" s="6"/>
      <c r="T261" s="6"/>
      <c r="U261" s="6"/>
      <c r="V261" s="6"/>
      <c r="W261" s="6"/>
      <c r="X261" s="18">
        <v>9512378.0</v>
      </c>
      <c r="Y261" s="18">
        <v>1.7092931E7</v>
      </c>
      <c r="Z261" s="18">
        <v>2.6605309E7</v>
      </c>
      <c r="AA261" s="6"/>
      <c r="AB261" s="6"/>
      <c r="AC261" s="18"/>
      <c r="AD261" s="12"/>
      <c r="AE261" s="6"/>
      <c r="AF261" s="6"/>
      <c r="AG261" s="6"/>
      <c r="AH261" s="6"/>
      <c r="AI261" s="6"/>
    </row>
    <row r="262">
      <c r="A262" s="12">
        <v>188.0</v>
      </c>
      <c r="B262" s="6" t="str">
        <f t="array" ref="B262">_xlfn.XLOOKUP(
  A262,
  'CMFA-CSCDA Grants'!A:A,
'CMFA-CSCDA Grants'!E:E)</f>
        <v>Contra Costa</v>
      </c>
      <c r="C262" s="6" t="str">
        <f t="array" ref="C262">_xlfn.XLOOKUP(
  A262,
  'CMFA-CSCDA Grants'!A:A,
'CMFA-CSCDA Grants'!B:B)</f>
        <v>Del Norte Place Apartments</v>
      </c>
      <c r="D262" s="12">
        <v>5.01261015E8</v>
      </c>
      <c r="F262" s="6" t="b">
        <v>0</v>
      </c>
      <c r="G262" s="6">
        <v>5.01261015E8</v>
      </c>
      <c r="H262" s="6" t="s">
        <v>2488</v>
      </c>
      <c r="I262" s="6" t="s">
        <v>2489</v>
      </c>
      <c r="J262" s="6"/>
      <c r="K262" s="6"/>
      <c r="L262" s="6"/>
      <c r="N262" s="6"/>
      <c r="O262" s="6"/>
      <c r="P262" s="6"/>
      <c r="Q262" s="6"/>
      <c r="R262" s="6"/>
      <c r="S262" s="6"/>
      <c r="T262" s="6"/>
      <c r="U262" s="6"/>
      <c r="V262" s="6"/>
      <c r="W262" s="6"/>
      <c r="X262" s="18">
        <v>9500000.0</v>
      </c>
      <c r="Y262" s="18">
        <v>3.325E7</v>
      </c>
      <c r="Z262" s="18">
        <f>sum(X262:Y262)</f>
        <v>42750000</v>
      </c>
      <c r="AA262" s="6"/>
      <c r="AB262" s="6"/>
      <c r="AC262" s="18">
        <v>9419226.0</v>
      </c>
      <c r="AD262" s="12">
        <v>3001.0</v>
      </c>
      <c r="AE262" s="6"/>
      <c r="AF262" s="6"/>
      <c r="AG262" s="6"/>
      <c r="AH262" s="6"/>
      <c r="AI262" s="6"/>
    </row>
    <row r="263">
      <c r="A263" s="12">
        <v>190.0</v>
      </c>
      <c r="B263" s="6" t="str">
        <f t="array" ref="B263">_xlfn.XLOOKUP(
  A263,
  'CMFA-CSCDA Grants'!A:A,
'CMFA-CSCDA Grants'!E:E)</f>
        <v>Contra Costa</v>
      </c>
      <c r="C263" s="6" t="str">
        <f t="array" ref="C263">_xlfn.XLOOKUP(
  A263,
  'CMFA-CSCDA Grants'!A:A,
'CMFA-CSCDA Grants'!B:B)</f>
        <v>Highlands Point Apartments</v>
      </c>
      <c r="D263" s="12">
        <v>2.23010017E8</v>
      </c>
      <c r="F263" s="6" t="b">
        <v>0</v>
      </c>
      <c r="G263" s="6">
        <v>2.23010017E8</v>
      </c>
      <c r="H263" s="6" t="s">
        <v>2490</v>
      </c>
      <c r="I263" s="6" t="s">
        <v>348</v>
      </c>
      <c r="J263" s="6"/>
      <c r="K263" s="6"/>
      <c r="L263" s="6"/>
      <c r="N263" s="6"/>
      <c r="O263" s="6"/>
      <c r="P263" s="6"/>
      <c r="Q263" s="6"/>
      <c r="R263" s="6"/>
      <c r="S263" s="6"/>
      <c r="T263" s="6"/>
      <c r="U263" s="6"/>
      <c r="V263" s="6"/>
      <c r="W263" s="6"/>
      <c r="X263" s="18">
        <v>1.0539139E7</v>
      </c>
      <c r="Y263" s="18">
        <v>5.9108592E7</v>
      </c>
      <c r="Z263" s="18">
        <f>SUM(X263:Y263)</f>
        <v>69647731</v>
      </c>
      <c r="AA263" s="6"/>
      <c r="AB263" s="6"/>
      <c r="AC263" s="18">
        <v>4.6831134E7</v>
      </c>
      <c r="AD263" s="12">
        <v>17135.0</v>
      </c>
      <c r="AE263" s="6"/>
      <c r="AF263" s="6"/>
      <c r="AG263" s="6"/>
      <c r="AH263" s="6"/>
      <c r="AI263" s="6"/>
    </row>
    <row r="264">
      <c r="A264" s="12">
        <v>192.0</v>
      </c>
      <c r="B264" s="6" t="str">
        <f t="array" ref="B264">_xlfn.XLOOKUP(
  A264,
  'CMFA-CSCDA Grants'!A:A,
'CMFA-CSCDA Grants'!E:E)</f>
        <v>Orange</v>
      </c>
      <c r="C264" s="6" t="str">
        <f t="array" ref="C264">_xlfn.XLOOKUP(
  A264,
  'CMFA-CSCDA Grants'!A:A,
'CMFA-CSCDA Grants'!B:B)</f>
        <v>Heritage Village Anaheim Apartments</v>
      </c>
      <c r="D264" s="12" t="s">
        <v>2491</v>
      </c>
      <c r="F264" s="6" t="b">
        <v>0</v>
      </c>
      <c r="G264" s="6" t="s">
        <v>2491</v>
      </c>
      <c r="H264" s="6" t="s">
        <v>2492</v>
      </c>
      <c r="I264" s="6" t="s">
        <v>128</v>
      </c>
      <c r="J264" s="6">
        <v>92805.0</v>
      </c>
      <c r="K264" s="6"/>
      <c r="L264" s="6"/>
      <c r="N264" s="6"/>
      <c r="O264" s="6"/>
      <c r="P264" s="6"/>
      <c r="Q264" s="6"/>
      <c r="R264" s="6"/>
      <c r="S264" s="6"/>
      <c r="T264" s="6"/>
      <c r="U264" s="6"/>
      <c r="V264" s="6"/>
      <c r="W264" s="6"/>
      <c r="X264" s="18">
        <v>5.836644E7</v>
      </c>
      <c r="Y264" s="18">
        <v>9494558.0</v>
      </c>
      <c r="Z264" s="18">
        <f>sum(X264:Y264)</f>
        <v>67860998</v>
      </c>
      <c r="AA264" s="6"/>
      <c r="AB264" s="6"/>
      <c r="AC264" s="18">
        <v>6.7860998E7</v>
      </c>
      <c r="AD264" s="12" t="s">
        <v>2494</v>
      </c>
      <c r="AE264" s="6"/>
      <c r="AF264" s="6"/>
      <c r="AG264" s="6"/>
      <c r="AH264" s="6"/>
      <c r="AI264" s="6"/>
    </row>
    <row r="265">
      <c r="A265" s="12">
        <v>193.0</v>
      </c>
      <c r="B265" s="6" t="str">
        <f t="array" ref="B265">_xlfn.XLOOKUP(
  A265,
  'CMFA-CSCDA Grants'!A:A,
'CMFA-CSCDA Grants'!E:E)</f>
        <v>San Diego</v>
      </c>
      <c r="C265" s="6" t="str">
        <f t="array" ref="C265">_xlfn.XLOOKUP(
  A265,
  'CMFA-CSCDA Grants'!A:A,
'CMFA-CSCDA Grants'!B:B)</f>
        <v>Heritage Park Escondido Apartments</v>
      </c>
      <c r="D265" s="12">
        <v>2.3111046E9</v>
      </c>
      <c r="F265" s="6" t="b">
        <v>0</v>
      </c>
      <c r="G265" s="6">
        <v>2.3111046E9</v>
      </c>
      <c r="H265" s="6" t="s">
        <v>2495</v>
      </c>
      <c r="I265" s="6" t="s">
        <v>172</v>
      </c>
      <c r="J265" s="6" t="s">
        <v>2496</v>
      </c>
      <c r="K265" s="6"/>
      <c r="L265" s="6"/>
      <c r="N265" s="6"/>
      <c r="O265" s="6"/>
      <c r="P265" s="6"/>
      <c r="Q265" s="6"/>
      <c r="R265" s="6"/>
      <c r="S265" s="6"/>
      <c r="T265" s="6"/>
      <c r="U265" s="6"/>
      <c r="V265" s="6"/>
      <c r="W265" s="6"/>
      <c r="X265" s="18">
        <v>2.9713824E7</v>
      </c>
      <c r="Y265" s="18">
        <v>1.9954954E7</v>
      </c>
      <c r="Z265" s="18">
        <v>4.9668778E7</v>
      </c>
      <c r="AA265" s="6"/>
      <c r="AB265" s="6"/>
      <c r="AC265" s="18">
        <v>4.9157189E7</v>
      </c>
      <c r="AD265" s="12">
        <v>4014.0</v>
      </c>
      <c r="AE265" s="6"/>
      <c r="AF265" s="6"/>
      <c r="AG265" s="6"/>
      <c r="AH265" s="6"/>
      <c r="AI265" s="6"/>
    </row>
    <row r="266">
      <c r="A266" s="6">
        <v>194.0</v>
      </c>
      <c r="B266" s="6" t="str">
        <f t="array" ref="B266">_xlfn.XLOOKUP(
  A266,
  'CMFA-CSCDA Grants'!A:A,
'CMFA-CSCDA Grants'!E:E)</f>
        <v>Los Angeles</v>
      </c>
      <c r="C266" s="6" t="str">
        <f t="array" ref="C266">_xlfn.XLOOKUP(
  A266,
  'CMFA-CSCDA Grants'!A:A,
'CMFA-CSCDA Grants'!B:B)</f>
        <v>3751 Delmas Terrace Apartments</v>
      </c>
      <c r="D266" s="12"/>
      <c r="F266" s="6" t="b">
        <v>0</v>
      </c>
      <c r="G266" s="6"/>
      <c r="H266" s="6"/>
      <c r="I266" s="6"/>
      <c r="J266" s="6"/>
      <c r="K266" s="6"/>
      <c r="L266" s="6"/>
      <c r="N266" s="6"/>
      <c r="O266" s="6"/>
      <c r="P266" s="6"/>
      <c r="Q266" s="6"/>
      <c r="R266" s="6"/>
      <c r="S266" s="6"/>
      <c r="T266" s="6"/>
      <c r="U266" s="6"/>
      <c r="V266" s="6"/>
      <c r="W266" s="6"/>
      <c r="X266" s="18"/>
      <c r="Y266" s="18"/>
      <c r="Z266" s="18"/>
      <c r="AA266" s="6"/>
      <c r="AB266" s="6"/>
      <c r="AC266" s="18"/>
      <c r="AD266" s="12"/>
      <c r="AE266" s="6"/>
      <c r="AF266" s="6"/>
      <c r="AG266" s="6"/>
      <c r="AH266" s="6"/>
      <c r="AI266" s="6"/>
    </row>
    <row r="267">
      <c r="A267" s="6">
        <v>195.0</v>
      </c>
      <c r="B267" s="6" t="str">
        <f t="array" ref="B267">_xlfn.XLOOKUP(
  A267,
  'CMFA-CSCDA Grants'!A:A,
'CMFA-CSCDA Grants'!E:E)</f>
        <v>Los Angeles</v>
      </c>
      <c r="C267" s="6" t="str">
        <f t="array" ref="C267">_xlfn.XLOOKUP(
  A267,
  'CMFA-CSCDA Grants'!A:A,
'CMFA-CSCDA Grants'!B:B)</f>
        <v>1723 Corinth Apartments</v>
      </c>
      <c r="D267" s="12"/>
      <c r="F267" s="6" t="b">
        <v>0</v>
      </c>
      <c r="G267" s="6"/>
      <c r="H267" s="6"/>
      <c r="I267" s="6"/>
      <c r="J267" s="6"/>
      <c r="K267" s="6"/>
      <c r="L267" s="6"/>
      <c r="N267" s="6"/>
      <c r="O267" s="6"/>
      <c r="P267" s="6"/>
      <c r="Q267" s="6"/>
      <c r="R267" s="6"/>
      <c r="S267" s="6"/>
      <c r="T267" s="6"/>
      <c r="U267" s="6"/>
      <c r="V267" s="6"/>
      <c r="W267" s="6"/>
      <c r="X267" s="18"/>
      <c r="Y267" s="18"/>
      <c r="Z267" s="18"/>
      <c r="AA267" s="6"/>
      <c r="AB267" s="6"/>
      <c r="AC267" s="18"/>
      <c r="AD267" s="12"/>
      <c r="AE267" s="6"/>
      <c r="AF267" s="6"/>
      <c r="AG267" s="6"/>
      <c r="AH267" s="6"/>
      <c r="AI267" s="6"/>
    </row>
    <row r="268">
      <c r="A268" s="6">
        <v>196.0</v>
      </c>
      <c r="B268" s="6" t="str">
        <f t="array" ref="B268">_xlfn.XLOOKUP(
  A268,
  'CMFA-CSCDA Grants'!A:A,
'CMFA-CSCDA Grants'!E:E)</f>
        <v>Los Angeles</v>
      </c>
      <c r="C268" s="6" t="str">
        <f t="array" ref="C268">_xlfn.XLOOKUP(
  A268,
  'CMFA-CSCDA Grants'!A:A,
'CMFA-CSCDA Grants'!B:B)</f>
        <v>The Dream Apartments</v>
      </c>
      <c r="D268" s="12"/>
      <c r="F268" s="6" t="b">
        <v>0</v>
      </c>
      <c r="G268" s="6"/>
      <c r="H268" s="6"/>
      <c r="I268" s="6"/>
      <c r="J268" s="6"/>
      <c r="K268" s="6"/>
      <c r="L268" s="6"/>
      <c r="N268" s="6"/>
      <c r="O268" s="6"/>
      <c r="P268" s="6"/>
      <c r="Q268" s="6"/>
      <c r="R268" s="6"/>
      <c r="S268" s="6"/>
      <c r="T268" s="6"/>
      <c r="U268" s="6"/>
      <c r="V268" s="6"/>
      <c r="W268" s="6"/>
      <c r="X268" s="18"/>
      <c r="Y268" s="18"/>
      <c r="Z268" s="18"/>
      <c r="AA268" s="6"/>
      <c r="AB268" s="6"/>
      <c r="AC268" s="18"/>
      <c r="AD268" s="12"/>
      <c r="AE268" s="6"/>
      <c r="AF268" s="6"/>
      <c r="AG268" s="6"/>
      <c r="AH268" s="6"/>
      <c r="AI268" s="6"/>
    </row>
    <row r="269">
      <c r="A269" s="6">
        <v>197.0</v>
      </c>
      <c r="B269" s="6" t="str">
        <f t="array" ref="B269">_xlfn.XLOOKUP(
  A269,
  'CMFA-CSCDA Grants'!A:A,
'CMFA-CSCDA Grants'!E:E)</f>
        <v>Los Angeles</v>
      </c>
      <c r="C269" s="6" t="str">
        <f t="array" ref="C269">_xlfn.XLOOKUP(
  A269,
  'CMFA-CSCDA Grants'!A:A,
'CMFA-CSCDA Grants'!B:B)</f>
        <v>12342 Osborne Place Apartments</v>
      </c>
      <c r="D269" s="12"/>
      <c r="F269" s="6" t="b">
        <v>0</v>
      </c>
      <c r="G269" s="6"/>
      <c r="H269" s="6"/>
      <c r="I269" s="6"/>
      <c r="J269" s="6"/>
      <c r="K269" s="6"/>
      <c r="L269" s="6"/>
      <c r="N269" s="6"/>
      <c r="O269" s="6"/>
      <c r="P269" s="6"/>
      <c r="Q269" s="6"/>
      <c r="R269" s="6"/>
      <c r="S269" s="6"/>
      <c r="T269" s="6"/>
      <c r="U269" s="6"/>
      <c r="V269" s="6"/>
      <c r="W269" s="6"/>
      <c r="X269" s="18"/>
      <c r="Y269" s="18"/>
      <c r="Z269" s="18"/>
      <c r="AA269" s="6"/>
      <c r="AB269" s="6"/>
      <c r="AC269" s="18"/>
      <c r="AD269" s="12"/>
      <c r="AE269" s="6"/>
      <c r="AF269" s="6"/>
      <c r="AG269" s="6"/>
      <c r="AH269" s="6"/>
      <c r="AI269" s="6"/>
    </row>
    <row r="270">
      <c r="A270" s="6">
        <v>199.0</v>
      </c>
      <c r="B270" s="6" t="str">
        <f t="array" ref="B270">_xlfn.XLOOKUP(
  A270,
  'CMFA-CSCDA Grants'!A:A,
'CMFA-CSCDA Grants'!E:E)</f>
        <v>Los Angeles</v>
      </c>
      <c r="C270" s="6" t="str">
        <f t="array" ref="C270">_xlfn.XLOOKUP(
  A270,
  'CMFA-CSCDA Grants'!A:A,
'CMFA-CSCDA Grants'!B:B)</f>
        <v>Baird Affordable Housing Apartments</v>
      </c>
      <c r="D270" s="12"/>
      <c r="F270" s="6" t="b">
        <v>0</v>
      </c>
      <c r="G270" s="6"/>
      <c r="H270" s="6"/>
      <c r="I270" s="6"/>
      <c r="J270" s="6"/>
      <c r="K270" s="6"/>
      <c r="L270" s="6"/>
      <c r="N270" s="6"/>
      <c r="O270" s="6"/>
      <c r="P270" s="6"/>
      <c r="Q270" s="6"/>
      <c r="R270" s="6"/>
      <c r="S270" s="6"/>
      <c r="T270" s="6"/>
      <c r="U270" s="6"/>
      <c r="V270" s="6"/>
      <c r="W270" s="6"/>
      <c r="X270" s="18"/>
      <c r="Y270" s="18"/>
      <c r="Z270" s="18"/>
      <c r="AA270" s="6"/>
      <c r="AB270" s="6"/>
      <c r="AC270" s="18"/>
      <c r="AD270" s="12"/>
      <c r="AE270" s="6"/>
      <c r="AF270" s="6"/>
      <c r="AG270" s="6"/>
      <c r="AH270" s="6"/>
      <c r="AI270" s="6"/>
    </row>
    <row r="271">
      <c r="A271" s="6">
        <v>200.0</v>
      </c>
      <c r="B271" s="6" t="str">
        <f t="array" ref="B271">_xlfn.XLOOKUP(
  A271,
  'CMFA-CSCDA Grants'!A:A,
'CMFA-CSCDA Grants'!E:E)</f>
        <v>Los Angeles</v>
      </c>
      <c r="C271" s="6" t="str">
        <f t="array" ref="C271">_xlfn.XLOOKUP(
  A271,
  'CMFA-CSCDA Grants'!A:A,
'CMFA-CSCDA Grants'!B:B)</f>
        <v>1408 Jefferson Apartments</v>
      </c>
      <c r="D271" s="12"/>
      <c r="F271" s="6" t="b">
        <v>0</v>
      </c>
      <c r="G271" s="6"/>
      <c r="H271" s="6"/>
      <c r="I271" s="6"/>
      <c r="J271" s="6"/>
      <c r="K271" s="6"/>
      <c r="L271" s="6"/>
      <c r="N271" s="6"/>
      <c r="O271" s="6"/>
      <c r="P271" s="6"/>
      <c r="Q271" s="6"/>
      <c r="R271" s="6"/>
      <c r="S271" s="6"/>
      <c r="T271" s="6"/>
      <c r="U271" s="6"/>
      <c r="V271" s="6"/>
      <c r="W271" s="6"/>
      <c r="X271" s="18"/>
      <c r="Y271" s="18"/>
      <c r="Z271" s="18"/>
      <c r="AA271" s="6"/>
      <c r="AB271" s="6"/>
      <c r="AC271" s="18"/>
      <c r="AD271" s="12"/>
      <c r="AE271" s="6"/>
      <c r="AF271" s="6"/>
      <c r="AG271" s="6"/>
      <c r="AH271" s="6"/>
      <c r="AI271" s="6"/>
    </row>
    <row r="272">
      <c r="A272" s="6">
        <v>201.0</v>
      </c>
      <c r="B272" s="6" t="str">
        <f t="array" ref="B272">_xlfn.XLOOKUP(
  A272,
  'CMFA-CSCDA Grants'!A:A,
'CMFA-CSCDA Grants'!E:E)</f>
        <v>Santa Barbara</v>
      </c>
      <c r="C272" s="6" t="str">
        <f t="array" ref="C272">_xlfn.XLOOKUP(
  A272,
  'CMFA-CSCDA Grants'!A:A,
'CMFA-CSCDA Grants'!B:B)</f>
        <v>Villa Del Sol Senior Apartments</v>
      </c>
      <c r="D272" s="12"/>
      <c r="F272" s="6" t="b">
        <v>0</v>
      </c>
      <c r="G272" s="6"/>
      <c r="H272" s="6"/>
      <c r="I272" s="6"/>
      <c r="J272" s="6"/>
      <c r="K272" s="6"/>
      <c r="L272" s="6"/>
      <c r="N272" s="6"/>
      <c r="O272" s="6"/>
      <c r="P272" s="6"/>
      <c r="Q272" s="6"/>
      <c r="R272" s="6"/>
      <c r="S272" s="6"/>
      <c r="T272" s="6"/>
      <c r="U272" s="6"/>
      <c r="V272" s="6"/>
      <c r="W272" s="6"/>
      <c r="X272" s="18"/>
      <c r="Y272" s="18"/>
      <c r="Z272" s="18"/>
      <c r="AA272" s="6"/>
      <c r="AB272" s="6"/>
      <c r="AC272" s="18"/>
      <c r="AD272" s="12"/>
      <c r="AE272" s="6"/>
      <c r="AF272" s="6"/>
      <c r="AG272" s="6"/>
      <c r="AH272" s="6"/>
      <c r="AI272" s="6"/>
    </row>
    <row r="273">
      <c r="A273" s="6">
        <v>203.0</v>
      </c>
      <c r="B273" s="6" t="str">
        <f t="array" ref="B273">_xlfn.XLOOKUP(
  A273,
  'CMFA-CSCDA Grants'!A:A,
'CMFA-CSCDA Grants'!E:E)</f>
        <v>Sacramento</v>
      </c>
      <c r="C273" s="6" t="str">
        <f t="array" ref="C273">_xlfn.XLOOKUP(
  A273,
  'CMFA-CSCDA Grants'!A:A,
'CMFA-CSCDA Grants'!B:B)</f>
        <v>Bent Tree Apartments</v>
      </c>
      <c r="D273" s="12"/>
      <c r="F273" s="6" t="b">
        <v>0</v>
      </c>
      <c r="G273" s="6"/>
      <c r="H273" s="6"/>
      <c r="I273" s="6"/>
      <c r="J273" s="6"/>
      <c r="K273" s="6"/>
      <c r="L273" s="6"/>
      <c r="N273" s="6"/>
      <c r="O273" s="6"/>
      <c r="P273" s="6"/>
      <c r="Q273" s="6"/>
      <c r="R273" s="6"/>
      <c r="S273" s="6"/>
      <c r="T273" s="6"/>
      <c r="U273" s="6"/>
      <c r="V273" s="6"/>
      <c r="W273" s="6"/>
      <c r="X273" s="18"/>
      <c r="Y273" s="18"/>
      <c r="Z273" s="18"/>
      <c r="AA273" s="6"/>
      <c r="AB273" s="6"/>
      <c r="AC273" s="18"/>
      <c r="AD273" s="12"/>
      <c r="AE273" s="6"/>
      <c r="AF273" s="6"/>
      <c r="AG273" s="6"/>
      <c r="AH273" s="6"/>
      <c r="AI273" s="6"/>
    </row>
    <row r="274">
      <c r="A274" s="6">
        <v>204.0</v>
      </c>
      <c r="B274" s="6" t="str">
        <f t="array" ref="B274">_xlfn.XLOOKUP(
  A274,
  'CMFA-CSCDA Grants'!A:A,
'CMFA-CSCDA Grants'!E:E)</f>
        <v>Los Angeles</v>
      </c>
      <c r="C274" s="6" t="str">
        <f t="array" ref="C274">_xlfn.XLOOKUP(
  A274,
  'CMFA-CSCDA Grants'!A:A,
'CMFA-CSCDA Grants'!B:B)</f>
        <v>Hazelhurst Affordable Housing Apartments</v>
      </c>
      <c r="D274" s="12"/>
      <c r="F274" s="6" t="b">
        <v>0</v>
      </c>
      <c r="G274" s="6"/>
      <c r="H274" s="6"/>
      <c r="I274" s="6"/>
      <c r="J274" s="6"/>
      <c r="K274" s="6"/>
      <c r="L274" s="6"/>
      <c r="N274" s="6"/>
      <c r="O274" s="6"/>
      <c r="P274" s="6"/>
      <c r="Q274" s="6"/>
      <c r="R274" s="6"/>
      <c r="S274" s="6"/>
      <c r="T274" s="6"/>
      <c r="U274" s="6"/>
      <c r="V274" s="6"/>
      <c r="W274" s="6"/>
      <c r="X274" s="18"/>
      <c r="Y274" s="18"/>
      <c r="Z274" s="18"/>
      <c r="AA274" s="6"/>
      <c r="AB274" s="6"/>
      <c r="AC274" s="18"/>
      <c r="AD274" s="12"/>
      <c r="AE274" s="6"/>
      <c r="AF274" s="6"/>
      <c r="AG274" s="6"/>
      <c r="AH274" s="6"/>
      <c r="AI274" s="6"/>
    </row>
    <row r="275">
      <c r="A275" s="6">
        <v>205.0</v>
      </c>
      <c r="B275" s="6" t="str">
        <f t="array" ref="B275">_xlfn.XLOOKUP(
  A275,
  'CMFA-CSCDA Grants'!A:A,
'CMFA-CSCDA Grants'!E:E)</f>
        <v>Contra Costa</v>
      </c>
      <c r="C275" s="6" t="str">
        <f t="array" ref="C275">_xlfn.XLOOKUP(
  A275,
  'CMFA-CSCDA Grants'!A:A,
'CMFA-CSCDA Grants'!B:B)</f>
        <v>Del Norte Place Apartments</v>
      </c>
      <c r="D275" s="12"/>
      <c r="F275" s="6" t="b">
        <v>0</v>
      </c>
      <c r="G275" s="6"/>
      <c r="H275" s="6"/>
      <c r="I275" s="6"/>
      <c r="J275" s="6"/>
      <c r="K275" s="6"/>
      <c r="L275" s="6"/>
      <c r="N275" s="6"/>
      <c r="O275" s="6"/>
      <c r="P275" s="6"/>
      <c r="Q275" s="6"/>
      <c r="R275" s="6"/>
      <c r="S275" s="6"/>
      <c r="T275" s="6"/>
      <c r="U275" s="6"/>
      <c r="V275" s="6"/>
      <c r="W275" s="6"/>
      <c r="X275" s="18"/>
      <c r="Y275" s="18"/>
      <c r="Z275" s="18"/>
      <c r="AA275" s="6"/>
      <c r="AB275" s="6"/>
      <c r="AC275" s="18"/>
      <c r="AD275" s="12"/>
      <c r="AE275" s="6"/>
      <c r="AF275" s="6"/>
      <c r="AG275" s="6"/>
      <c r="AH275" s="6"/>
      <c r="AI275" s="6"/>
    </row>
    <row r="276">
      <c r="A276" s="6">
        <v>206.0</v>
      </c>
      <c r="B276" s="6" t="str">
        <f t="array" ref="B276">_xlfn.XLOOKUP(
  A276,
  'CMFA-CSCDA Grants'!A:A,
'CMFA-CSCDA Grants'!E:E)</f>
        <v>Los Angeles</v>
      </c>
      <c r="C276" s="6" t="str">
        <f t="array" ref="C276">_xlfn.XLOOKUP(
  A276,
  'CMFA-CSCDA Grants'!A:A,
'CMFA-CSCDA Grants'!B:B)</f>
        <v>Elan River Village Apartments</v>
      </c>
      <c r="D276" s="12"/>
      <c r="F276" s="6" t="b">
        <v>0</v>
      </c>
      <c r="G276" s="6"/>
      <c r="H276" s="6"/>
      <c r="I276" s="6"/>
      <c r="J276" s="6"/>
      <c r="K276" s="6"/>
      <c r="L276" s="6"/>
      <c r="N276" s="6"/>
      <c r="O276" s="6"/>
      <c r="P276" s="6"/>
      <c r="Q276" s="6"/>
      <c r="R276" s="6"/>
      <c r="S276" s="6"/>
      <c r="T276" s="6"/>
      <c r="U276" s="6"/>
      <c r="V276" s="6"/>
      <c r="W276" s="6"/>
      <c r="X276" s="18"/>
      <c r="Y276" s="18"/>
      <c r="Z276" s="18"/>
      <c r="AA276" s="6"/>
      <c r="AB276" s="6"/>
      <c r="AC276" s="18"/>
      <c r="AD276" s="12"/>
      <c r="AE276" s="6"/>
      <c r="AF276" s="6"/>
      <c r="AG276" s="6"/>
      <c r="AH276" s="6"/>
      <c r="AI276" s="6"/>
    </row>
    <row r="277">
      <c r="A277" s="6">
        <v>207.0</v>
      </c>
      <c r="B277" s="6" t="str">
        <f t="array" ref="B277">_xlfn.XLOOKUP(
  A277,
  'CMFA-CSCDA Grants'!A:A,
'CMFA-CSCDA Grants'!E:E)</f>
        <v>Los Angeles</v>
      </c>
      <c r="C277" s="6" t="str">
        <f t="array" ref="C277">_xlfn.XLOOKUP(
  A277,
  'CMFA-CSCDA Grants'!A:A,
'CMFA-CSCDA Grants'!B:B)</f>
        <v>Cullen Living Apartments</v>
      </c>
      <c r="D277" s="12"/>
      <c r="F277" s="6" t="b">
        <v>0</v>
      </c>
      <c r="G277" s="6"/>
      <c r="H277" s="6"/>
      <c r="I277" s="6"/>
      <c r="J277" s="6"/>
      <c r="K277" s="6"/>
      <c r="L277" s="6"/>
      <c r="N277" s="6"/>
      <c r="O277" s="6"/>
      <c r="P277" s="6"/>
      <c r="Q277" s="6"/>
      <c r="R277" s="6"/>
      <c r="S277" s="6"/>
      <c r="T277" s="6"/>
      <c r="U277" s="6"/>
      <c r="V277" s="6"/>
      <c r="W277" s="6"/>
      <c r="X277" s="18"/>
      <c r="Y277" s="18"/>
      <c r="Z277" s="18"/>
      <c r="AA277" s="6"/>
      <c r="AB277" s="6"/>
      <c r="AC277" s="18"/>
      <c r="AD277" s="12"/>
      <c r="AE277" s="6"/>
      <c r="AF277" s="6"/>
      <c r="AG277" s="6"/>
      <c r="AH277" s="6"/>
      <c r="AI277" s="6"/>
    </row>
    <row r="278">
      <c r="A278" s="6">
        <v>208.0</v>
      </c>
      <c r="B278" s="6" t="str">
        <f t="array" ref="B278">_xlfn.XLOOKUP(
  A278,
  'CMFA-CSCDA Grants'!A:A,
'CMFA-CSCDA Grants'!E:E)</f>
        <v>Los Angeles</v>
      </c>
      <c r="C278" s="6" t="str">
        <f t="array" ref="C278">_xlfn.XLOOKUP(
  A278,
  'CMFA-CSCDA Grants'!A:A,
'CMFA-CSCDA Grants'!B:B)</f>
        <v>Sawtelle 2481 Apartments</v>
      </c>
      <c r="D278" s="12"/>
      <c r="F278" s="6" t="b">
        <v>0</v>
      </c>
      <c r="G278" s="6"/>
      <c r="H278" s="6"/>
      <c r="I278" s="6"/>
      <c r="J278" s="6"/>
      <c r="K278" s="6"/>
      <c r="L278" s="6"/>
      <c r="N278" s="6"/>
      <c r="O278" s="6"/>
      <c r="P278" s="6"/>
      <c r="Q278" s="6"/>
      <c r="R278" s="6"/>
      <c r="S278" s="6"/>
      <c r="T278" s="6"/>
      <c r="U278" s="6"/>
      <c r="V278" s="6"/>
      <c r="W278" s="6"/>
      <c r="X278" s="18"/>
      <c r="Y278" s="18"/>
      <c r="Z278" s="18"/>
      <c r="AA278" s="6"/>
      <c r="AB278" s="6"/>
      <c r="AC278" s="18"/>
      <c r="AD278" s="12"/>
      <c r="AE278" s="6"/>
      <c r="AF278" s="6"/>
      <c r="AG278" s="6"/>
      <c r="AH278" s="6"/>
      <c r="AI278" s="6"/>
    </row>
    <row r="279">
      <c r="A279" s="6">
        <v>209.0</v>
      </c>
      <c r="B279" s="6" t="str">
        <f t="array" ref="B279">_xlfn.XLOOKUP(
  A279,
  'CMFA-CSCDA Grants'!A:A,
'CMFA-CSCDA Grants'!E:E)</f>
        <v>San Diego</v>
      </c>
      <c r="C279" s="6" t="str">
        <f t="array" ref="C279">_xlfn.XLOOKUP(
  A279,
  'CMFA-CSCDA Grants'!A:A,
'CMFA-CSCDA Grants'!B:B)</f>
        <v>Bluwater Crossing Apartments</v>
      </c>
      <c r="F279" s="6" t="b">
        <v>0</v>
      </c>
      <c r="G279" s="6"/>
      <c r="K279" s="6"/>
      <c r="L279" s="6"/>
      <c r="N279" s="6"/>
      <c r="O279" s="6"/>
      <c r="P279" s="6"/>
      <c r="Q279" s="6"/>
      <c r="R279" s="6"/>
      <c r="S279" s="6"/>
      <c r="T279" s="6"/>
      <c r="U279" s="6"/>
      <c r="V279" s="6"/>
      <c r="AA279" s="6"/>
      <c r="AB279" s="6"/>
      <c r="AC279" s="18"/>
      <c r="AE279" s="6"/>
      <c r="AF279" s="6"/>
      <c r="AG279" s="6"/>
      <c r="AH279" s="6"/>
      <c r="AI279" s="6"/>
    </row>
    <row r="280">
      <c r="A280" s="6">
        <v>210.0</v>
      </c>
      <c r="B280" s="6" t="str">
        <f t="array" ref="B280">_xlfn.XLOOKUP(
  A280,
  'CMFA-CSCDA Grants'!A:A,
'CMFA-CSCDA Grants'!E:E)</f>
        <v>Sacramento</v>
      </c>
      <c r="C280" s="6" t="str">
        <f t="array" ref="C280">_xlfn.XLOOKUP(
  A280,
  'CMFA-CSCDA Grants'!A:A,
'CMFA-CSCDA Grants'!B:B)</f>
        <v>California Place Apartments</v>
      </c>
      <c r="D280" s="12">
        <v>1.170012021E13</v>
      </c>
      <c r="F280" s="6" t="b">
        <v>0</v>
      </c>
      <c r="G280" s="6"/>
      <c r="H280" s="6" t="s">
        <v>2600</v>
      </c>
      <c r="I280" s="6" t="s">
        <v>120</v>
      </c>
      <c r="J280" s="6">
        <v>95823.0</v>
      </c>
      <c r="K280" s="6"/>
      <c r="L280" s="6"/>
      <c r="N280" s="6"/>
      <c r="O280" s="6"/>
      <c r="P280" s="6"/>
      <c r="Q280" s="6"/>
      <c r="R280" s="6"/>
      <c r="S280" s="6"/>
      <c r="T280" s="6"/>
      <c r="U280" s="6"/>
      <c r="V280" s="6"/>
      <c r="W280" s="6">
        <v>2025.0</v>
      </c>
      <c r="X280" s="18">
        <v>1493945.0</v>
      </c>
      <c r="Y280" s="18">
        <v>9649232.0</v>
      </c>
      <c r="Z280" s="18">
        <v>1.1438021E7</v>
      </c>
      <c r="AA280" s="6"/>
      <c r="AB280" s="6"/>
      <c r="AC280" s="18"/>
      <c r="AD280" s="12" t="s">
        <v>2605</v>
      </c>
      <c r="AE280" s="6"/>
      <c r="AF280" s="6"/>
      <c r="AG280" s="6"/>
      <c r="AH280" s="6"/>
      <c r="AI280" s="6"/>
    </row>
    <row r="281">
      <c r="A281" s="6">
        <v>211.0</v>
      </c>
      <c r="B281" s="6" t="str">
        <f t="array" ref="B281">_xlfn.XLOOKUP(
  A281,
  'CMFA-CSCDA Grants'!A:A,
'CMFA-CSCDA Grants'!E:E)</f>
        <v>Los Angeles</v>
      </c>
      <c r="C281" s="6" t="str">
        <f t="array" ref="C281">_xlfn.XLOOKUP(
  A281,
  'CMFA-CSCDA Grants'!A:A,
'CMFA-CSCDA Grants'!B:B)</f>
        <v>Haven Warner Center</v>
      </c>
      <c r="D281" s="12"/>
      <c r="F281" s="6" t="b">
        <v>0</v>
      </c>
      <c r="G281" s="6"/>
      <c r="H281" s="6"/>
      <c r="I281" s="6"/>
      <c r="J281" s="6"/>
      <c r="K281" s="6"/>
      <c r="L281" s="6"/>
      <c r="N281" s="6"/>
      <c r="O281" s="6"/>
      <c r="P281" s="6"/>
      <c r="Q281" s="6"/>
      <c r="R281" s="6"/>
      <c r="S281" s="6"/>
      <c r="T281" s="6"/>
      <c r="U281" s="6"/>
      <c r="V281" s="6"/>
      <c r="W281" s="6"/>
      <c r="X281" s="18"/>
      <c r="Y281" s="18"/>
      <c r="Z281" s="18"/>
      <c r="AA281" s="6"/>
      <c r="AB281" s="6"/>
      <c r="AC281" s="18"/>
      <c r="AD281" s="12"/>
      <c r="AE281" s="6"/>
      <c r="AF281" s="6"/>
      <c r="AG281" s="6"/>
      <c r="AH281" s="6"/>
      <c r="AI281" s="6"/>
    </row>
    <row r="282">
      <c r="A282" s="6">
        <v>212.0</v>
      </c>
      <c r="B282" s="6" t="str">
        <f t="array" ref="B282">_xlfn.XLOOKUP(
  A282,
  'CMFA-CSCDA Grants'!A:A,
'CMFA-CSCDA Grants'!E:E)</f>
        <v>Los Angeles</v>
      </c>
      <c r="C282" s="6" t="str">
        <f t="array" ref="C282">_xlfn.XLOOKUP(
  A282,
  'CMFA-CSCDA Grants'!A:A,
'CMFA-CSCDA Grants'!B:B)</f>
        <v>The Arlo</v>
      </c>
      <c r="D282" s="12"/>
      <c r="F282" s="6" t="b">
        <v>0</v>
      </c>
      <c r="G282" s="6"/>
      <c r="H282" s="6"/>
      <c r="I282" s="6"/>
      <c r="J282" s="6"/>
      <c r="K282" s="6"/>
      <c r="L282" s="6"/>
      <c r="N282" s="6"/>
      <c r="O282" s="6"/>
      <c r="P282" s="6"/>
      <c r="Q282" s="6"/>
      <c r="R282" s="6"/>
      <c r="S282" s="6"/>
      <c r="T282" s="6"/>
      <c r="U282" s="6"/>
      <c r="V282" s="6"/>
      <c r="W282" s="6"/>
      <c r="X282" s="18"/>
      <c r="Y282" s="18"/>
      <c r="Z282" s="18"/>
      <c r="AA282" s="6"/>
      <c r="AB282" s="6"/>
      <c r="AC282" s="18"/>
      <c r="AD282" s="12"/>
      <c r="AE282" s="6"/>
      <c r="AF282" s="6"/>
      <c r="AG282" s="6"/>
      <c r="AH282" s="6"/>
      <c r="AI282" s="6"/>
    </row>
    <row r="283">
      <c r="A283" s="6">
        <v>213.0</v>
      </c>
      <c r="B283" s="6" t="str">
        <f t="array" ref="B283">_xlfn.XLOOKUP(
  A283,
  'CMFA-CSCDA Grants'!A:A,
'CMFA-CSCDA Grants'!E:E)</f>
        <v>Sacramento</v>
      </c>
      <c r="C283" s="6" t="str">
        <f t="array" ref="C283">_xlfn.XLOOKUP(
  A283,
  'CMFA-CSCDA Grants'!A:A,
'CMFA-CSCDA Grants'!B:B)</f>
        <v>Sierra Village</v>
      </c>
      <c r="D283" s="12"/>
      <c r="F283" s="6" t="b">
        <v>0</v>
      </c>
      <c r="G283" s="6"/>
      <c r="H283" s="6"/>
      <c r="I283" s="6"/>
      <c r="J283" s="6"/>
      <c r="K283" s="6"/>
      <c r="L283" s="6"/>
      <c r="N283" s="6"/>
      <c r="O283" s="6"/>
      <c r="P283" s="6"/>
      <c r="Q283" s="6"/>
      <c r="R283" s="6"/>
      <c r="S283" s="6"/>
      <c r="T283" s="6"/>
      <c r="U283" s="6"/>
      <c r="V283" s="6"/>
      <c r="W283" s="6"/>
      <c r="X283" s="18"/>
      <c r="Y283" s="18"/>
      <c r="Z283" s="18"/>
      <c r="AA283" s="6"/>
      <c r="AB283" s="6"/>
      <c r="AC283" s="18"/>
      <c r="AD283" s="12"/>
      <c r="AE283" s="6"/>
      <c r="AF283" s="6"/>
      <c r="AG283" s="6"/>
      <c r="AH283" s="6"/>
      <c r="AI283" s="6"/>
    </row>
    <row r="284">
      <c r="A284" s="6">
        <v>214.0</v>
      </c>
      <c r="B284" s="6" t="str">
        <f t="array" ref="B284">_xlfn.XLOOKUP(
  A284,
  'CMFA-CSCDA Grants'!A:A,
'CMFA-CSCDA Grants'!E:E)</f>
        <v>Los Angeles</v>
      </c>
      <c r="C284" s="6" t="str">
        <f t="array" ref="C284">_xlfn.XLOOKUP(
  A284,
  'CMFA-CSCDA Grants'!A:A,
'CMFA-CSCDA Grants'!B:B)</f>
        <v>Trails at San Dimas</v>
      </c>
      <c r="D284" s="12"/>
      <c r="F284" s="6" t="b">
        <v>0</v>
      </c>
      <c r="G284" s="6"/>
      <c r="H284" s="6"/>
      <c r="I284" s="6"/>
      <c r="J284" s="6"/>
      <c r="K284" s="6"/>
      <c r="L284" s="6"/>
      <c r="N284" s="6"/>
      <c r="O284" s="6"/>
      <c r="P284" s="6"/>
      <c r="Q284" s="6"/>
      <c r="R284" s="6"/>
      <c r="S284" s="6"/>
      <c r="T284" s="6"/>
      <c r="U284" s="6"/>
      <c r="V284" s="6"/>
      <c r="W284" s="6"/>
      <c r="X284" s="18"/>
      <c r="Y284" s="18"/>
      <c r="Z284" s="18"/>
      <c r="AA284" s="6"/>
      <c r="AB284" s="6"/>
      <c r="AC284" s="18"/>
      <c r="AD284" s="12"/>
      <c r="AE284" s="6"/>
      <c r="AF284" s="6"/>
      <c r="AG284" s="6"/>
      <c r="AH284" s="6"/>
      <c r="AI284" s="6"/>
    </row>
    <row r="285">
      <c r="A285" s="6">
        <v>215.0</v>
      </c>
      <c r="B285" s="6" t="str">
        <f t="array" ref="B285">_xlfn.XLOOKUP(
  A285,
  'CMFA-CSCDA Grants'!A:A,
'CMFA-CSCDA Grants'!E:E)</f>
        <v>Los Angeles</v>
      </c>
      <c r="C285" s="6" t="str">
        <f t="array" ref="C285">_xlfn.XLOOKUP(
  A285,
  'CMFA-CSCDA Grants'!A:A,
'CMFA-CSCDA Grants'!B:B)</f>
        <v>511 Hoover Street Apartments</v>
      </c>
      <c r="D285" s="12"/>
      <c r="F285" s="6" t="b">
        <v>0</v>
      </c>
      <c r="G285" s="6"/>
      <c r="H285" s="6"/>
      <c r="I285" s="6"/>
      <c r="J285" s="6"/>
      <c r="K285" s="6"/>
      <c r="L285" s="6"/>
      <c r="N285" s="6"/>
      <c r="O285" s="6"/>
      <c r="P285" s="6"/>
      <c r="Q285" s="6"/>
      <c r="R285" s="6"/>
      <c r="S285" s="6"/>
      <c r="T285" s="6"/>
      <c r="U285" s="6"/>
      <c r="V285" s="6"/>
      <c r="W285" s="6"/>
      <c r="X285" s="18"/>
      <c r="Y285" s="18"/>
      <c r="Z285" s="18"/>
      <c r="AA285" s="6"/>
      <c r="AB285" s="6"/>
      <c r="AC285" s="18"/>
      <c r="AD285" s="12"/>
      <c r="AE285" s="6"/>
      <c r="AF285" s="6"/>
      <c r="AG285" s="6"/>
      <c r="AH285" s="6"/>
      <c r="AI285" s="6"/>
    </row>
    <row r="286">
      <c r="A286" s="6">
        <v>216.0</v>
      </c>
      <c r="B286" s="6" t="str">
        <f t="array" ref="B286">_xlfn.XLOOKUP(
  A286,
  'CMFA-CSCDA Grants'!A:A,
'CMFA-CSCDA Grants'!E:E)</f>
        <v>San Diego</v>
      </c>
      <c r="C286" s="6" t="str">
        <f t="array" ref="C286">_xlfn.XLOOKUP(
  A286,
  'CMFA-CSCDA Grants'!A:A,
'CMFA-CSCDA Grants'!B:B)</f>
        <v>Guava Gardens Apartments</v>
      </c>
      <c r="D286" s="12"/>
      <c r="F286" s="6" t="b">
        <v>0</v>
      </c>
      <c r="G286" s="6"/>
      <c r="H286" s="6"/>
      <c r="I286" s="6"/>
      <c r="J286" s="6"/>
      <c r="K286" s="6"/>
      <c r="L286" s="6"/>
      <c r="N286" s="6"/>
      <c r="O286" s="6"/>
      <c r="P286" s="6"/>
      <c r="Q286" s="6"/>
      <c r="R286" s="6"/>
      <c r="S286" s="6"/>
      <c r="T286" s="6"/>
      <c r="U286" s="6"/>
      <c r="V286" s="6"/>
      <c r="W286" s="6"/>
      <c r="X286" s="18"/>
      <c r="Y286" s="18"/>
      <c r="Z286" s="18"/>
      <c r="AA286" s="6"/>
      <c r="AB286" s="6"/>
      <c r="AC286" s="18"/>
      <c r="AD286" s="12"/>
      <c r="AE286" s="6"/>
      <c r="AF286" s="6"/>
      <c r="AG286" s="6"/>
      <c r="AH286" s="6"/>
      <c r="AI286" s="6"/>
    </row>
    <row r="287">
      <c r="A287" s="6">
        <v>217.0</v>
      </c>
      <c r="B287" s="6" t="str">
        <f t="array" ref="B287">_xlfn.XLOOKUP(
  A287,
  'CMFA-CSCDA Grants'!A:A,
'CMFA-CSCDA Grants'!E:E)</f>
        <v>Los Angeles</v>
      </c>
      <c r="C287" s="6" t="str">
        <f t="array" ref="C287">_xlfn.XLOOKUP(
  A287,
  'CMFA-CSCDA Grants'!A:A,
'CMFA-CSCDA Grants'!B:B)</f>
        <v>Park View by Angeleno Apartments</v>
      </c>
      <c r="D287" s="12"/>
      <c r="F287" s="6" t="b">
        <v>0</v>
      </c>
      <c r="G287" s="6"/>
      <c r="H287" s="6"/>
      <c r="I287" s="6"/>
      <c r="J287" s="6"/>
      <c r="K287" s="6"/>
      <c r="L287" s="6"/>
      <c r="N287" s="6"/>
      <c r="O287" s="6"/>
      <c r="P287" s="6"/>
      <c r="Q287" s="6"/>
      <c r="R287" s="6"/>
      <c r="S287" s="6"/>
      <c r="T287" s="6"/>
      <c r="U287" s="6"/>
      <c r="V287" s="6"/>
      <c r="W287" s="6"/>
      <c r="X287" s="18"/>
      <c r="Y287" s="18"/>
      <c r="Z287" s="18"/>
      <c r="AA287" s="6"/>
      <c r="AB287" s="6"/>
      <c r="AC287" s="18"/>
      <c r="AD287" s="12"/>
      <c r="AE287" s="6"/>
      <c r="AF287" s="6"/>
      <c r="AG287" s="6"/>
      <c r="AH287" s="6"/>
      <c r="AI287" s="6"/>
    </row>
    <row r="288">
      <c r="A288" s="6">
        <v>218.0</v>
      </c>
      <c r="B288" s="6" t="str">
        <f t="array" ref="B288">_xlfn.XLOOKUP(
  A288,
  'CMFA-CSCDA Grants'!A:A,
'CMFA-CSCDA Grants'!E:E)</f>
        <v>Los Angeles</v>
      </c>
      <c r="C288" s="6" t="str">
        <f t="array" ref="C288">_xlfn.XLOOKUP(
  A288,
  'CMFA-CSCDA Grants'!A:A,
'CMFA-CSCDA Grants'!B:B)</f>
        <v>1408 Jefferson Blvd Apartments</v>
      </c>
      <c r="D288" s="12"/>
      <c r="F288" s="6" t="b">
        <v>0</v>
      </c>
      <c r="G288" s="6"/>
      <c r="H288" s="6"/>
      <c r="I288" s="6"/>
      <c r="J288" s="6"/>
      <c r="K288" s="6"/>
      <c r="L288" s="6"/>
      <c r="N288" s="6"/>
      <c r="O288" s="6"/>
      <c r="P288" s="6"/>
      <c r="Q288" s="6"/>
      <c r="R288" s="6"/>
      <c r="S288" s="6"/>
      <c r="T288" s="6"/>
      <c r="U288" s="6"/>
      <c r="V288" s="6"/>
      <c r="W288" s="6"/>
      <c r="X288" s="18"/>
      <c r="Y288" s="18"/>
      <c r="Z288" s="18"/>
      <c r="AA288" s="6"/>
      <c r="AB288" s="6"/>
      <c r="AC288" s="18"/>
      <c r="AD288" s="12"/>
      <c r="AE288" s="6"/>
      <c r="AF288" s="6"/>
      <c r="AG288" s="6"/>
      <c r="AH288" s="6"/>
      <c r="AI288" s="6"/>
    </row>
    <row r="289">
      <c r="A289" s="6">
        <v>219.0</v>
      </c>
      <c r="B289" s="6" t="str">
        <f t="array" ref="B289">_xlfn.XLOOKUP(
  A289,
  'CMFA-CSCDA Grants'!A:A,
'CMFA-CSCDA Grants'!E:E)</f>
        <v>Los Angeles</v>
      </c>
      <c r="C289" s="6" t="str">
        <f t="array" ref="C289">_xlfn.XLOOKUP(
  A289,
  'CMFA-CSCDA Grants'!A:A,
'CMFA-CSCDA Grants'!B:B)</f>
        <v>603 Mariposa Apartments</v>
      </c>
      <c r="D289" s="12"/>
      <c r="F289" s="6" t="b">
        <v>0</v>
      </c>
      <c r="G289" s="6"/>
      <c r="H289" s="6"/>
      <c r="I289" s="6"/>
      <c r="J289" s="6"/>
      <c r="K289" s="6"/>
      <c r="L289" s="6"/>
      <c r="N289" s="6"/>
      <c r="O289" s="6"/>
      <c r="P289" s="6"/>
      <c r="Q289" s="6"/>
      <c r="R289" s="6"/>
      <c r="S289" s="6"/>
      <c r="T289" s="6"/>
      <c r="U289" s="6"/>
      <c r="V289" s="6"/>
      <c r="W289" s="6"/>
      <c r="X289" s="18"/>
      <c r="Y289" s="18"/>
      <c r="Z289" s="18"/>
      <c r="AA289" s="6"/>
      <c r="AB289" s="6"/>
      <c r="AC289" s="18"/>
      <c r="AD289" s="12"/>
      <c r="AE289" s="6"/>
      <c r="AF289" s="6"/>
      <c r="AG289" s="6"/>
      <c r="AH289" s="6"/>
      <c r="AI289" s="6"/>
    </row>
    <row r="290">
      <c r="A290" s="6">
        <v>220.0</v>
      </c>
      <c r="B290" s="6" t="str">
        <f t="array" ref="B290">_xlfn.XLOOKUP(
  A290,
  'CMFA-CSCDA Grants'!A:A,
'CMFA-CSCDA Grants'!E:E)</f>
        <v>Los Angeles</v>
      </c>
      <c r="C290" s="6" t="str">
        <f t="array" ref="C290">_xlfn.XLOOKUP(
  A290,
  'CMFA-CSCDA Grants'!A:A,
'CMFA-CSCDA Grants'!B:B)</f>
        <v>236 Berendo Apartments</v>
      </c>
      <c r="D290" s="12"/>
      <c r="F290" s="6" t="b">
        <v>0</v>
      </c>
      <c r="G290" s="6"/>
      <c r="H290" s="6"/>
      <c r="I290" s="6"/>
      <c r="J290" s="6"/>
      <c r="K290" s="6"/>
      <c r="L290" s="6"/>
      <c r="N290" s="6"/>
      <c r="O290" s="6"/>
      <c r="P290" s="6"/>
      <c r="Q290" s="6"/>
      <c r="R290" s="6"/>
      <c r="S290" s="6"/>
      <c r="T290" s="6"/>
      <c r="U290" s="6"/>
      <c r="V290" s="6"/>
      <c r="W290" s="6"/>
      <c r="X290" s="18"/>
      <c r="Y290" s="18"/>
      <c r="Z290" s="18"/>
      <c r="AA290" s="6"/>
      <c r="AB290" s="6"/>
      <c r="AC290" s="18"/>
      <c r="AD290" s="12"/>
      <c r="AE290" s="6"/>
      <c r="AF290" s="6"/>
      <c r="AG290" s="6"/>
      <c r="AH290" s="6"/>
      <c r="AI290" s="6"/>
    </row>
    <row r="291">
      <c r="A291" s="6">
        <v>221.0</v>
      </c>
      <c r="B291" s="6" t="str">
        <f t="array" ref="B291">_xlfn.XLOOKUP(
  A291,
  'CMFA-CSCDA Grants'!A:A,
'CMFA-CSCDA Grants'!E:E)</f>
        <v>Los Angeles</v>
      </c>
      <c r="C291" s="6" t="str">
        <f t="array" ref="C291">_xlfn.XLOOKUP(
  A291,
  'CMFA-CSCDA Grants'!A:A,
'CMFA-CSCDA Grants'!B:B)</f>
        <v>Banner Avenue Apartments</v>
      </c>
      <c r="D291" s="12"/>
      <c r="F291" s="6" t="b">
        <v>0</v>
      </c>
      <c r="G291" s="6"/>
      <c r="H291" s="6"/>
      <c r="I291" s="6"/>
      <c r="J291" s="6"/>
      <c r="K291" s="6"/>
      <c r="L291" s="6"/>
      <c r="N291" s="6"/>
      <c r="O291" s="6"/>
      <c r="P291" s="6"/>
      <c r="Q291" s="6"/>
      <c r="R291" s="6"/>
      <c r="S291" s="6"/>
      <c r="T291" s="6"/>
      <c r="U291" s="6"/>
      <c r="V291" s="6"/>
      <c r="W291" s="6"/>
      <c r="X291" s="18"/>
      <c r="Y291" s="18"/>
      <c r="Z291" s="18"/>
      <c r="AA291" s="6"/>
      <c r="AB291" s="6"/>
      <c r="AC291" s="18"/>
      <c r="AD291" s="12"/>
      <c r="AE291" s="6"/>
      <c r="AF291" s="6"/>
      <c r="AG291" s="6"/>
      <c r="AH291" s="6"/>
      <c r="AI291" s="6"/>
    </row>
    <row r="292">
      <c r="A292" s="6">
        <v>222.0</v>
      </c>
      <c r="B292" s="6" t="str">
        <f t="array" ref="B292">_xlfn.XLOOKUP(
  A292,
  'CMFA-CSCDA Grants'!A:A,
'CMFA-CSCDA Grants'!E:E)</f>
        <v>Alameda</v>
      </c>
      <c r="C292" s="6" t="str">
        <f t="array" ref="C292">_xlfn.XLOOKUP(
  A292,
  'CMFA-CSCDA Grants'!A:A,
'CMFA-CSCDA Grants'!B:B)</f>
        <v>Bayfair Apartments</v>
      </c>
      <c r="D292" s="12"/>
      <c r="F292" s="6" t="b">
        <v>0</v>
      </c>
      <c r="G292" s="6"/>
      <c r="H292" s="6"/>
      <c r="I292" s="6"/>
      <c r="J292" s="6"/>
      <c r="K292" s="6"/>
      <c r="L292" s="6"/>
      <c r="N292" s="6"/>
      <c r="O292" s="6"/>
      <c r="P292" s="6"/>
      <c r="Q292" s="6"/>
      <c r="R292" s="6"/>
      <c r="S292" s="6"/>
      <c r="T292" s="6"/>
      <c r="U292" s="6"/>
      <c r="V292" s="6"/>
      <c r="W292" s="6"/>
      <c r="X292" s="18"/>
      <c r="Y292" s="18"/>
      <c r="Z292" s="18"/>
      <c r="AA292" s="6"/>
      <c r="AB292" s="6"/>
      <c r="AC292" s="18"/>
      <c r="AD292" s="12"/>
      <c r="AE292" s="6"/>
      <c r="AF292" s="6"/>
      <c r="AG292" s="6"/>
      <c r="AH292" s="6"/>
      <c r="AI292" s="6"/>
    </row>
    <row r="293">
      <c r="A293" s="6">
        <v>223.0</v>
      </c>
      <c r="B293" s="6" t="str">
        <f t="array" ref="B293">_xlfn.XLOOKUP(
  A293,
  'CMFA-CSCDA Grants'!A:A,
'CMFA-CSCDA Grants'!E:E)</f>
        <v>Alameda</v>
      </c>
      <c r="C293" s="6" t="str">
        <f t="array" ref="C293">_xlfn.XLOOKUP(
  A293,
  'CMFA-CSCDA Grants'!A:A,
'CMFA-CSCDA Grants'!B:B)</f>
        <v>2121 Wood St</v>
      </c>
      <c r="D293" s="12"/>
      <c r="F293" s="6" t="b">
        <v>0</v>
      </c>
      <c r="G293" s="6"/>
      <c r="H293" s="6"/>
      <c r="I293" s="6"/>
      <c r="J293" s="6"/>
      <c r="K293" s="6"/>
      <c r="L293" s="6"/>
      <c r="N293" s="6"/>
      <c r="O293" s="6"/>
      <c r="P293" s="6"/>
      <c r="Q293" s="6"/>
      <c r="R293" s="6"/>
      <c r="S293" s="6"/>
      <c r="T293" s="6"/>
      <c r="U293" s="6"/>
      <c r="V293" s="6"/>
      <c r="W293" s="6"/>
      <c r="X293" s="18"/>
      <c r="Y293" s="18"/>
      <c r="Z293" s="18"/>
      <c r="AA293" s="6"/>
      <c r="AB293" s="6"/>
      <c r="AC293" s="18"/>
      <c r="AD293" s="12"/>
      <c r="AE293" s="6"/>
      <c r="AF293" s="6"/>
      <c r="AG293" s="6"/>
      <c r="AH293" s="6"/>
      <c r="AI293" s="6"/>
    </row>
    <row r="294">
      <c r="A294" s="6">
        <v>224.0</v>
      </c>
      <c r="B294" s="6" t="str">
        <f t="array" ref="B294">_xlfn.XLOOKUP(
  A294,
  'CMFA-CSCDA Grants'!A:A,
'CMFA-CSCDA Grants'!E:E)</f>
        <v>Los Angeles</v>
      </c>
      <c r="C294" s="6" t="str">
        <f t="array" ref="C294">_xlfn.XLOOKUP(
  A294,
  'CMFA-CSCDA Grants'!A:A,
'CMFA-CSCDA Grants'!B:B)</f>
        <v>1454 Florence Apartments</v>
      </c>
      <c r="D294" s="12"/>
      <c r="F294" s="6" t="b">
        <v>0</v>
      </c>
      <c r="G294" s="6"/>
      <c r="H294" s="6"/>
      <c r="I294" s="6"/>
      <c r="J294" s="6"/>
      <c r="K294" s="6"/>
      <c r="L294" s="6"/>
      <c r="N294" s="6"/>
      <c r="O294" s="6"/>
      <c r="P294" s="6"/>
      <c r="Q294" s="6"/>
      <c r="R294" s="6"/>
      <c r="S294" s="6"/>
      <c r="T294" s="6"/>
      <c r="U294" s="6"/>
      <c r="V294" s="6"/>
      <c r="W294" s="6"/>
      <c r="X294" s="18"/>
      <c r="Y294" s="18"/>
      <c r="Z294" s="18"/>
      <c r="AA294" s="6"/>
      <c r="AB294" s="6"/>
      <c r="AC294" s="18"/>
      <c r="AD294" s="12"/>
      <c r="AE294" s="6"/>
      <c r="AF294" s="6"/>
      <c r="AG294" s="6"/>
      <c r="AH294" s="6"/>
      <c r="AI294" s="6"/>
    </row>
    <row r="295">
      <c r="A295" s="6">
        <v>226.0</v>
      </c>
      <c r="B295" s="6" t="str">
        <f t="array" ref="B295">_xlfn.XLOOKUP(
  A295,
  'CMFA-CSCDA Grants'!A:A,
'CMFA-CSCDA Grants'!E:E)</f>
        <v>Contra Costa</v>
      </c>
      <c r="C295" s="6" t="str">
        <f t="array" ref="C295">_xlfn.XLOOKUP(
  A295,
  'CMFA-CSCDA Grants'!A:A,
'CMFA-CSCDA Grants'!B:B)</f>
        <v>Maris at Martinez Apartments</v>
      </c>
      <c r="D295" s="12"/>
      <c r="F295" s="6" t="b">
        <v>0</v>
      </c>
      <c r="G295" s="6"/>
      <c r="H295" s="6"/>
      <c r="I295" s="6"/>
      <c r="J295" s="6"/>
      <c r="K295" s="6"/>
      <c r="L295" s="6"/>
      <c r="N295" s="6"/>
      <c r="O295" s="6"/>
      <c r="P295" s="6"/>
      <c r="Q295" s="6"/>
      <c r="R295" s="6"/>
      <c r="S295" s="6"/>
      <c r="T295" s="6"/>
      <c r="U295" s="6"/>
      <c r="V295" s="6"/>
      <c r="W295" s="6"/>
      <c r="X295" s="18"/>
      <c r="Y295" s="18"/>
      <c r="Z295" s="18"/>
      <c r="AA295" s="6"/>
      <c r="AB295" s="6"/>
      <c r="AC295" s="18"/>
      <c r="AD295" s="12"/>
      <c r="AE295" s="6"/>
      <c r="AF295" s="6"/>
      <c r="AG295" s="6"/>
      <c r="AH295" s="6"/>
      <c r="AI295" s="6"/>
    </row>
    <row r="296">
      <c r="A296" s="6">
        <v>227.0</v>
      </c>
      <c r="B296" s="6" t="str">
        <f t="array" ref="B296">_xlfn.XLOOKUP(
  A296,
  'CMFA-CSCDA Grants'!A:A,
'CMFA-CSCDA Grants'!E:E)</f>
        <v>Sacramento</v>
      </c>
      <c r="C296" s="6" t="str">
        <f t="array" ref="C296">_xlfn.XLOOKUP(
  A296,
  'CMFA-CSCDA Grants'!A:A,
'CMFA-CSCDA Grants'!B:B)</f>
        <v>Westlake Apartments</v>
      </c>
      <c r="D296" s="12">
        <v>3.00330018E12</v>
      </c>
      <c r="F296" s="6" t="b">
        <v>0</v>
      </c>
      <c r="G296" s="6"/>
      <c r="H296" s="6" t="s">
        <v>2714</v>
      </c>
      <c r="I296" s="6"/>
      <c r="J296" s="6"/>
      <c r="K296" s="6"/>
      <c r="L296" s="6"/>
      <c r="N296" s="6"/>
      <c r="O296" s="6"/>
      <c r="P296" s="6"/>
      <c r="Q296" s="6"/>
      <c r="R296" s="6"/>
      <c r="S296" s="6"/>
      <c r="T296" s="6"/>
      <c r="U296" s="6"/>
      <c r="V296" s="6"/>
      <c r="W296" s="6">
        <v>2026.0</v>
      </c>
      <c r="X296" s="18">
        <v>4329728.0</v>
      </c>
      <c r="Y296" s="18">
        <v>3.6856814E7</v>
      </c>
      <c r="Z296" s="18">
        <v>4.1186542E7</v>
      </c>
      <c r="AA296" s="6"/>
      <c r="AB296" s="6"/>
      <c r="AC296" s="18"/>
      <c r="AD296" s="12"/>
      <c r="AE296" s="6"/>
      <c r="AF296" s="6"/>
      <c r="AG296" s="6"/>
      <c r="AH296" s="6"/>
      <c r="AI296" s="6"/>
    </row>
    <row r="297">
      <c r="A297" s="6">
        <v>228.0</v>
      </c>
      <c r="B297" s="6" t="str">
        <f t="array" ref="B297">_xlfn.XLOOKUP(
  A297,
  'CMFA-CSCDA Grants'!A:A,
'CMFA-CSCDA Grants'!E:E)</f>
        <v>Los Angeles</v>
      </c>
      <c r="C297" s="6" t="str">
        <f t="array" ref="C297">_xlfn.XLOOKUP(
  A297,
  'CMFA-CSCDA Grants'!A:A,
'CMFA-CSCDA Grants'!B:B)</f>
        <v>Colden Oaks Apartments</v>
      </c>
      <c r="D297" s="12"/>
      <c r="F297" s="6" t="b">
        <v>0</v>
      </c>
      <c r="G297" s="6"/>
      <c r="H297" s="6"/>
      <c r="I297" s="6"/>
      <c r="J297" s="6"/>
      <c r="K297" s="6"/>
      <c r="L297" s="6"/>
      <c r="N297" s="6"/>
      <c r="O297" s="6"/>
      <c r="P297" s="6"/>
      <c r="Q297" s="6"/>
      <c r="R297" s="6"/>
      <c r="S297" s="6"/>
      <c r="T297" s="6"/>
      <c r="U297" s="6"/>
      <c r="V297" s="6"/>
      <c r="W297" s="6"/>
      <c r="X297" s="18"/>
      <c r="Y297" s="18"/>
      <c r="Z297" s="18"/>
      <c r="AA297" s="6"/>
      <c r="AB297" s="6"/>
      <c r="AC297" s="18"/>
      <c r="AD297" s="12"/>
      <c r="AE297" s="6"/>
      <c r="AF297" s="6"/>
      <c r="AG297" s="6"/>
      <c r="AH297" s="6"/>
      <c r="AI297" s="6"/>
    </row>
    <row r="298">
      <c r="A298" s="6">
        <v>229.0</v>
      </c>
      <c r="B298" s="6" t="str">
        <f t="array" ref="B298">_xlfn.XLOOKUP(
  A298,
  'CMFA-CSCDA Grants'!A:A,
'CMFA-CSCDA Grants'!E:E)</f>
        <v>San Diego</v>
      </c>
      <c r="C298" s="6" t="str">
        <f t="array" ref="C298">_xlfn.XLOOKUP(
  A298,
  'CMFA-CSCDA Grants'!A:A,
'CMFA-CSCDA Grants'!B:B)</f>
        <v>Creekside Villas Apartments</v>
      </c>
      <c r="D298" s="12"/>
      <c r="F298" s="6" t="b">
        <v>0</v>
      </c>
      <c r="G298" s="6"/>
      <c r="H298" s="6"/>
      <c r="I298" s="6"/>
      <c r="J298" s="6"/>
      <c r="K298" s="6"/>
      <c r="L298" s="6"/>
      <c r="N298" s="6"/>
      <c r="O298" s="6"/>
      <c r="P298" s="6"/>
      <c r="Q298" s="6"/>
      <c r="R298" s="6"/>
      <c r="S298" s="6"/>
      <c r="T298" s="6"/>
      <c r="U298" s="6"/>
      <c r="V298" s="6"/>
      <c r="W298" s="6"/>
      <c r="X298" s="18"/>
      <c r="Y298" s="18"/>
      <c r="Z298" s="18"/>
      <c r="AA298" s="6"/>
      <c r="AB298" s="6"/>
      <c r="AC298" s="18"/>
      <c r="AD298" s="12"/>
      <c r="AE298" s="6"/>
      <c r="AF298" s="6"/>
      <c r="AG298" s="6"/>
      <c r="AH298" s="6"/>
      <c r="AI298" s="6"/>
    </row>
    <row r="299">
      <c r="A299" s="6">
        <v>230.0</v>
      </c>
      <c r="B299" s="6" t="str">
        <f t="array" ref="B299">_xlfn.XLOOKUP(
  A299,
  'CMFA-CSCDA Grants'!A:A,
'CMFA-CSCDA Grants'!E:E)</f>
        <v>Los Angeles</v>
      </c>
      <c r="C299" s="6" t="str">
        <f t="array" ref="C299">_xlfn.XLOOKUP(
  A299,
  'CMFA-CSCDA Grants'!A:A,
'CMFA-CSCDA Grants'!B:B)</f>
        <v>Hansen illage Apartments</v>
      </c>
      <c r="D299" s="12"/>
      <c r="F299" s="6" t="b">
        <v>0</v>
      </c>
      <c r="G299" s="6"/>
      <c r="H299" s="6"/>
      <c r="I299" s="6"/>
      <c r="J299" s="6"/>
      <c r="K299" s="6"/>
      <c r="L299" s="6"/>
      <c r="N299" s="6"/>
      <c r="O299" s="6"/>
      <c r="P299" s="6"/>
      <c r="Q299" s="6"/>
      <c r="R299" s="6"/>
      <c r="S299" s="6"/>
      <c r="T299" s="6"/>
      <c r="U299" s="6"/>
      <c r="V299" s="6"/>
      <c r="W299" s="6"/>
      <c r="X299" s="18"/>
      <c r="Y299" s="18"/>
      <c r="Z299" s="18"/>
      <c r="AA299" s="6"/>
      <c r="AB299" s="6"/>
      <c r="AC299" s="18"/>
      <c r="AD299" s="12"/>
      <c r="AE299" s="6"/>
      <c r="AF299" s="6"/>
      <c r="AG299" s="6"/>
      <c r="AH299" s="6"/>
      <c r="AI299" s="6"/>
    </row>
    <row r="300">
      <c r="A300" s="6">
        <v>231.0</v>
      </c>
      <c r="B300" s="6" t="str">
        <f t="array" ref="B300">_xlfn.XLOOKUP(
  A300,
  'CMFA-CSCDA Grants'!A:A,
'CMFA-CSCDA Grants'!E:E)</f>
        <v>Los Angeles</v>
      </c>
      <c r="C300" s="6" t="str">
        <f t="array" ref="C300">_xlfn.XLOOKUP(
  A300,
  'CMFA-CSCDA Grants'!A:A,
'CMFA-CSCDA Grants'!B:B)</f>
        <v>Violet on Virgil</v>
      </c>
      <c r="D300" s="12"/>
      <c r="F300" s="6" t="b">
        <v>0</v>
      </c>
      <c r="G300" s="6"/>
      <c r="H300" s="6"/>
      <c r="I300" s="6"/>
      <c r="J300" s="6"/>
      <c r="K300" s="6"/>
      <c r="L300" s="6"/>
      <c r="N300" s="6"/>
      <c r="O300" s="6"/>
      <c r="P300" s="6"/>
      <c r="Q300" s="6"/>
      <c r="R300" s="6"/>
      <c r="S300" s="6"/>
      <c r="T300" s="6"/>
      <c r="U300" s="6"/>
      <c r="V300" s="6"/>
      <c r="W300" s="6"/>
      <c r="X300" s="18"/>
      <c r="Y300" s="18"/>
      <c r="Z300" s="18"/>
      <c r="AA300" s="6"/>
      <c r="AB300" s="6"/>
      <c r="AC300" s="18"/>
      <c r="AD300" s="12"/>
      <c r="AE300" s="6"/>
      <c r="AF300" s="6"/>
      <c r="AG300" s="6"/>
      <c r="AH300" s="6"/>
      <c r="AI300" s="6"/>
    </row>
    <row r="301">
      <c r="A301" s="6">
        <v>232.0</v>
      </c>
      <c r="B301" s="6" t="str">
        <f t="array" ref="B301">_xlfn.XLOOKUP(
  A301,
  'CMFA-CSCDA Grants'!A:A,
'CMFA-CSCDA Grants'!E:E)</f>
        <v>Orange</v>
      </c>
      <c r="C301" s="6" t="str">
        <f t="array" ref="C301">_xlfn.XLOOKUP(
  A301,
  'CMFA-CSCDA Grants'!A:A,
'CMFA-CSCDA Grants'!B:B)</f>
        <v>Crystal View Apartments</v>
      </c>
      <c r="D301" s="12" t="s">
        <v>2741</v>
      </c>
      <c r="F301" s="6" t="b">
        <v>0</v>
      </c>
      <c r="G301" s="6"/>
      <c r="H301" s="6" t="s">
        <v>2742</v>
      </c>
      <c r="I301" s="6"/>
      <c r="J301" s="6"/>
      <c r="K301" s="6"/>
      <c r="L301" s="6"/>
      <c r="N301" s="6"/>
      <c r="O301" s="6"/>
      <c r="P301" s="6"/>
      <c r="Q301" s="6"/>
      <c r="R301" s="6"/>
      <c r="S301" s="6"/>
      <c r="T301" s="6"/>
      <c r="U301" s="6"/>
      <c r="V301" s="6"/>
      <c r="W301" s="6">
        <v>2026.0</v>
      </c>
      <c r="X301" s="18">
        <v>7.7305195E7</v>
      </c>
      <c r="Y301" s="18">
        <v>1.2828467E7</v>
      </c>
      <c r="Z301" s="18">
        <v>9.0133662E7</v>
      </c>
      <c r="AA301" s="6"/>
      <c r="AB301" s="6"/>
      <c r="AC301" s="18">
        <v>6.2106599E7</v>
      </c>
      <c r="AD301" s="12"/>
      <c r="AE301" s="6"/>
      <c r="AF301" s="6"/>
      <c r="AG301" s="6"/>
      <c r="AH301" s="6"/>
      <c r="AI301" s="6"/>
    </row>
    <row r="302">
      <c r="A302" s="6">
        <v>232.0</v>
      </c>
      <c r="B302" s="6" t="str">
        <f t="array" ref="B302">_xlfn.XLOOKUP(
  A302,
  'CMFA-CSCDA Grants'!A:A,
'CMFA-CSCDA Grants'!E:E)</f>
        <v>Orange</v>
      </c>
      <c r="C302" s="6" t="str">
        <f t="array" ref="C302">_xlfn.XLOOKUP(
  A302,
  'CMFA-CSCDA Grants'!A:A,
'CMFA-CSCDA Grants'!B:B)</f>
        <v>Crystal View Apartments</v>
      </c>
      <c r="D302" s="12" t="s">
        <v>2750</v>
      </c>
      <c r="F302" s="6" t="b">
        <v>0</v>
      </c>
      <c r="G302" s="6"/>
      <c r="H302" s="6" t="s">
        <v>2751</v>
      </c>
      <c r="I302" s="6"/>
      <c r="J302" s="6"/>
      <c r="K302" s="6"/>
      <c r="L302" s="6"/>
      <c r="N302" s="6"/>
      <c r="O302" s="6"/>
      <c r="P302" s="6"/>
      <c r="Q302" s="6"/>
      <c r="R302" s="6"/>
      <c r="S302" s="6"/>
      <c r="T302" s="6"/>
      <c r="U302" s="6"/>
      <c r="V302" s="6"/>
      <c r="W302" s="6">
        <v>2026.0</v>
      </c>
      <c r="X302" s="18">
        <v>2.5582477E7</v>
      </c>
      <c r="Y302" s="18">
        <v>4462074.0</v>
      </c>
      <c r="Z302" s="18">
        <v>3.0044551E7</v>
      </c>
      <c r="AA302" s="6"/>
      <c r="AB302" s="6"/>
      <c r="AC302" s="18">
        <v>2.0702197E7</v>
      </c>
      <c r="AD302" s="12"/>
      <c r="AE302" s="6"/>
      <c r="AF302" s="6"/>
      <c r="AG302" s="6"/>
      <c r="AH302" s="6"/>
      <c r="AI302" s="6"/>
    </row>
    <row r="303">
      <c r="A303" s="6">
        <v>233.0</v>
      </c>
      <c r="B303" s="6" t="str">
        <f t="array" ref="B303">_xlfn.XLOOKUP(
  A303,
  'CMFA-CSCDA Grants'!A:A,
'CMFA-CSCDA Grants'!E:E)</f>
        <v>Los Angeles</v>
      </c>
      <c r="C303" s="6" t="str">
        <f t="array" ref="C303">_xlfn.XLOOKUP(
  A303,
  'CMFA-CSCDA Grants'!A:A,
'CMFA-CSCDA Grants'!B:B)</f>
        <v>926 S. Kingsley Apartments</v>
      </c>
      <c r="D303" s="12"/>
      <c r="F303" s="6" t="b">
        <v>0</v>
      </c>
      <c r="G303" s="6"/>
      <c r="H303" s="6"/>
      <c r="I303" s="6"/>
      <c r="J303" s="6"/>
      <c r="K303" s="6"/>
      <c r="L303" s="6"/>
      <c r="N303" s="6"/>
      <c r="O303" s="6"/>
      <c r="P303" s="6"/>
      <c r="Q303" s="6"/>
      <c r="R303" s="6"/>
      <c r="S303" s="6"/>
      <c r="T303" s="6"/>
      <c r="U303" s="6"/>
      <c r="V303" s="6"/>
      <c r="W303" s="6"/>
      <c r="X303" s="18"/>
      <c r="Y303" s="18"/>
      <c r="Z303" s="18"/>
      <c r="AA303" s="6"/>
      <c r="AB303" s="6"/>
      <c r="AC303" s="18"/>
      <c r="AD303" s="12"/>
      <c r="AE303" s="6"/>
      <c r="AF303" s="6"/>
      <c r="AG303" s="6"/>
      <c r="AH303" s="6"/>
      <c r="AI303" s="6"/>
    </row>
    <row r="304">
      <c r="A304" s="6">
        <v>234.0</v>
      </c>
      <c r="B304" s="6" t="str">
        <f t="array" ref="B304">_xlfn.XLOOKUP(
  A304,
  'CMFA-CSCDA Grants'!A:A,
'CMFA-CSCDA Grants'!E:E)</f>
        <v>Los Angeles</v>
      </c>
      <c r="C304" s="6" t="str">
        <f t="array" ref="C304">_xlfn.XLOOKUP(
  A304,
  'CMFA-CSCDA Grants'!A:A,
'CMFA-CSCDA Grants'!B:B)</f>
        <v>939 S. Kingsley Apartments</v>
      </c>
      <c r="D304" s="12"/>
      <c r="F304" s="6" t="b">
        <v>0</v>
      </c>
      <c r="G304" s="6"/>
      <c r="H304" s="6"/>
      <c r="I304" s="6"/>
      <c r="J304" s="6"/>
      <c r="K304" s="6"/>
      <c r="L304" s="6"/>
      <c r="N304" s="6"/>
      <c r="O304" s="6"/>
      <c r="P304" s="6"/>
      <c r="Q304" s="6"/>
      <c r="R304" s="6"/>
      <c r="S304" s="6"/>
      <c r="T304" s="6"/>
      <c r="U304" s="6"/>
      <c r="V304" s="6"/>
      <c r="W304" s="6"/>
      <c r="X304" s="18"/>
      <c r="Y304" s="18"/>
      <c r="Z304" s="18"/>
      <c r="AA304" s="6"/>
      <c r="AB304" s="6"/>
      <c r="AC304" s="18"/>
      <c r="AD304" s="12"/>
      <c r="AE304" s="6"/>
      <c r="AF304" s="6"/>
      <c r="AG304" s="6"/>
      <c r="AH304" s="6"/>
      <c r="AI304" s="6"/>
    </row>
    <row r="305">
      <c r="A305" s="6">
        <v>235.0</v>
      </c>
      <c r="B305" s="6" t="str">
        <f t="array" ref="B305">_xlfn.XLOOKUP(
  A305,
  'CMFA-CSCDA Grants'!A:A,
'CMFA-CSCDA Grants'!E:E)</f>
        <v>Los Angeles</v>
      </c>
      <c r="C305" s="6" t="str">
        <f t="array" ref="C305">_xlfn.XLOOKUP(
  A305,
  'CMFA-CSCDA Grants'!A:A,
'CMFA-CSCDA Grants'!B:B)</f>
        <v>3950 Ingraham Apartments</v>
      </c>
      <c r="D305" s="12"/>
      <c r="F305" s="6" t="b">
        <v>0</v>
      </c>
      <c r="G305" s="6"/>
      <c r="H305" s="6"/>
      <c r="I305" s="6"/>
      <c r="J305" s="6"/>
      <c r="K305" s="6"/>
      <c r="L305" s="6"/>
      <c r="N305" s="6"/>
      <c r="O305" s="6"/>
      <c r="P305" s="6"/>
      <c r="Q305" s="6"/>
      <c r="R305" s="6"/>
      <c r="S305" s="6"/>
      <c r="T305" s="6"/>
      <c r="U305" s="6"/>
      <c r="V305" s="6"/>
      <c r="W305" s="6"/>
      <c r="X305" s="18"/>
      <c r="Y305" s="18"/>
      <c r="Z305" s="18"/>
      <c r="AA305" s="6"/>
      <c r="AB305" s="6"/>
      <c r="AC305" s="18"/>
      <c r="AD305" s="12"/>
      <c r="AE305" s="6"/>
      <c r="AF305" s="6"/>
      <c r="AG305" s="6"/>
      <c r="AH305" s="6"/>
      <c r="AI305" s="6"/>
    </row>
    <row r="306">
      <c r="A306" s="6">
        <v>236.0</v>
      </c>
      <c r="B306" s="6" t="str">
        <f t="array" ref="B306">_xlfn.XLOOKUP(
  A306,
  'CMFA-CSCDA Grants'!A:A,
'CMFA-CSCDA Grants'!E:E)</f>
        <v>Los Angeles</v>
      </c>
      <c r="C306" s="6" t="str">
        <f t="array" ref="C306">_xlfn.XLOOKUP(
  A306,
  'CMFA-CSCDA Grants'!A:A,
'CMFA-CSCDA Grants'!B:B)</f>
        <v>Park Playa Apartments</v>
      </c>
      <c r="D306" s="12"/>
      <c r="F306" s="6" t="b">
        <v>0</v>
      </c>
      <c r="G306" s="6"/>
      <c r="H306" s="6"/>
      <c r="I306" s="6"/>
      <c r="J306" s="6"/>
      <c r="K306" s="6"/>
      <c r="L306" s="6"/>
      <c r="N306" s="6"/>
      <c r="O306" s="6"/>
      <c r="P306" s="6"/>
      <c r="Q306" s="6"/>
      <c r="R306" s="6"/>
      <c r="S306" s="6"/>
      <c r="T306" s="6"/>
      <c r="U306" s="6"/>
      <c r="V306" s="6"/>
      <c r="W306" s="6"/>
      <c r="X306" s="18"/>
      <c r="Y306" s="18"/>
      <c r="Z306" s="18"/>
      <c r="AA306" s="6"/>
      <c r="AB306" s="6"/>
      <c r="AC306" s="18"/>
      <c r="AD306" s="12"/>
      <c r="AE306" s="6"/>
      <c r="AF306" s="6"/>
      <c r="AG306" s="6"/>
      <c r="AH306" s="6"/>
      <c r="AI306" s="6"/>
    </row>
    <row r="307">
      <c r="A307" s="6">
        <v>237.0</v>
      </c>
      <c r="B307" s="6" t="str">
        <f t="array" ref="B307">_xlfn.XLOOKUP(
  A307,
  'CMFA-CSCDA Grants'!A:A,
'CMFA-CSCDA Grants'!E:E)</f>
        <v>Los Angeles</v>
      </c>
      <c r="C307" s="6" t="str">
        <f t="array" ref="C307">_xlfn.XLOOKUP(
  A307,
  'CMFA-CSCDA Grants'!A:A,
'CMFA-CSCDA Grants'!B:B)</f>
        <v>Edgemont by Angeleno</v>
      </c>
      <c r="D307" s="12"/>
      <c r="F307" s="6" t="b">
        <v>0</v>
      </c>
      <c r="G307" s="6"/>
      <c r="H307" s="6"/>
      <c r="I307" s="6"/>
      <c r="J307" s="6"/>
      <c r="K307" s="6"/>
      <c r="L307" s="6"/>
      <c r="N307" s="6"/>
      <c r="O307" s="6"/>
      <c r="P307" s="6"/>
      <c r="Q307" s="6"/>
      <c r="R307" s="6"/>
      <c r="S307" s="6"/>
      <c r="T307" s="6"/>
      <c r="U307" s="6"/>
      <c r="V307" s="6"/>
      <c r="W307" s="6"/>
      <c r="X307" s="18"/>
      <c r="Y307" s="18"/>
      <c r="Z307" s="18"/>
      <c r="AA307" s="6"/>
      <c r="AB307" s="6"/>
      <c r="AC307" s="18"/>
      <c r="AD307" s="12"/>
      <c r="AE307" s="6"/>
      <c r="AF307" s="6"/>
      <c r="AG307" s="6"/>
      <c r="AH307" s="6"/>
      <c r="AI307" s="6"/>
    </row>
    <row r="308">
      <c r="A308" s="22">
        <v>57.0</v>
      </c>
      <c r="B308" s="6" t="str">
        <f t="array" ref="B308">_xlfn.XLOOKUP(
  A308,
  'CMFA-CSCDA Grants'!A:A,
'CMFA-CSCDA Grants'!E:E)</f>
        <v>Santa Clara</v>
      </c>
      <c r="C308" s="6" t="str">
        <f t="array" ref="C308">_xlfn.XLOOKUP(
  A308,
  'CMFA-CSCDA Grants'!A:A,
'CMFA-CSCDA Grants'!B:B)</f>
        <v>SoFi Los Gatos Creek Apartments</v>
      </c>
      <c r="D308" s="24" t="s">
        <v>2778</v>
      </c>
      <c r="F308" s="6" t="b">
        <v>0</v>
      </c>
      <c r="H308" s="6" t="s">
        <v>2779</v>
      </c>
      <c r="X308" s="18" t="s">
        <v>146</v>
      </c>
      <c r="Y308" s="18" t="s">
        <v>146</v>
      </c>
      <c r="Z308" s="18">
        <v>3.6559633E7</v>
      </c>
      <c r="AC308" s="18">
        <v>1.8850147E7</v>
      </c>
      <c r="AD308" s="12" t="s">
        <v>155</v>
      </c>
      <c r="AJ308" s="16">
        <f t="array" ref="AJ308">_xlfn.XLOOKUP(
  A308,
  'CMFA-CSCDA Grants'!A:A,
'CMFA-CSCDA Grants'!O:O)</f>
        <v>193</v>
      </c>
      <c r="AK308" s="16">
        <f t="array" ref="AK308">_xlfn.XLOOKUP(
  A308,
  'CMFA-CSCDA Grants'!A:A,
'CMFA-CSCDA Grants'!P:P)</f>
        <v>193</v>
      </c>
      <c r="AL308" s="10">
        <f t="array" ref="AL308">_xlfn.XLOOKUP(
  AD308,
  'Tax Rates'!A:A,
'Tax Rates'!B:B)</f>
        <v>0.012401</v>
      </c>
    </row>
    <row r="309">
      <c r="A309" s="22">
        <v>60.0</v>
      </c>
      <c r="B309" s="6" t="str">
        <f t="array" ref="B309">_xlfn.XLOOKUP(
  A309,
  'CMFA-CSCDA Grants'!A:A,
'CMFA-CSCDA Grants'!E:E)</f>
        <v>Santa Clara</v>
      </c>
      <c r="C309" s="6" t="str">
        <f t="array" ref="C309">_xlfn.XLOOKUP(
  A309,
  'CMFA-CSCDA Grants'!A:A,
'CMFA-CSCDA Grants'!B:B)</f>
        <v>HARKEN APARTMENTS</v>
      </c>
      <c r="D309" s="24" t="s">
        <v>2795</v>
      </c>
      <c r="F309" s="6" t="b">
        <v>0</v>
      </c>
      <c r="H309" s="6" t="s">
        <v>2797</v>
      </c>
      <c r="X309" s="18" t="s">
        <v>146</v>
      </c>
      <c r="Y309" s="18" t="s">
        <v>146</v>
      </c>
      <c r="Z309" s="18">
        <v>3.2171358E7</v>
      </c>
      <c r="AC309" s="18"/>
      <c r="AD309" s="12" t="s">
        <v>154</v>
      </c>
      <c r="AJ309" s="16">
        <f t="array" ref="AJ309">_xlfn.XLOOKUP(
  A309,
  'CMFA-CSCDA Grants'!A:A,
'CMFA-CSCDA Grants'!O:O)</f>
        <v>196</v>
      </c>
      <c r="AK309" s="16">
        <f t="array" ref="AK309">_xlfn.XLOOKUP(
  A309,
  'CMFA-CSCDA Grants'!A:A,
'CMFA-CSCDA Grants'!P:P)</f>
        <v>29</v>
      </c>
      <c r="AL309" s="10">
        <f t="array" ref="AL309">_xlfn.XLOOKUP(
  AD309,
  'Tax Rates'!A:A,
'Tax Rates'!B:B)</f>
        <v>0.011268</v>
      </c>
    </row>
    <row r="310">
      <c r="A310" s="22">
        <v>60.0</v>
      </c>
      <c r="B310" s="6" t="str">
        <f t="array" ref="B310">_xlfn.XLOOKUP(
  A310,
  'CMFA-CSCDA Grants'!A:A,
'CMFA-CSCDA Grants'!E:E)</f>
        <v>Santa Clara</v>
      </c>
      <c r="C310" s="6" t="str">
        <f t="array" ref="C310">_xlfn.XLOOKUP(
  A310,
  'CMFA-CSCDA Grants'!A:A,
'CMFA-CSCDA Grants'!B:B)</f>
        <v>HARKEN APARTMENTS</v>
      </c>
      <c r="D310" s="24" t="s">
        <v>2805</v>
      </c>
      <c r="F310" s="6" t="b">
        <v>0</v>
      </c>
      <c r="H310" s="6" t="s">
        <v>2797</v>
      </c>
      <c r="X310" s="18" t="s">
        <v>146</v>
      </c>
      <c r="Y310" s="18" t="s">
        <v>146</v>
      </c>
      <c r="Z310" s="18">
        <v>1.8766626E7</v>
      </c>
      <c r="AC310" s="18"/>
      <c r="AD310" s="12" t="s">
        <v>154</v>
      </c>
      <c r="AJ310" s="16">
        <f t="array" ref="AJ310">_xlfn.XLOOKUP(
  A310,
  'CMFA-CSCDA Grants'!A:A,
'CMFA-CSCDA Grants'!O:O)</f>
        <v>196</v>
      </c>
      <c r="AK310" s="16">
        <f t="array" ref="AK310">_xlfn.XLOOKUP(
  A310,
  'CMFA-CSCDA Grants'!A:A,
'CMFA-CSCDA Grants'!P:P)</f>
        <v>29</v>
      </c>
      <c r="AL310" s="10">
        <f t="array" ref="AL310">_xlfn.XLOOKUP(
  AD310,
  'Tax Rates'!A:A,
'Tax Rates'!B:B)</f>
        <v>0.011268</v>
      </c>
    </row>
    <row r="311">
      <c r="A311" s="22">
        <v>89.0</v>
      </c>
      <c r="B311" s="6" t="str">
        <f t="array" ref="B311">_xlfn.XLOOKUP(
  A311,
  'CMFA-CSCDA Grants'!A:A,
'CMFA-CSCDA Grants'!E:E)</f>
        <v>Santa Clara</v>
      </c>
      <c r="C311" s="6" t="str">
        <f t="array" ref="C311">_xlfn.XLOOKUP(
  A311,
  'CMFA-CSCDA Grants'!A:A,
'CMFA-CSCDA Grants'!B:B)</f>
        <v>LINQ Apartments</v>
      </c>
      <c r="D311" s="24" t="s">
        <v>2817</v>
      </c>
      <c r="F311" s="6" t="b">
        <v>0</v>
      </c>
      <c r="H311" s="6" t="s">
        <v>2764</v>
      </c>
      <c r="X311" s="18" t="s">
        <v>146</v>
      </c>
      <c r="Y311" s="18" t="s">
        <v>146</v>
      </c>
      <c r="Z311" s="18">
        <v>1.13197044E8</v>
      </c>
      <c r="AC311" s="18"/>
      <c r="AD311" s="12" t="s">
        <v>155</v>
      </c>
      <c r="AJ311" s="16">
        <f t="array" ref="AJ311">_xlfn.XLOOKUP(
  A311,
  'CMFA-CSCDA Grants'!A:A,
'CMFA-CSCDA Grants'!O:O)</f>
        <v>230</v>
      </c>
      <c r="AK311" s="16">
        <f t="array" ref="AK311">_xlfn.XLOOKUP(
  A311,
  'CMFA-CSCDA Grants'!A:A,
'CMFA-CSCDA Grants'!P:P)</f>
        <v>230</v>
      </c>
      <c r="AL311" s="10">
        <f t="array" ref="AL311">_xlfn.XLOOKUP(
  AD311,
  'Tax Rates'!A:A,
'Tax Rates'!B:B)</f>
        <v>0.012401</v>
      </c>
    </row>
    <row r="312">
      <c r="A312" s="22">
        <v>95.0</v>
      </c>
      <c r="B312" s="6" t="str">
        <f t="array" ref="B312">_xlfn.XLOOKUP(
  A312,
  'CMFA-CSCDA Grants'!A:A,
'CMFA-CSCDA Grants'!E:E)</f>
        <v>Santa Clara</v>
      </c>
      <c r="C312" s="6" t="str">
        <f t="array" ref="C312">_xlfn.XLOOKUP(
  A312,
  'CMFA-CSCDA Grants'!A:A,
'CMFA-CSCDA Grants'!B:B)</f>
        <v>Fountain Park Apartments</v>
      </c>
      <c r="D312" s="24" t="s">
        <v>2830</v>
      </c>
      <c r="F312" s="6" t="b">
        <v>0</v>
      </c>
      <c r="H312" s="6" t="s">
        <v>2831</v>
      </c>
      <c r="X312" s="18" t="s">
        <v>146</v>
      </c>
      <c r="Y312" s="18" t="s">
        <v>146</v>
      </c>
      <c r="Z312" s="18">
        <v>4853048.0</v>
      </c>
      <c r="AC312" s="18"/>
      <c r="AD312" s="12" t="s">
        <v>155</v>
      </c>
      <c r="AJ312" s="16">
        <f t="array" ref="AJ312">_xlfn.XLOOKUP(
  A312,
  'CMFA-CSCDA Grants'!A:A,
'CMFA-CSCDA Grants'!O:O)</f>
        <v>164</v>
      </c>
      <c r="AK312" s="16">
        <f t="array" ref="AK312">_xlfn.XLOOKUP(
  A312,
  'CMFA-CSCDA Grants'!A:A,
'CMFA-CSCDA Grants'!P:P)</f>
        <v>164</v>
      </c>
      <c r="AL312" s="10">
        <f t="array" ref="AL312">_xlfn.XLOOKUP(
  AD312,
  'Tax Rates'!A:A,
'Tax Rates'!B:B)</f>
        <v>0.012401</v>
      </c>
    </row>
    <row r="313">
      <c r="A313" s="22">
        <v>96.0</v>
      </c>
      <c r="B313" s="6" t="str">
        <f t="array" ref="B313">_xlfn.XLOOKUP(
  A313,
  'CMFA-CSCDA Grants'!A:A,
'CMFA-CSCDA Grants'!E:E)</f>
        <v>Santa Clara</v>
      </c>
      <c r="C313" s="6" t="str">
        <f t="array" ref="C313">_xlfn.XLOOKUP(
  A313,
  'CMFA-CSCDA Grants'!A:A,
'CMFA-CSCDA Grants'!B:B)</f>
        <v>Park Kiely Apartments</v>
      </c>
      <c r="D313" s="24" t="s">
        <v>2840</v>
      </c>
      <c r="F313" s="6" t="b">
        <v>0</v>
      </c>
      <c r="H313" s="6" t="s">
        <v>2842</v>
      </c>
      <c r="X313" s="18" t="s">
        <v>146</v>
      </c>
      <c r="Y313" s="18" t="s">
        <v>146</v>
      </c>
      <c r="Z313" s="18">
        <v>1.29482004E8</v>
      </c>
      <c r="AC313" s="18"/>
      <c r="AD313" s="12" t="s">
        <v>155</v>
      </c>
      <c r="AJ313" s="16">
        <f t="array" ref="AJ313">_xlfn.XLOOKUP(
  A313,
  'CMFA-CSCDA Grants'!A:A,
'CMFA-CSCDA Grants'!O:O)</f>
        <v>948</v>
      </c>
      <c r="AK313" s="16">
        <f t="array" ref="AK313">_xlfn.XLOOKUP(
  A313,
  'CMFA-CSCDA Grants'!A:A,
'CMFA-CSCDA Grants'!P:P)</f>
        <v>948</v>
      </c>
      <c r="AL313" s="10">
        <f t="array" ref="AL313">_xlfn.XLOOKUP(
  AD313,
  'Tax Rates'!A:A,
'Tax Rates'!B:B)</f>
        <v>0.012401</v>
      </c>
    </row>
    <row r="314">
      <c r="A314" s="22">
        <v>96.0</v>
      </c>
      <c r="B314" s="6" t="str">
        <f t="array" ref="B314">_xlfn.XLOOKUP(
  A314,
  'CMFA-CSCDA Grants'!A:A,
'CMFA-CSCDA Grants'!E:E)</f>
        <v>Santa Clara</v>
      </c>
      <c r="C314" s="6" t="str">
        <f t="array" ref="C314">_xlfn.XLOOKUP(
  A314,
  'CMFA-CSCDA Grants'!A:A,
'CMFA-CSCDA Grants'!B:B)</f>
        <v>Park Kiely Apartments</v>
      </c>
      <c r="D314" s="24" t="s">
        <v>2856</v>
      </c>
      <c r="F314" s="6" t="b">
        <v>0</v>
      </c>
      <c r="H314" s="6" t="s">
        <v>2857</v>
      </c>
      <c r="X314" s="18" t="s">
        <v>146</v>
      </c>
      <c r="Y314" s="18" t="s">
        <v>146</v>
      </c>
      <c r="Z314" s="18">
        <v>9.5469825E7</v>
      </c>
      <c r="AC314" s="18"/>
      <c r="AD314" s="12" t="s">
        <v>155</v>
      </c>
      <c r="AJ314" s="16">
        <f t="array" ref="AJ314">_xlfn.XLOOKUP(
  A314,
  'CMFA-CSCDA Grants'!A:A,
'CMFA-CSCDA Grants'!O:O)</f>
        <v>948</v>
      </c>
      <c r="AK314" s="16">
        <f t="array" ref="AK314">_xlfn.XLOOKUP(
  A314,
  'CMFA-CSCDA Grants'!A:A,
'CMFA-CSCDA Grants'!P:P)</f>
        <v>948</v>
      </c>
      <c r="AL314" s="10">
        <f t="array" ref="AL314">_xlfn.XLOOKUP(
  AD314,
  'Tax Rates'!A:A,
'Tax Rates'!B:B)</f>
        <v>0.012401</v>
      </c>
    </row>
    <row r="315">
      <c r="A315" s="22">
        <v>96.0</v>
      </c>
      <c r="B315" s="6" t="str">
        <f t="array" ref="B315">_xlfn.XLOOKUP(
  A315,
  'CMFA-CSCDA Grants'!A:A,
'CMFA-CSCDA Grants'!E:E)</f>
        <v>Santa Clara</v>
      </c>
      <c r="C315" s="6" t="str">
        <f t="array" ref="C315">_xlfn.XLOOKUP(
  A315,
  'CMFA-CSCDA Grants'!A:A,
'CMFA-CSCDA Grants'!B:B)</f>
        <v>Park Kiely Apartments</v>
      </c>
      <c r="D315" s="24" t="s">
        <v>2867</v>
      </c>
      <c r="F315" s="6" t="b">
        <v>0</v>
      </c>
      <c r="H315" s="6" t="s">
        <v>2868</v>
      </c>
      <c r="X315" s="18" t="s">
        <v>146</v>
      </c>
      <c r="Y315" s="18" t="s">
        <v>146</v>
      </c>
      <c r="Z315" s="18">
        <v>7.2364911E7</v>
      </c>
      <c r="AC315" s="18"/>
      <c r="AD315" s="12" t="s">
        <v>155</v>
      </c>
      <c r="AJ315" s="16">
        <f t="array" ref="AJ315">_xlfn.XLOOKUP(
  A315,
  'CMFA-CSCDA Grants'!A:A,
'CMFA-CSCDA Grants'!O:O)</f>
        <v>948</v>
      </c>
      <c r="AK315" s="16">
        <f t="array" ref="AK315">_xlfn.XLOOKUP(
  A315,
  'CMFA-CSCDA Grants'!A:A,
'CMFA-CSCDA Grants'!P:P)</f>
        <v>948</v>
      </c>
      <c r="AL315" s="10">
        <f t="array" ref="AL315">_xlfn.XLOOKUP(
  AD315,
  'Tax Rates'!A:A,
'Tax Rates'!B:B)</f>
        <v>0.012401</v>
      </c>
    </row>
    <row r="316">
      <c r="A316" s="22">
        <v>136.0</v>
      </c>
      <c r="B316" s="6" t="str">
        <f t="array" ref="B316">_xlfn.XLOOKUP(
  A316,
  'CMFA-CSCDA Grants'!A:A,
'CMFA-CSCDA Grants'!E:E)</f>
        <v>Santa Clara</v>
      </c>
      <c r="C316" s="6" t="str">
        <f t="array" ref="C316">_xlfn.XLOOKUP(
  A316,
  'CMFA-CSCDA Grants'!A:A,
'CMFA-CSCDA Grants'!B:B)</f>
        <v>Ascent Apartments</v>
      </c>
      <c r="D316" s="24" t="s">
        <v>2881</v>
      </c>
      <c r="F316" s="6" t="b">
        <v>0</v>
      </c>
      <c r="H316" s="6" t="s">
        <v>2882</v>
      </c>
      <c r="X316" s="18" t="s">
        <v>146</v>
      </c>
      <c r="Y316" s="18" t="s">
        <v>146</v>
      </c>
      <c r="Z316" s="18">
        <v>2.69608107E8</v>
      </c>
      <c r="AC316" s="18"/>
      <c r="AD316" s="12" t="s">
        <v>155</v>
      </c>
      <c r="AJ316" s="16">
        <f t="array" ref="AJ316">_xlfn.XLOOKUP(
  A316,
  'CMFA-CSCDA Grants'!A:A,
'CMFA-CSCDA Grants'!O:O)</f>
        <v>650</v>
      </c>
      <c r="AK316" s="16">
        <f t="array" ref="AK316">_xlfn.XLOOKUP(
  A316,
  'CMFA-CSCDA Grants'!A:A,
'CMFA-CSCDA Grants'!P:P)</f>
        <v>260</v>
      </c>
      <c r="AL316" s="10">
        <f t="array" ref="AL316">_xlfn.XLOOKUP(
  AD316,
  'Tax Rates'!A:A,
'Tax Rates'!B:B)</f>
        <v>0.012401</v>
      </c>
    </row>
    <row r="317">
      <c r="A317" s="22">
        <v>138.0</v>
      </c>
      <c r="B317" s="6" t="str">
        <f t="array" ref="B317">_xlfn.XLOOKUP(
  A317,
  'CMFA-CSCDA Grants'!A:A,
'CMFA-CSCDA Grants'!E:E)</f>
        <v>Santa Clara</v>
      </c>
      <c r="C317" s="6" t="str">
        <f t="array" ref="C317">_xlfn.XLOOKUP(
  A317,
  'CMFA-CSCDA Grants'!A:A,
'CMFA-CSCDA Grants'!B:B)</f>
        <v>Montecito Apartments</v>
      </c>
      <c r="D317" s="24" t="s">
        <v>2891</v>
      </c>
      <c r="F317" s="6" t="b">
        <v>0</v>
      </c>
      <c r="H317" s="6" t="s">
        <v>2894</v>
      </c>
      <c r="X317" s="18" t="s">
        <v>146</v>
      </c>
      <c r="Y317" s="18" t="s">
        <v>146</v>
      </c>
      <c r="Z317" s="18">
        <v>2.797906E7</v>
      </c>
      <c r="AC317" s="18"/>
      <c r="AD317" s="12" t="s">
        <v>129</v>
      </c>
      <c r="AJ317" s="16">
        <f t="array" ref="AJ317">_xlfn.XLOOKUP(
  A317,
  'CMFA-CSCDA Grants'!A:A,
'CMFA-CSCDA Grants'!O:O)</f>
        <v>114</v>
      </c>
      <c r="AK317" s="16">
        <f t="array" ref="AK317">_xlfn.XLOOKUP(
  A317,
  'CMFA-CSCDA Grants'!A:A,
'CMFA-CSCDA Grants'!P:P)</f>
        <v>114</v>
      </c>
      <c r="AL317" s="10">
        <f t="array" ref="AL317">_xlfn.XLOOKUP(
  AD317,
  'Tax Rates'!A:A,
'Tax Rates'!B:B)</f>
        <v>0.011437</v>
      </c>
    </row>
    <row r="318">
      <c r="A318" s="22">
        <v>139.0</v>
      </c>
      <c r="B318" s="6" t="str">
        <f t="array" ref="B318">_xlfn.XLOOKUP(
  A318,
  'CMFA-CSCDA Grants'!A:A,
'CMFA-CSCDA Grants'!E:E)</f>
        <v>Santa Clara</v>
      </c>
      <c r="C318" s="6" t="str">
        <f t="array" ref="C318">_xlfn.XLOOKUP(
  A318,
  'CMFA-CSCDA Grants'!A:A,
'CMFA-CSCDA Grants'!B:B)</f>
        <v>Thornbridge Apartments</v>
      </c>
      <c r="D318" s="24" t="s">
        <v>2902</v>
      </c>
      <c r="F318" s="6" t="b">
        <v>0</v>
      </c>
      <c r="H318" s="6" t="s">
        <v>2903</v>
      </c>
      <c r="X318" s="18" t="s">
        <v>146</v>
      </c>
      <c r="Y318" s="18" t="s">
        <v>146</v>
      </c>
      <c r="Z318" s="18">
        <v>5.1700304E7</v>
      </c>
      <c r="AC318" s="18">
        <v>5.1700304E7</v>
      </c>
      <c r="AD318" s="12" t="s">
        <v>155</v>
      </c>
      <c r="AJ318" s="16">
        <f t="array" ref="AJ318">_xlfn.XLOOKUP(
  A318,
  'CMFA-CSCDA Grants'!A:A,
'CMFA-CSCDA Grants'!O:O)</f>
        <v>286</v>
      </c>
      <c r="AK318" s="16">
        <f t="array" ref="AK318">_xlfn.XLOOKUP(
  A318,
  'CMFA-CSCDA Grants'!A:A,
'CMFA-CSCDA Grants'!P:P)</f>
        <v>286</v>
      </c>
      <c r="AL318" s="10">
        <f t="array" ref="AL318">_xlfn.XLOOKUP(
  AD318,
  'Tax Rates'!A:A,
'Tax Rates'!B:B)</f>
        <v>0.012401</v>
      </c>
    </row>
    <row r="319">
      <c r="A319" s="22">
        <v>139.0</v>
      </c>
      <c r="B319" s="6" t="str">
        <f t="array" ref="B319">_xlfn.XLOOKUP(
  A319,
  'CMFA-CSCDA Grants'!A:A,
'CMFA-CSCDA Grants'!E:E)</f>
        <v>Santa Clara</v>
      </c>
      <c r="C319" s="6" t="str">
        <f t="array" ref="C319">_xlfn.XLOOKUP(
  A319,
  'CMFA-CSCDA Grants'!A:A,
'CMFA-CSCDA Grants'!B:B)</f>
        <v>Thornbridge Apartments</v>
      </c>
      <c r="D319" s="24" t="s">
        <v>2915</v>
      </c>
      <c r="F319" s="6" t="b">
        <v>0</v>
      </c>
      <c r="H319" s="6" t="s">
        <v>2916</v>
      </c>
      <c r="X319" s="18" t="s">
        <v>146</v>
      </c>
      <c r="Y319" s="18" t="s">
        <v>146</v>
      </c>
      <c r="Z319" s="18">
        <v>8396294.0</v>
      </c>
      <c r="AC319" s="18">
        <v>8396294.0</v>
      </c>
      <c r="AD319" s="12" t="s">
        <v>155</v>
      </c>
      <c r="AJ319" s="16">
        <f t="array" ref="AJ319">_xlfn.XLOOKUP(
  A319,
  'CMFA-CSCDA Grants'!A:A,
'CMFA-CSCDA Grants'!O:O)</f>
        <v>286</v>
      </c>
      <c r="AK319" s="16">
        <f t="array" ref="AK319">_xlfn.XLOOKUP(
  A319,
  'CMFA-CSCDA Grants'!A:A,
'CMFA-CSCDA Grants'!P:P)</f>
        <v>286</v>
      </c>
      <c r="AL319" s="10">
        <f t="array" ref="AL319">_xlfn.XLOOKUP(
  AD319,
  'Tax Rates'!A:A,
'Tax Rates'!B:B)</f>
        <v>0.012401</v>
      </c>
    </row>
    <row r="320">
      <c r="A320" s="22">
        <v>140.0</v>
      </c>
      <c r="B320" s="6" t="str">
        <f t="array" ref="B320">_xlfn.XLOOKUP(
  A320,
  'CMFA-CSCDA Grants'!A:A,
'CMFA-CSCDA Grants'!E:E)</f>
        <v>Santa Clara</v>
      </c>
      <c r="C320" s="6" t="str">
        <f t="array" ref="C320">_xlfn.XLOOKUP(
  A320,
  'CMFA-CSCDA Grants'!A:A,
'CMFA-CSCDA Grants'!B:B)</f>
        <v>The Crossings Apartments</v>
      </c>
      <c r="D320" s="24" t="s">
        <v>2880</v>
      </c>
      <c r="F320" s="6" t="b">
        <v>0</v>
      </c>
      <c r="H320" s="6" t="s">
        <v>2662</v>
      </c>
      <c r="X320" s="18" t="s">
        <v>146</v>
      </c>
      <c r="Y320" s="18" t="s">
        <v>146</v>
      </c>
      <c r="Z320" s="18">
        <v>7.0919811E7</v>
      </c>
      <c r="AC320" s="18"/>
      <c r="AD320" s="12" t="s">
        <v>158</v>
      </c>
      <c r="AJ320" s="16">
        <f t="array" ref="AJ320">_xlfn.XLOOKUP(
  A320,
  'CMFA-CSCDA Grants'!A:A,
'CMFA-CSCDA Grants'!O:O)</f>
        <v>148</v>
      </c>
      <c r="AK320" s="16">
        <f t="array" ref="AK320">_xlfn.XLOOKUP(
  A320,
  'CMFA-CSCDA Grants'!A:A,
'CMFA-CSCDA Grants'!P:P)</f>
        <v>148</v>
      </c>
      <c r="AL320" s="10">
        <f t="array" ref="AL320">_xlfn.XLOOKUP(
  AD320,
  'Tax Rates'!A:A,
'Tax Rates'!B:B)</f>
        <v>0.011322</v>
      </c>
    </row>
    <row r="321">
      <c r="A321" s="12">
        <v>189.0</v>
      </c>
      <c r="B321" s="6" t="str">
        <f t="array" ref="B321">_xlfn.XLOOKUP(
  A321,
  'CMFA-CSCDA Grants'!A:A,
'CMFA-CSCDA Grants'!E:E)</f>
        <v>Santa Clara</v>
      </c>
      <c r="C321" s="6" t="str">
        <f t="array" ref="C321">_xlfn.XLOOKUP(
  A321,
  'CMFA-CSCDA Grants'!A:A,
'CMFA-CSCDA Grants'!B:B)</f>
        <v>The Colonnade Apartments</v>
      </c>
      <c r="D321" s="12" t="s">
        <v>2928</v>
      </c>
      <c r="F321" s="6" t="b">
        <v>0</v>
      </c>
      <c r="G321" s="6" t="s">
        <v>2928</v>
      </c>
      <c r="H321" s="6" t="s">
        <v>2929</v>
      </c>
      <c r="I321" s="6" t="s">
        <v>155</v>
      </c>
      <c r="J321" s="6">
        <v>95112.0</v>
      </c>
      <c r="K321" s="6"/>
      <c r="L321" s="6"/>
      <c r="N321" s="6"/>
      <c r="O321" s="6"/>
      <c r="P321" s="6"/>
      <c r="Q321" s="6"/>
      <c r="R321" s="6"/>
      <c r="S321" s="6"/>
      <c r="T321" s="6"/>
      <c r="U321" s="6"/>
      <c r="V321" s="6"/>
      <c r="W321" s="6"/>
      <c r="X321" s="18">
        <v>2900712.0</v>
      </c>
      <c r="Y321" s="18">
        <v>2.8817334E7</v>
      </c>
      <c r="Z321" s="18">
        <f>SUM(X321:Y321)</f>
        <v>31718046</v>
      </c>
      <c r="AA321" s="6"/>
      <c r="AB321" s="6"/>
      <c r="AC321" s="18"/>
      <c r="AD321" s="12" t="s">
        <v>2931</v>
      </c>
      <c r="AE321" s="6"/>
      <c r="AF321" s="6"/>
      <c r="AG321" s="6"/>
      <c r="AH321" s="6"/>
      <c r="AI321" s="6"/>
    </row>
    <row r="322">
      <c r="A322" s="12">
        <v>189.0</v>
      </c>
      <c r="B322" s="6" t="str">
        <f t="array" ref="B322">_xlfn.XLOOKUP(
  A322,
  'CMFA-CSCDA Grants'!A:A,
'CMFA-CSCDA Grants'!E:E)</f>
        <v>Santa Clara</v>
      </c>
      <c r="C322" s="6" t="str">
        <f t="array" ref="C322">_xlfn.XLOOKUP(
  A322,
  'CMFA-CSCDA Grants'!A:A,
'CMFA-CSCDA Grants'!B:B)</f>
        <v>The Colonnade Apartments</v>
      </c>
      <c r="D322" s="12" t="s">
        <v>2936</v>
      </c>
      <c r="F322" s="6" t="b">
        <v>0</v>
      </c>
      <c r="G322" s="6" t="s">
        <v>2936</v>
      </c>
      <c r="H322" s="6" t="s">
        <v>2937</v>
      </c>
      <c r="I322" s="6" t="s">
        <v>155</v>
      </c>
      <c r="J322" s="6">
        <v>95112.0</v>
      </c>
      <c r="K322" s="6"/>
      <c r="L322" s="6"/>
      <c r="N322" s="6"/>
      <c r="O322" s="6"/>
      <c r="P322" s="6"/>
      <c r="Q322" s="6"/>
      <c r="R322" s="6"/>
      <c r="S322" s="6"/>
      <c r="T322" s="6"/>
      <c r="U322" s="6"/>
      <c r="V322" s="6"/>
      <c r="W322" s="6"/>
      <c r="X322" s="18"/>
      <c r="Y322" s="18"/>
      <c r="Z322" s="18"/>
      <c r="AA322" s="6"/>
      <c r="AB322" s="6"/>
      <c r="AC322" s="18"/>
      <c r="AD322" s="12" t="s">
        <v>2938</v>
      </c>
      <c r="AE322" s="6"/>
      <c r="AF322" s="6"/>
      <c r="AG322" s="6"/>
      <c r="AH322" s="6"/>
      <c r="AI322" s="6"/>
    </row>
    <row r="323">
      <c r="A323" s="12">
        <v>189.0</v>
      </c>
      <c r="B323" s="6" t="str">
        <f t="array" ref="B323">_xlfn.XLOOKUP(
  A323,
  'CMFA-CSCDA Grants'!A:A,
'CMFA-CSCDA Grants'!E:E)</f>
        <v>Santa Clara</v>
      </c>
      <c r="C323" s="6" t="str">
        <f t="array" ref="C323">_xlfn.XLOOKUP(
  A323,
  'CMFA-CSCDA Grants'!A:A,
'CMFA-CSCDA Grants'!B:B)</f>
        <v>The Colonnade Apartments</v>
      </c>
      <c r="D323" s="12" t="s">
        <v>2942</v>
      </c>
      <c r="F323" s="6" t="b">
        <v>0</v>
      </c>
      <c r="G323" s="6" t="s">
        <v>2942</v>
      </c>
      <c r="H323" s="6" t="s">
        <v>2943</v>
      </c>
      <c r="I323" s="6" t="s">
        <v>155</v>
      </c>
      <c r="J323" s="6">
        <v>95112.0</v>
      </c>
      <c r="K323" s="6"/>
      <c r="L323" s="6"/>
      <c r="N323" s="6"/>
      <c r="O323" s="6"/>
      <c r="P323" s="6"/>
      <c r="Q323" s="6"/>
      <c r="R323" s="6"/>
      <c r="S323" s="6"/>
      <c r="T323" s="6"/>
      <c r="U323" s="6"/>
      <c r="V323" s="6"/>
      <c r="W323" s="6"/>
      <c r="X323" s="18"/>
      <c r="Y323" s="18"/>
      <c r="Z323" s="18"/>
      <c r="AA323" s="6"/>
      <c r="AB323" s="6"/>
      <c r="AC323" s="18"/>
      <c r="AD323" s="12" t="s">
        <v>2946</v>
      </c>
      <c r="AE323" s="6"/>
      <c r="AF323" s="6"/>
      <c r="AG323" s="6"/>
      <c r="AH323" s="6"/>
      <c r="AI323" s="6"/>
    </row>
    <row r="324">
      <c r="A324" s="12">
        <v>189.0</v>
      </c>
      <c r="B324" s="6" t="str">
        <f t="array" ref="B324">_xlfn.XLOOKUP(
  A324,
  'CMFA-CSCDA Grants'!A:A,
'CMFA-CSCDA Grants'!E:E)</f>
        <v>Santa Clara</v>
      </c>
      <c r="C324" s="6" t="str">
        <f t="array" ref="C324">_xlfn.XLOOKUP(
  A324,
  'CMFA-CSCDA Grants'!A:A,
'CMFA-CSCDA Grants'!B:B)</f>
        <v>The Colonnade Apartments</v>
      </c>
      <c r="D324" s="12" t="s">
        <v>2949</v>
      </c>
      <c r="F324" s="6" t="b">
        <v>0</v>
      </c>
      <c r="G324" s="6" t="s">
        <v>2949</v>
      </c>
      <c r="H324" s="6" t="s">
        <v>2951</v>
      </c>
      <c r="I324" s="6" t="s">
        <v>155</v>
      </c>
      <c r="J324" s="6">
        <v>95112.0</v>
      </c>
      <c r="K324" s="6"/>
      <c r="L324" s="6"/>
      <c r="N324" s="6"/>
      <c r="O324" s="6"/>
      <c r="P324" s="6"/>
      <c r="Q324" s="6"/>
      <c r="R324" s="6"/>
      <c r="S324" s="6"/>
      <c r="T324" s="6"/>
      <c r="U324" s="6"/>
      <c r="V324" s="6"/>
      <c r="W324" s="6"/>
      <c r="X324" s="18"/>
      <c r="Y324" s="18"/>
      <c r="Z324" s="18"/>
      <c r="AA324" s="6"/>
      <c r="AB324" s="6"/>
      <c r="AC324" s="18"/>
      <c r="AD324" s="12" t="s">
        <v>2956</v>
      </c>
      <c r="AE324" s="6"/>
      <c r="AF324" s="6"/>
      <c r="AG324" s="6"/>
      <c r="AH324" s="6"/>
      <c r="AI324" s="6"/>
    </row>
    <row r="325">
      <c r="A325" s="12">
        <v>191.0</v>
      </c>
      <c r="B325" s="6" t="str">
        <f t="array" ref="B325">_xlfn.XLOOKUP(
  A325,
  'CMFA-CSCDA Grants'!A:A,
'CMFA-CSCDA Grants'!E:E)</f>
        <v>Santa Clara</v>
      </c>
      <c r="C325" s="6" t="str">
        <f t="array" ref="C325">_xlfn.XLOOKUP(
  A325,
  'CMFA-CSCDA Grants'!A:A,
'CMFA-CSCDA Grants'!B:B)</f>
        <v>Highland Gardens Apartments</v>
      </c>
      <c r="D325" s="12" t="s">
        <v>2959</v>
      </c>
      <c r="F325" s="6" t="b">
        <v>0</v>
      </c>
      <c r="G325" s="6" t="s">
        <v>2959</v>
      </c>
      <c r="H325" s="6" t="s">
        <v>2960</v>
      </c>
      <c r="I325" s="6" t="s">
        <v>149</v>
      </c>
      <c r="J325" s="6">
        <v>94040.0</v>
      </c>
      <c r="K325" s="6"/>
      <c r="L325" s="6"/>
      <c r="N325" s="6"/>
      <c r="O325" s="6"/>
      <c r="P325" s="6"/>
      <c r="Q325" s="6"/>
      <c r="R325" s="6"/>
      <c r="S325" s="6"/>
      <c r="T325" s="6"/>
      <c r="U325" s="6"/>
      <c r="V325" s="6"/>
      <c r="W325" s="6"/>
      <c r="X325" s="18">
        <v>4.2064765E7</v>
      </c>
      <c r="Y325" s="18">
        <v>6.27792E7</v>
      </c>
      <c r="Z325" s="18">
        <v>1.04843965E8</v>
      </c>
      <c r="AA325" s="6"/>
      <c r="AB325" s="6"/>
      <c r="AC325" s="18"/>
      <c r="AD325" s="12" t="s">
        <v>379</v>
      </c>
      <c r="AE325" s="6"/>
      <c r="AF325" s="6"/>
      <c r="AG325" s="6"/>
      <c r="AH325" s="6"/>
      <c r="AI325" s="6"/>
    </row>
    <row r="326">
      <c r="A326" s="6">
        <v>198.0</v>
      </c>
      <c r="B326" s="6" t="str">
        <f t="array" ref="B326">_xlfn.XLOOKUP(
  A326,
  'CMFA-CSCDA Grants'!A:A,
'CMFA-CSCDA Grants'!E:E)</f>
        <v>Santa Clara</v>
      </c>
      <c r="C326" s="6" t="str">
        <f t="array" ref="C326">_xlfn.XLOOKUP(
  A326,
  'CMFA-CSCDA Grants'!A:A,
'CMFA-CSCDA Grants'!B:B)</f>
        <v>220 Humboldt Ct. Apartments</v>
      </c>
      <c r="D326" s="12"/>
      <c r="F326" s="6" t="b">
        <v>0</v>
      </c>
      <c r="G326" s="6"/>
      <c r="H326" s="6"/>
      <c r="I326" s="6"/>
      <c r="J326" s="6"/>
      <c r="K326" s="6"/>
      <c r="L326" s="6"/>
      <c r="N326" s="6"/>
      <c r="O326" s="6"/>
      <c r="P326" s="6"/>
      <c r="Q326" s="6"/>
      <c r="R326" s="6"/>
      <c r="S326" s="6"/>
      <c r="T326" s="6"/>
      <c r="U326" s="6"/>
      <c r="V326" s="6"/>
      <c r="W326" s="6"/>
      <c r="X326" s="18"/>
      <c r="Y326" s="18"/>
      <c r="Z326" s="18"/>
      <c r="AA326" s="6"/>
      <c r="AB326" s="6"/>
      <c r="AC326" s="18"/>
      <c r="AD326" s="12"/>
      <c r="AE326" s="6"/>
      <c r="AF326" s="6"/>
      <c r="AG326" s="6"/>
      <c r="AH326" s="6"/>
      <c r="AI326" s="6"/>
    </row>
    <row r="327">
      <c r="A327" s="6">
        <v>202.0</v>
      </c>
      <c r="B327" s="6" t="str">
        <f t="array" ref="B327">_xlfn.XLOOKUP(
  A327,
  'CMFA-CSCDA Grants'!A:A,
'CMFA-CSCDA Grants'!E:E)</f>
        <v>Santa Cruz</v>
      </c>
      <c r="C327" s="6" t="str">
        <f t="array" ref="C327">_xlfn.XLOOKUP(
  A327,
  'CMFA-CSCDA Grants'!A:A,
'CMFA-CSCDA Grants'!B:B)</f>
        <v>La Posada Apartments</v>
      </c>
      <c r="D327" s="12"/>
      <c r="F327" s="6" t="b">
        <v>0</v>
      </c>
      <c r="G327" s="6"/>
      <c r="H327" s="6"/>
      <c r="I327" s="6"/>
      <c r="J327" s="6"/>
      <c r="K327" s="6"/>
      <c r="L327" s="6"/>
      <c r="N327" s="6"/>
      <c r="O327" s="6"/>
      <c r="P327" s="6"/>
      <c r="Q327" s="6"/>
      <c r="R327" s="6"/>
      <c r="S327" s="6"/>
      <c r="T327" s="6"/>
      <c r="U327" s="6"/>
      <c r="V327" s="6"/>
      <c r="W327" s="6"/>
      <c r="X327" s="18"/>
      <c r="Y327" s="18"/>
      <c r="Z327" s="18"/>
      <c r="AA327" s="6"/>
      <c r="AB327" s="6"/>
      <c r="AC327" s="18"/>
      <c r="AD327" s="12"/>
      <c r="AE327" s="6"/>
      <c r="AF327" s="6"/>
      <c r="AG327" s="6"/>
      <c r="AH327" s="6"/>
      <c r="AI327" s="6"/>
    </row>
    <row r="328">
      <c r="A328" s="22">
        <v>16.0</v>
      </c>
      <c r="B328" s="6" t="str">
        <f t="array" ref="B328">_xlfn.XLOOKUP(
  A328,
  'CMFA-CSCDA Grants'!A:A,
'CMFA-CSCDA Grants'!E:E)</f>
        <v>Solano</v>
      </c>
      <c r="C328" s="6" t="str">
        <f t="array" ref="C328">_xlfn.XLOOKUP(
  A328,
  'CMFA-CSCDA Grants'!A:A,
'CMFA-CSCDA Grants'!B:B)</f>
        <v>Montessa Apartments</v>
      </c>
      <c r="D328" s="115">
        <v>1.2810115E8</v>
      </c>
      <c r="F328" s="6" t="b">
        <v>0</v>
      </c>
      <c r="H328" s="6" t="s">
        <v>2979</v>
      </c>
      <c r="X328" s="18" t="s">
        <v>146</v>
      </c>
      <c r="Y328" s="18" t="s">
        <v>146</v>
      </c>
      <c r="Z328" s="162" t="s">
        <v>146</v>
      </c>
      <c r="AC328" s="18"/>
      <c r="AD328" s="12" t="s">
        <v>152</v>
      </c>
      <c r="AJ328" s="16">
        <f t="array" ref="AJ328">_xlfn.XLOOKUP(
  A328,
  'CMFA-CSCDA Grants'!A:A,
'CMFA-CSCDA Grants'!O:O)</f>
        <v>169</v>
      </c>
      <c r="AK328" s="16">
        <f t="array" ref="AK328">_xlfn.XLOOKUP(
  A328,
  'CMFA-CSCDA Grants'!A:A,
'CMFA-CSCDA Grants'!P:P)</f>
        <v>58</v>
      </c>
      <c r="AL328" s="10">
        <f t="array" ref="AL328">_xlfn.XLOOKUP(
  AD328,
  'Tax Rates'!A:A,
'Tax Rates'!B:B)</f>
        <v>0.0117033</v>
      </c>
    </row>
    <row r="329">
      <c r="A329" s="22">
        <v>16.0</v>
      </c>
      <c r="B329" s="6" t="str">
        <f t="array" ref="B329">_xlfn.XLOOKUP(
  A329,
  'CMFA-CSCDA Grants'!A:A,
'CMFA-CSCDA Grants'!E:E)</f>
        <v>Solano</v>
      </c>
      <c r="C329" s="6" t="str">
        <f t="array" ref="C329">_xlfn.XLOOKUP(
  A329,
  'CMFA-CSCDA Grants'!A:A,
'CMFA-CSCDA Grants'!B:B)</f>
        <v>Montessa Apartments</v>
      </c>
      <c r="D329" s="115">
        <v>1.2810114E8</v>
      </c>
      <c r="F329" s="6" t="b">
        <v>0</v>
      </c>
      <c r="H329" s="6" t="s">
        <v>2979</v>
      </c>
      <c r="X329" s="18" t="s">
        <v>146</v>
      </c>
      <c r="Y329" s="18" t="s">
        <v>146</v>
      </c>
      <c r="Z329" s="162">
        <v>7595.0</v>
      </c>
      <c r="AC329" s="18"/>
      <c r="AD329" s="12" t="s">
        <v>152</v>
      </c>
      <c r="AJ329" s="16">
        <f t="array" ref="AJ329">_xlfn.XLOOKUP(
  A329,
  'CMFA-CSCDA Grants'!A:A,
'CMFA-CSCDA Grants'!O:O)</f>
        <v>169</v>
      </c>
      <c r="AK329" s="16">
        <f t="array" ref="AK329">_xlfn.XLOOKUP(
  A329,
  'CMFA-CSCDA Grants'!A:A,
'CMFA-CSCDA Grants'!P:P)</f>
        <v>58</v>
      </c>
      <c r="AL329" s="10">
        <f t="array" ref="AL329">_xlfn.XLOOKUP(
  AD329,
  'Tax Rates'!A:A,
'Tax Rates'!B:B)</f>
        <v>0.0117033</v>
      </c>
    </row>
    <row r="330">
      <c r="A330" s="22">
        <v>16.0</v>
      </c>
      <c r="B330" s="6" t="str">
        <f t="array" ref="B330">_xlfn.XLOOKUP(
  A330,
  'CMFA-CSCDA Grants'!A:A,
'CMFA-CSCDA Grants'!E:E)</f>
        <v>Solano</v>
      </c>
      <c r="C330" s="6" t="str">
        <f t="array" ref="C330">_xlfn.XLOOKUP(
  A330,
  'CMFA-CSCDA Grants'!A:A,
'CMFA-CSCDA Grants'!B:B)</f>
        <v>Montessa Apartments</v>
      </c>
      <c r="D330" s="115">
        <v>1.2810113E8</v>
      </c>
      <c r="F330" s="6" t="b">
        <v>0</v>
      </c>
      <c r="H330" s="6" t="s">
        <v>2979</v>
      </c>
      <c r="X330" s="18" t="s">
        <v>146</v>
      </c>
      <c r="Y330" s="18" t="s">
        <v>146</v>
      </c>
      <c r="Z330" s="162">
        <v>7606.0</v>
      </c>
      <c r="AC330" s="18"/>
      <c r="AD330" s="12" t="s">
        <v>152</v>
      </c>
      <c r="AJ330" s="16">
        <f t="array" ref="AJ330">_xlfn.XLOOKUP(
  A330,
  'CMFA-CSCDA Grants'!A:A,
'CMFA-CSCDA Grants'!O:O)</f>
        <v>169</v>
      </c>
      <c r="AK330" s="16">
        <f t="array" ref="AK330">_xlfn.XLOOKUP(
  A330,
  'CMFA-CSCDA Grants'!A:A,
'CMFA-CSCDA Grants'!P:P)</f>
        <v>58</v>
      </c>
      <c r="AL330" s="10">
        <f t="array" ref="AL330">_xlfn.XLOOKUP(
  AD330,
  'Tax Rates'!A:A,
'Tax Rates'!B:B)</f>
        <v>0.0117033</v>
      </c>
    </row>
    <row r="331">
      <c r="A331" s="22">
        <v>16.0</v>
      </c>
      <c r="B331" s="6" t="str">
        <f t="array" ref="B331">_xlfn.XLOOKUP(
  A331,
  'CMFA-CSCDA Grants'!A:A,
'CMFA-CSCDA Grants'!E:E)</f>
        <v>Solano</v>
      </c>
      <c r="C331" s="6" t="str">
        <f t="array" ref="C331">_xlfn.XLOOKUP(
  A331,
  'CMFA-CSCDA Grants'!A:A,
'CMFA-CSCDA Grants'!B:B)</f>
        <v>Montessa Apartments</v>
      </c>
      <c r="D331" s="115">
        <v>1.2810112E8</v>
      </c>
      <c r="F331" s="6" t="b">
        <v>0</v>
      </c>
      <c r="H331" s="6" t="s">
        <v>2979</v>
      </c>
      <c r="X331" s="18" t="s">
        <v>146</v>
      </c>
      <c r="Y331" s="18" t="s">
        <v>146</v>
      </c>
      <c r="Z331" s="162">
        <v>7619.0</v>
      </c>
      <c r="AC331" s="18"/>
      <c r="AD331" s="12" t="s">
        <v>152</v>
      </c>
      <c r="AJ331" s="16">
        <f t="array" ref="AJ331">_xlfn.XLOOKUP(
  A331,
  'CMFA-CSCDA Grants'!A:A,
'CMFA-CSCDA Grants'!O:O)</f>
        <v>169</v>
      </c>
      <c r="AK331" s="16">
        <f t="array" ref="AK331">_xlfn.XLOOKUP(
  A331,
  'CMFA-CSCDA Grants'!A:A,
'CMFA-CSCDA Grants'!P:P)</f>
        <v>58</v>
      </c>
      <c r="AL331" s="10">
        <f t="array" ref="AL331">_xlfn.XLOOKUP(
  AD331,
  'Tax Rates'!A:A,
'Tax Rates'!B:B)</f>
        <v>0.0117033</v>
      </c>
    </row>
    <row r="332">
      <c r="A332" s="22">
        <v>16.0</v>
      </c>
      <c r="B332" s="6" t="str">
        <f t="array" ref="B332">_xlfn.XLOOKUP(
  A332,
  'CMFA-CSCDA Grants'!A:A,
'CMFA-CSCDA Grants'!E:E)</f>
        <v>Solano</v>
      </c>
      <c r="C332" s="6" t="str">
        <f t="array" ref="C332">_xlfn.XLOOKUP(
  A332,
  'CMFA-CSCDA Grants'!A:A,
'CMFA-CSCDA Grants'!B:B)</f>
        <v>Montessa Apartments</v>
      </c>
      <c r="D332" s="115">
        <v>1.2810111E8</v>
      </c>
      <c r="F332" s="6" t="b">
        <v>0</v>
      </c>
      <c r="H332" s="6" t="s">
        <v>2979</v>
      </c>
      <c r="X332" s="18" t="s">
        <v>146</v>
      </c>
      <c r="Y332" s="18" t="s">
        <v>146</v>
      </c>
      <c r="Z332" s="162">
        <v>7631.0</v>
      </c>
      <c r="AC332" s="18"/>
      <c r="AD332" s="12" t="s">
        <v>152</v>
      </c>
      <c r="AJ332" s="16">
        <f t="array" ref="AJ332">_xlfn.XLOOKUP(
  A332,
  'CMFA-CSCDA Grants'!A:A,
'CMFA-CSCDA Grants'!O:O)</f>
        <v>169</v>
      </c>
      <c r="AK332" s="16">
        <f t="array" ref="AK332">_xlfn.XLOOKUP(
  A332,
  'CMFA-CSCDA Grants'!A:A,
'CMFA-CSCDA Grants'!P:P)</f>
        <v>58</v>
      </c>
      <c r="AL332" s="10">
        <f t="array" ref="AL332">_xlfn.XLOOKUP(
  AD332,
  'Tax Rates'!A:A,
'Tax Rates'!B:B)</f>
        <v>0.0117033</v>
      </c>
    </row>
    <row r="333">
      <c r="A333" s="22">
        <v>16.0</v>
      </c>
      <c r="B333" s="6" t="str">
        <f t="array" ref="B333">_xlfn.XLOOKUP(
  A333,
  'CMFA-CSCDA Grants'!A:A,
'CMFA-CSCDA Grants'!E:E)</f>
        <v>Solano</v>
      </c>
      <c r="C333" s="6" t="str">
        <f t="array" ref="C333">_xlfn.XLOOKUP(
  A333,
  'CMFA-CSCDA Grants'!A:A,
'CMFA-CSCDA Grants'!B:B)</f>
        <v>Montessa Apartments</v>
      </c>
      <c r="D333" s="115">
        <v>1.281011E8</v>
      </c>
      <c r="F333" s="6" t="b">
        <v>1</v>
      </c>
      <c r="H333" s="6" t="s">
        <v>2979</v>
      </c>
      <c r="X333" s="18" t="s">
        <v>146</v>
      </c>
      <c r="Y333" s="18" t="s">
        <v>146</v>
      </c>
      <c r="Z333" s="162">
        <v>30262.0</v>
      </c>
      <c r="AC333" s="18"/>
      <c r="AD333" s="12" t="s">
        <v>152</v>
      </c>
      <c r="AJ333" s="16">
        <f t="array" ref="AJ333">_xlfn.XLOOKUP(
  A333,
  'CMFA-CSCDA Grants'!A:A,
'CMFA-CSCDA Grants'!O:O)</f>
        <v>169</v>
      </c>
      <c r="AK333" s="16">
        <f t="array" ref="AK333">_xlfn.XLOOKUP(
  A333,
  'CMFA-CSCDA Grants'!A:A,
'CMFA-CSCDA Grants'!P:P)</f>
        <v>58</v>
      </c>
      <c r="AL333" s="10">
        <f t="array" ref="AL333">_xlfn.XLOOKUP(
  AD333,
  'Tax Rates'!A:A,
'Tax Rates'!B:B)</f>
        <v>0.0117033</v>
      </c>
    </row>
    <row r="334">
      <c r="A334" s="22">
        <v>16.0</v>
      </c>
      <c r="B334" s="6" t="str">
        <f t="array" ref="B334">_xlfn.XLOOKUP(
  A334,
  'CMFA-CSCDA Grants'!A:A,
'CMFA-CSCDA Grants'!E:E)</f>
        <v>Solano</v>
      </c>
      <c r="C334" s="6" t="str">
        <f t="array" ref="C334">_xlfn.XLOOKUP(
  A334,
  'CMFA-CSCDA Grants'!A:A,
'CMFA-CSCDA Grants'!B:B)</f>
        <v>Montessa Apartments</v>
      </c>
      <c r="D334" s="115">
        <v>1.2810109E8</v>
      </c>
      <c r="F334" s="6" t="b">
        <v>0</v>
      </c>
      <c r="H334" s="6" t="s">
        <v>2979</v>
      </c>
      <c r="X334" s="18" t="s">
        <v>146</v>
      </c>
      <c r="Y334" s="18" t="s">
        <v>146</v>
      </c>
      <c r="Z334" s="162">
        <v>30426.0</v>
      </c>
      <c r="AC334" s="18"/>
      <c r="AD334" s="12" t="s">
        <v>152</v>
      </c>
      <c r="AJ334" s="16">
        <f t="array" ref="AJ334">_xlfn.XLOOKUP(
  A334,
  'CMFA-CSCDA Grants'!A:A,
'CMFA-CSCDA Grants'!O:O)</f>
        <v>169</v>
      </c>
      <c r="AK334" s="16">
        <f t="array" ref="AK334">_xlfn.XLOOKUP(
  A334,
  'CMFA-CSCDA Grants'!A:A,
'CMFA-CSCDA Grants'!P:P)</f>
        <v>58</v>
      </c>
      <c r="AL334" s="10">
        <f t="array" ref="AL334">_xlfn.XLOOKUP(
  AD334,
  'Tax Rates'!A:A,
'Tax Rates'!B:B)</f>
        <v>0.0117033</v>
      </c>
    </row>
    <row r="335">
      <c r="A335" s="22">
        <v>16.0</v>
      </c>
      <c r="B335" s="6" t="str">
        <f t="array" ref="B335">_xlfn.XLOOKUP(
  A335,
  'CMFA-CSCDA Grants'!A:A,
'CMFA-CSCDA Grants'!E:E)</f>
        <v>Solano</v>
      </c>
      <c r="C335" s="6" t="str">
        <f t="array" ref="C335">_xlfn.XLOOKUP(
  A335,
  'CMFA-CSCDA Grants'!A:A,
'CMFA-CSCDA Grants'!B:B)</f>
        <v>Montessa Apartments</v>
      </c>
      <c r="D335" s="115">
        <v>1.2810108E8</v>
      </c>
      <c r="F335" s="6" t="b">
        <v>0</v>
      </c>
      <c r="H335" s="6" t="s">
        <v>2979</v>
      </c>
      <c r="X335" s="18" t="s">
        <v>146</v>
      </c>
      <c r="Y335" s="18" t="s">
        <v>146</v>
      </c>
      <c r="Z335" s="162">
        <v>31967.0</v>
      </c>
      <c r="AC335" s="18"/>
      <c r="AD335" s="12" t="s">
        <v>152</v>
      </c>
      <c r="AJ335" s="16">
        <f t="array" ref="AJ335">_xlfn.XLOOKUP(
  A335,
  'CMFA-CSCDA Grants'!A:A,
'CMFA-CSCDA Grants'!O:O)</f>
        <v>169</v>
      </c>
      <c r="AK335" s="16">
        <f t="array" ref="AK335">_xlfn.XLOOKUP(
  A335,
  'CMFA-CSCDA Grants'!A:A,
'CMFA-CSCDA Grants'!P:P)</f>
        <v>58</v>
      </c>
      <c r="AL335" s="10">
        <f t="array" ref="AL335">_xlfn.XLOOKUP(
  AD335,
  'Tax Rates'!A:A,
'Tax Rates'!B:B)</f>
        <v>0.0117033</v>
      </c>
    </row>
    <row r="336">
      <c r="A336" s="22">
        <v>16.0</v>
      </c>
      <c r="B336" s="6" t="str">
        <f t="array" ref="B336">_xlfn.XLOOKUP(
  A336,
  'CMFA-CSCDA Grants'!A:A,
'CMFA-CSCDA Grants'!E:E)</f>
        <v>Solano</v>
      </c>
      <c r="C336" s="6" t="str">
        <f t="array" ref="C336">_xlfn.XLOOKUP(
  A336,
  'CMFA-CSCDA Grants'!A:A,
'CMFA-CSCDA Grants'!B:B)</f>
        <v>Montessa Apartments</v>
      </c>
      <c r="D336" s="115">
        <v>1.2810107E8</v>
      </c>
      <c r="F336" s="6" t="b">
        <v>0</v>
      </c>
      <c r="H336" s="6" t="s">
        <v>2979</v>
      </c>
      <c r="X336" s="18" t="s">
        <v>146</v>
      </c>
      <c r="Y336" s="18" t="s">
        <v>146</v>
      </c>
      <c r="Z336" s="162">
        <v>35714.0</v>
      </c>
      <c r="AC336" s="18"/>
      <c r="AD336" s="12" t="s">
        <v>152</v>
      </c>
      <c r="AJ336" s="16">
        <f t="array" ref="AJ336">_xlfn.XLOOKUP(
  A336,
  'CMFA-CSCDA Grants'!A:A,
'CMFA-CSCDA Grants'!O:O)</f>
        <v>169</v>
      </c>
      <c r="AK336" s="16">
        <f t="array" ref="AK336">_xlfn.XLOOKUP(
  A336,
  'CMFA-CSCDA Grants'!A:A,
'CMFA-CSCDA Grants'!P:P)</f>
        <v>58</v>
      </c>
      <c r="AL336" s="10">
        <f t="array" ref="AL336">_xlfn.XLOOKUP(
  AD336,
  'Tax Rates'!A:A,
'Tax Rates'!B:B)</f>
        <v>0.0117033</v>
      </c>
    </row>
    <row r="337">
      <c r="A337" s="22">
        <v>16.0</v>
      </c>
      <c r="B337" s="6" t="str">
        <f t="array" ref="B337">_xlfn.XLOOKUP(
  A337,
  'CMFA-CSCDA Grants'!A:A,
'CMFA-CSCDA Grants'!E:E)</f>
        <v>Solano</v>
      </c>
      <c r="C337" s="6" t="str">
        <f t="array" ref="C337">_xlfn.XLOOKUP(
  A337,
  'CMFA-CSCDA Grants'!A:A,
'CMFA-CSCDA Grants'!B:B)</f>
        <v>Montessa Apartments</v>
      </c>
      <c r="D337" s="115">
        <v>1.2810106E8</v>
      </c>
      <c r="F337" s="6" t="b">
        <v>0</v>
      </c>
      <c r="H337" s="6" t="s">
        <v>2979</v>
      </c>
      <c r="X337" s="18" t="s">
        <v>146</v>
      </c>
      <c r="Y337" s="18" t="s">
        <v>146</v>
      </c>
      <c r="Z337" s="162">
        <v>40196.0</v>
      </c>
      <c r="AC337" s="18"/>
      <c r="AD337" s="12" t="s">
        <v>152</v>
      </c>
      <c r="AJ337" s="16">
        <f t="array" ref="AJ337">_xlfn.XLOOKUP(
  A337,
  'CMFA-CSCDA Grants'!A:A,
'CMFA-CSCDA Grants'!O:O)</f>
        <v>169</v>
      </c>
      <c r="AK337" s="16">
        <f t="array" ref="AK337">_xlfn.XLOOKUP(
  A337,
  'CMFA-CSCDA Grants'!A:A,
'CMFA-CSCDA Grants'!P:P)</f>
        <v>58</v>
      </c>
      <c r="AL337" s="10">
        <f t="array" ref="AL337">_xlfn.XLOOKUP(
  AD337,
  'Tax Rates'!A:A,
'Tax Rates'!B:B)</f>
        <v>0.0117033</v>
      </c>
    </row>
    <row r="338">
      <c r="A338" s="22">
        <v>16.0</v>
      </c>
      <c r="B338" s="6" t="str">
        <f t="array" ref="B338">_xlfn.XLOOKUP(
  A338,
  'CMFA-CSCDA Grants'!A:A,
'CMFA-CSCDA Grants'!E:E)</f>
        <v>Solano</v>
      </c>
      <c r="C338" s="6" t="str">
        <f t="array" ref="C338">_xlfn.XLOOKUP(
  A338,
  'CMFA-CSCDA Grants'!A:A,
'CMFA-CSCDA Grants'!B:B)</f>
        <v>Montessa Apartments</v>
      </c>
      <c r="D338" s="115">
        <v>1.2810105E8</v>
      </c>
      <c r="F338" s="6" t="b">
        <v>0</v>
      </c>
      <c r="H338" s="6" t="s">
        <v>2979</v>
      </c>
      <c r="X338" s="18" t="s">
        <v>146</v>
      </c>
      <c r="Y338" s="18" t="s">
        <v>146</v>
      </c>
      <c r="Z338" s="162" t="s">
        <v>146</v>
      </c>
      <c r="AC338" s="18"/>
      <c r="AD338" s="12" t="s">
        <v>152</v>
      </c>
      <c r="AJ338" s="16">
        <f t="array" ref="AJ338">_xlfn.XLOOKUP(
  A338,
  'CMFA-CSCDA Grants'!A:A,
'CMFA-CSCDA Grants'!O:O)</f>
        <v>169</v>
      </c>
      <c r="AK338" s="16">
        <f t="array" ref="AK338">_xlfn.XLOOKUP(
  A338,
  'CMFA-CSCDA Grants'!A:A,
'CMFA-CSCDA Grants'!P:P)</f>
        <v>58</v>
      </c>
      <c r="AL338" s="10">
        <f t="array" ref="AL338">_xlfn.XLOOKUP(
  AD338,
  'Tax Rates'!A:A,
'Tax Rates'!B:B)</f>
        <v>0.0117033</v>
      </c>
    </row>
    <row r="339">
      <c r="A339" s="22">
        <v>16.0</v>
      </c>
      <c r="B339" s="6" t="str">
        <f t="array" ref="B339">_xlfn.XLOOKUP(
  A339,
  'CMFA-CSCDA Grants'!A:A,
'CMFA-CSCDA Grants'!E:E)</f>
        <v>Solano</v>
      </c>
      <c r="C339" s="6" t="str">
        <f t="array" ref="C339">_xlfn.XLOOKUP(
  A339,
  'CMFA-CSCDA Grants'!A:A,
'CMFA-CSCDA Grants'!B:B)</f>
        <v>Montessa Apartments</v>
      </c>
      <c r="D339" s="115">
        <v>1.2810104E8</v>
      </c>
      <c r="F339" s="6" t="b">
        <v>0</v>
      </c>
      <c r="H339" s="6" t="s">
        <v>2979</v>
      </c>
      <c r="X339" s="18" t="s">
        <v>146</v>
      </c>
      <c r="Y339" s="18" t="s">
        <v>146</v>
      </c>
      <c r="Z339" s="162">
        <v>66586.0</v>
      </c>
      <c r="AC339" s="18"/>
      <c r="AD339" s="12" t="s">
        <v>152</v>
      </c>
      <c r="AJ339" s="16">
        <f t="array" ref="AJ339">_xlfn.XLOOKUP(
  A339,
  'CMFA-CSCDA Grants'!A:A,
'CMFA-CSCDA Grants'!O:O)</f>
        <v>169</v>
      </c>
      <c r="AK339" s="16">
        <f t="array" ref="AK339">_xlfn.XLOOKUP(
  A339,
  'CMFA-CSCDA Grants'!A:A,
'CMFA-CSCDA Grants'!P:P)</f>
        <v>58</v>
      </c>
      <c r="AL339" s="10">
        <f t="array" ref="AL339">_xlfn.XLOOKUP(
  AD339,
  'Tax Rates'!A:A,
'Tax Rates'!B:B)</f>
        <v>0.0117033</v>
      </c>
    </row>
    <row r="340">
      <c r="A340" s="22">
        <v>16.0</v>
      </c>
      <c r="B340" s="6" t="str">
        <f t="array" ref="B340">_xlfn.XLOOKUP(
  A340,
  'CMFA-CSCDA Grants'!A:A,
'CMFA-CSCDA Grants'!E:E)</f>
        <v>Solano</v>
      </c>
      <c r="C340" s="6" t="str">
        <f t="array" ref="C340">_xlfn.XLOOKUP(
  A340,
  'CMFA-CSCDA Grants'!A:A,
'CMFA-CSCDA Grants'!B:B)</f>
        <v>Montessa Apartments</v>
      </c>
      <c r="D340" s="115">
        <v>1.2810103E8</v>
      </c>
      <c r="F340" s="6" t="b">
        <v>0</v>
      </c>
      <c r="H340" s="6" t="s">
        <v>2979</v>
      </c>
      <c r="X340" s="18" t="s">
        <v>146</v>
      </c>
      <c r="Y340" s="18" t="s">
        <v>146</v>
      </c>
      <c r="Z340" s="162">
        <v>61921.0</v>
      </c>
      <c r="AC340" s="18"/>
      <c r="AD340" s="12" t="s">
        <v>152</v>
      </c>
      <c r="AJ340" s="16">
        <f t="array" ref="AJ340">_xlfn.XLOOKUP(
  A340,
  'CMFA-CSCDA Grants'!A:A,
'CMFA-CSCDA Grants'!O:O)</f>
        <v>169</v>
      </c>
      <c r="AK340" s="16">
        <f t="array" ref="AK340">_xlfn.XLOOKUP(
  A340,
  'CMFA-CSCDA Grants'!A:A,
'CMFA-CSCDA Grants'!P:P)</f>
        <v>58</v>
      </c>
      <c r="AL340" s="10">
        <f t="array" ref="AL340">_xlfn.XLOOKUP(
  AD340,
  'Tax Rates'!A:A,
'Tax Rates'!B:B)</f>
        <v>0.0117033</v>
      </c>
    </row>
    <row r="341">
      <c r="A341" s="22">
        <v>16.0</v>
      </c>
      <c r="B341" s="6" t="str">
        <f t="array" ref="B341">_xlfn.XLOOKUP(
  A341,
  'CMFA-CSCDA Grants'!A:A,
'CMFA-CSCDA Grants'!E:E)</f>
        <v>Solano</v>
      </c>
      <c r="C341" s="6" t="str">
        <f t="array" ref="C341">_xlfn.XLOOKUP(
  A341,
  'CMFA-CSCDA Grants'!A:A,
'CMFA-CSCDA Grants'!B:B)</f>
        <v>Montessa Apartments</v>
      </c>
      <c r="D341" s="115">
        <v>1.2810102E8</v>
      </c>
      <c r="F341" s="6" t="b">
        <v>0</v>
      </c>
      <c r="H341" s="6" t="s">
        <v>2979</v>
      </c>
      <c r="X341" s="18" t="s">
        <v>146</v>
      </c>
      <c r="Y341" s="18" t="s">
        <v>146</v>
      </c>
      <c r="Z341" s="162">
        <v>49211.0</v>
      </c>
      <c r="AC341" s="18"/>
      <c r="AD341" s="12" t="s">
        <v>152</v>
      </c>
      <c r="AJ341" s="16">
        <f t="array" ref="AJ341">_xlfn.XLOOKUP(
  A341,
  'CMFA-CSCDA Grants'!A:A,
'CMFA-CSCDA Grants'!O:O)</f>
        <v>169</v>
      </c>
      <c r="AK341" s="16">
        <f t="array" ref="AK341">_xlfn.XLOOKUP(
  A341,
  'CMFA-CSCDA Grants'!A:A,
'CMFA-CSCDA Grants'!P:P)</f>
        <v>58</v>
      </c>
      <c r="AL341" s="10">
        <f t="array" ref="AL341">_xlfn.XLOOKUP(
  AD341,
  'Tax Rates'!A:A,
'Tax Rates'!B:B)</f>
        <v>0.0117033</v>
      </c>
    </row>
    <row r="342">
      <c r="A342" s="22">
        <v>16.0</v>
      </c>
      <c r="B342" s="6" t="str">
        <f t="array" ref="B342">_xlfn.XLOOKUP(
  A342,
  'CMFA-CSCDA Grants'!A:A,
'CMFA-CSCDA Grants'!E:E)</f>
        <v>Solano</v>
      </c>
      <c r="C342" s="6" t="str">
        <f t="array" ref="C342">_xlfn.XLOOKUP(
  A342,
  'CMFA-CSCDA Grants'!A:A,
'CMFA-CSCDA Grants'!B:B)</f>
        <v>Montessa Apartments</v>
      </c>
      <c r="D342" s="115">
        <v>1.2810101E8</v>
      </c>
      <c r="F342" s="6" t="b">
        <v>0</v>
      </c>
      <c r="H342" s="6" t="s">
        <v>2979</v>
      </c>
      <c r="X342" s="18" t="s">
        <v>146</v>
      </c>
      <c r="Y342" s="18" t="s">
        <v>146</v>
      </c>
      <c r="Z342" s="162">
        <v>99051.0</v>
      </c>
      <c r="AC342" s="18"/>
      <c r="AD342" s="12" t="s">
        <v>152</v>
      </c>
      <c r="AJ342" s="16">
        <f t="array" ref="AJ342">_xlfn.XLOOKUP(
  A342,
  'CMFA-CSCDA Grants'!A:A,
'CMFA-CSCDA Grants'!O:O)</f>
        <v>169</v>
      </c>
      <c r="AK342" s="16">
        <f t="array" ref="AK342">_xlfn.XLOOKUP(
  A342,
  'CMFA-CSCDA Grants'!A:A,
'CMFA-CSCDA Grants'!P:P)</f>
        <v>58</v>
      </c>
      <c r="AL342" s="10">
        <f t="array" ref="AL342">_xlfn.XLOOKUP(
  AD342,
  'Tax Rates'!A:A,
'Tax Rates'!B:B)</f>
        <v>0.0117033</v>
      </c>
    </row>
    <row r="343">
      <c r="A343" s="22">
        <v>16.0</v>
      </c>
      <c r="B343" s="6" t="str">
        <f t="array" ref="B343">_xlfn.XLOOKUP(
  A343,
  'CMFA-CSCDA Grants'!A:A,
'CMFA-CSCDA Grants'!E:E)</f>
        <v>Solano</v>
      </c>
      <c r="C343" s="6" t="str">
        <f t="array" ref="C343">_xlfn.XLOOKUP(
  A343,
  'CMFA-CSCDA Grants'!A:A,
'CMFA-CSCDA Grants'!B:B)</f>
        <v>Montessa Apartments</v>
      </c>
      <c r="D343" s="115">
        <v>1.2810211E8</v>
      </c>
      <c r="F343" s="6" t="b">
        <v>0</v>
      </c>
      <c r="H343" s="6" t="s">
        <v>2979</v>
      </c>
      <c r="X343" s="18" t="s">
        <v>146</v>
      </c>
      <c r="Y343" s="18" t="s">
        <v>146</v>
      </c>
      <c r="Z343" s="162">
        <v>1360.0</v>
      </c>
      <c r="AC343" s="18"/>
      <c r="AD343" s="12" t="s">
        <v>152</v>
      </c>
      <c r="AJ343" s="16">
        <f t="array" ref="AJ343">_xlfn.XLOOKUP(
  A343,
  'CMFA-CSCDA Grants'!A:A,
'CMFA-CSCDA Grants'!O:O)</f>
        <v>169</v>
      </c>
      <c r="AK343" s="16">
        <f t="array" ref="AK343">_xlfn.XLOOKUP(
  A343,
  'CMFA-CSCDA Grants'!A:A,
'CMFA-CSCDA Grants'!P:P)</f>
        <v>58</v>
      </c>
      <c r="AL343" s="10">
        <f t="array" ref="AL343">_xlfn.XLOOKUP(
  AD343,
  'Tax Rates'!A:A,
'Tax Rates'!B:B)</f>
        <v>0.0117033</v>
      </c>
    </row>
    <row r="344">
      <c r="A344" s="22">
        <v>16.0</v>
      </c>
      <c r="B344" s="6" t="str">
        <f t="array" ref="B344">_xlfn.XLOOKUP(
  A344,
  'CMFA-CSCDA Grants'!A:A,
'CMFA-CSCDA Grants'!E:E)</f>
        <v>Solano</v>
      </c>
      <c r="C344" s="6" t="str">
        <f t="array" ref="C344">_xlfn.XLOOKUP(
  A344,
  'CMFA-CSCDA Grants'!A:A,
'CMFA-CSCDA Grants'!B:B)</f>
        <v>Montessa Apartments</v>
      </c>
      <c r="D344" s="115">
        <v>1.281021E8</v>
      </c>
      <c r="F344" s="6" t="b">
        <v>0</v>
      </c>
      <c r="H344" s="6" t="s">
        <v>2979</v>
      </c>
      <c r="X344" s="18" t="s">
        <v>146</v>
      </c>
      <c r="Y344" s="18" t="s">
        <v>146</v>
      </c>
      <c r="Z344" s="162">
        <v>1201.0</v>
      </c>
      <c r="AC344" s="18"/>
      <c r="AD344" s="12" t="s">
        <v>152</v>
      </c>
      <c r="AJ344" s="16">
        <f t="array" ref="AJ344">_xlfn.XLOOKUP(
  A344,
  'CMFA-CSCDA Grants'!A:A,
'CMFA-CSCDA Grants'!O:O)</f>
        <v>169</v>
      </c>
      <c r="AK344" s="16">
        <f t="array" ref="AK344">_xlfn.XLOOKUP(
  A344,
  'CMFA-CSCDA Grants'!A:A,
'CMFA-CSCDA Grants'!P:P)</f>
        <v>58</v>
      </c>
      <c r="AL344" s="10">
        <f t="array" ref="AL344">_xlfn.XLOOKUP(
  AD344,
  'Tax Rates'!A:A,
'Tax Rates'!B:B)</f>
        <v>0.0117033</v>
      </c>
    </row>
    <row r="345">
      <c r="A345" s="22">
        <v>16.0</v>
      </c>
      <c r="B345" s="6" t="str">
        <f t="array" ref="B345">_xlfn.XLOOKUP(
  A345,
  'CMFA-CSCDA Grants'!A:A,
'CMFA-CSCDA Grants'!E:E)</f>
        <v>Solano</v>
      </c>
      <c r="C345" s="6" t="str">
        <f t="array" ref="C345">_xlfn.XLOOKUP(
  A345,
  'CMFA-CSCDA Grants'!A:A,
'CMFA-CSCDA Grants'!B:B)</f>
        <v>Montessa Apartments</v>
      </c>
      <c r="D345" s="115">
        <v>1.2810209E8</v>
      </c>
      <c r="F345" s="6" t="b">
        <v>0</v>
      </c>
      <c r="H345" s="6" t="s">
        <v>2979</v>
      </c>
      <c r="X345" s="18" t="s">
        <v>146</v>
      </c>
      <c r="Y345" s="18" t="s">
        <v>146</v>
      </c>
      <c r="Z345" s="162">
        <v>1201.0</v>
      </c>
      <c r="AC345" s="18"/>
      <c r="AD345" s="12" t="s">
        <v>152</v>
      </c>
      <c r="AJ345" s="16">
        <f t="array" ref="AJ345">_xlfn.XLOOKUP(
  A345,
  'CMFA-CSCDA Grants'!A:A,
'CMFA-CSCDA Grants'!O:O)</f>
        <v>169</v>
      </c>
      <c r="AK345" s="16">
        <f t="array" ref="AK345">_xlfn.XLOOKUP(
  A345,
  'CMFA-CSCDA Grants'!A:A,
'CMFA-CSCDA Grants'!P:P)</f>
        <v>58</v>
      </c>
      <c r="AL345" s="10">
        <f t="array" ref="AL345">_xlfn.XLOOKUP(
  AD345,
  'Tax Rates'!A:A,
'Tax Rates'!B:B)</f>
        <v>0.0117033</v>
      </c>
    </row>
    <row r="346">
      <c r="A346" s="22">
        <v>16.0</v>
      </c>
      <c r="B346" s="6" t="str">
        <f t="array" ref="B346">_xlfn.XLOOKUP(
  A346,
  'CMFA-CSCDA Grants'!A:A,
'CMFA-CSCDA Grants'!E:E)</f>
        <v>Solano</v>
      </c>
      <c r="C346" s="6" t="str">
        <f t="array" ref="C346">_xlfn.XLOOKUP(
  A346,
  'CMFA-CSCDA Grants'!A:A,
'CMFA-CSCDA Grants'!B:B)</f>
        <v>Montessa Apartments</v>
      </c>
      <c r="D346" s="115">
        <v>1.2810208E8</v>
      </c>
      <c r="F346" s="6" t="b">
        <v>0</v>
      </c>
      <c r="H346" s="6" t="s">
        <v>2979</v>
      </c>
      <c r="X346" s="18" t="s">
        <v>146</v>
      </c>
      <c r="Y346" s="18" t="s">
        <v>146</v>
      </c>
      <c r="Z346" s="162">
        <v>1202.0</v>
      </c>
      <c r="AC346" s="18"/>
      <c r="AD346" s="12" t="s">
        <v>152</v>
      </c>
      <c r="AJ346" s="16">
        <f t="array" ref="AJ346">_xlfn.XLOOKUP(
  A346,
  'CMFA-CSCDA Grants'!A:A,
'CMFA-CSCDA Grants'!O:O)</f>
        <v>169</v>
      </c>
      <c r="AK346" s="16">
        <f t="array" ref="AK346">_xlfn.XLOOKUP(
  A346,
  'CMFA-CSCDA Grants'!A:A,
'CMFA-CSCDA Grants'!P:P)</f>
        <v>58</v>
      </c>
      <c r="AL346" s="10">
        <f t="array" ref="AL346">_xlfn.XLOOKUP(
  AD346,
  'Tax Rates'!A:A,
'Tax Rates'!B:B)</f>
        <v>0.0117033</v>
      </c>
    </row>
    <row r="347">
      <c r="A347" s="22">
        <v>16.0</v>
      </c>
      <c r="B347" s="6" t="str">
        <f t="array" ref="B347">_xlfn.XLOOKUP(
  A347,
  'CMFA-CSCDA Grants'!A:A,
'CMFA-CSCDA Grants'!E:E)</f>
        <v>Solano</v>
      </c>
      <c r="C347" s="6" t="str">
        <f t="array" ref="C347">_xlfn.XLOOKUP(
  A347,
  'CMFA-CSCDA Grants'!A:A,
'CMFA-CSCDA Grants'!B:B)</f>
        <v>Montessa Apartments</v>
      </c>
      <c r="D347" s="115">
        <v>1.2810207E8</v>
      </c>
      <c r="F347" s="6" t="b">
        <v>0</v>
      </c>
      <c r="H347" s="6" t="s">
        <v>2979</v>
      </c>
      <c r="X347" s="18" t="s">
        <v>146</v>
      </c>
      <c r="Y347" s="18" t="s">
        <v>146</v>
      </c>
      <c r="Z347" s="162">
        <v>1202.0</v>
      </c>
      <c r="AC347" s="18"/>
      <c r="AD347" s="12" t="s">
        <v>152</v>
      </c>
      <c r="AJ347" s="16">
        <f t="array" ref="AJ347">_xlfn.XLOOKUP(
  A347,
  'CMFA-CSCDA Grants'!A:A,
'CMFA-CSCDA Grants'!O:O)</f>
        <v>169</v>
      </c>
      <c r="AK347" s="16">
        <f t="array" ref="AK347">_xlfn.XLOOKUP(
  A347,
  'CMFA-CSCDA Grants'!A:A,
'CMFA-CSCDA Grants'!P:P)</f>
        <v>58</v>
      </c>
      <c r="AL347" s="10">
        <f t="array" ref="AL347">_xlfn.XLOOKUP(
  AD347,
  'Tax Rates'!A:A,
'Tax Rates'!B:B)</f>
        <v>0.0117033</v>
      </c>
    </row>
    <row r="348">
      <c r="A348" s="22">
        <v>16.0</v>
      </c>
      <c r="B348" s="6" t="str">
        <f t="array" ref="B348">_xlfn.XLOOKUP(
  A348,
  'CMFA-CSCDA Grants'!A:A,
'CMFA-CSCDA Grants'!E:E)</f>
        <v>Solano</v>
      </c>
      <c r="C348" s="6" t="str">
        <f t="array" ref="C348">_xlfn.XLOOKUP(
  A348,
  'CMFA-CSCDA Grants'!A:A,
'CMFA-CSCDA Grants'!B:B)</f>
        <v>Montessa Apartments</v>
      </c>
      <c r="D348" s="115">
        <v>1.2810206E8</v>
      </c>
      <c r="F348" s="6" t="b">
        <v>0</v>
      </c>
      <c r="H348" s="6" t="s">
        <v>2979</v>
      </c>
      <c r="X348" s="18" t="s">
        <v>146</v>
      </c>
      <c r="Y348" s="18" t="s">
        <v>146</v>
      </c>
      <c r="Z348" s="162">
        <v>1202.0</v>
      </c>
      <c r="AC348" s="18"/>
      <c r="AD348" s="12" t="s">
        <v>152</v>
      </c>
      <c r="AJ348" s="16">
        <f t="array" ref="AJ348">_xlfn.XLOOKUP(
  A348,
  'CMFA-CSCDA Grants'!A:A,
'CMFA-CSCDA Grants'!O:O)</f>
        <v>169</v>
      </c>
      <c r="AK348" s="16">
        <f t="array" ref="AK348">_xlfn.XLOOKUP(
  A348,
  'CMFA-CSCDA Grants'!A:A,
'CMFA-CSCDA Grants'!P:P)</f>
        <v>58</v>
      </c>
      <c r="AL348" s="10">
        <f t="array" ref="AL348">_xlfn.XLOOKUP(
  AD348,
  'Tax Rates'!A:A,
'Tax Rates'!B:B)</f>
        <v>0.0117033</v>
      </c>
    </row>
    <row r="349">
      <c r="A349" s="22">
        <v>16.0</v>
      </c>
      <c r="B349" s="6" t="str">
        <f t="array" ref="B349">_xlfn.XLOOKUP(
  A349,
  'CMFA-CSCDA Grants'!A:A,
'CMFA-CSCDA Grants'!E:E)</f>
        <v>Solano</v>
      </c>
      <c r="C349" s="6" t="str">
        <f t="array" ref="C349">_xlfn.XLOOKUP(
  A349,
  'CMFA-CSCDA Grants'!A:A,
'CMFA-CSCDA Grants'!B:B)</f>
        <v>Montessa Apartments</v>
      </c>
      <c r="D349" s="115">
        <v>1.2810205E8</v>
      </c>
      <c r="F349" s="6" t="b">
        <v>0</v>
      </c>
      <c r="H349" s="6" t="s">
        <v>2979</v>
      </c>
      <c r="X349" s="18" t="s">
        <v>146</v>
      </c>
      <c r="Y349" s="18" t="s">
        <v>146</v>
      </c>
      <c r="Z349" s="162">
        <v>32653.0</v>
      </c>
      <c r="AC349" s="18"/>
      <c r="AD349" s="12" t="s">
        <v>152</v>
      </c>
      <c r="AJ349" s="16">
        <f t="array" ref="AJ349">_xlfn.XLOOKUP(
  A349,
  'CMFA-CSCDA Grants'!A:A,
'CMFA-CSCDA Grants'!O:O)</f>
        <v>169</v>
      </c>
      <c r="AK349" s="16">
        <f t="array" ref="AK349">_xlfn.XLOOKUP(
  A349,
  'CMFA-CSCDA Grants'!A:A,
'CMFA-CSCDA Grants'!P:P)</f>
        <v>58</v>
      </c>
      <c r="AL349" s="10">
        <f t="array" ref="AL349">_xlfn.XLOOKUP(
  AD349,
  'Tax Rates'!A:A,
'Tax Rates'!B:B)</f>
        <v>0.0117033</v>
      </c>
    </row>
    <row r="350">
      <c r="A350" s="22">
        <v>16.0</v>
      </c>
      <c r="B350" s="6" t="str">
        <f t="array" ref="B350">_xlfn.XLOOKUP(
  A350,
  'CMFA-CSCDA Grants'!A:A,
'CMFA-CSCDA Grants'!E:E)</f>
        <v>Solano</v>
      </c>
      <c r="C350" s="6" t="str">
        <f t="array" ref="C350">_xlfn.XLOOKUP(
  A350,
  'CMFA-CSCDA Grants'!A:A,
'CMFA-CSCDA Grants'!B:B)</f>
        <v>Montessa Apartments</v>
      </c>
      <c r="D350" s="115">
        <v>1.2810204E8</v>
      </c>
      <c r="F350" s="6" t="b">
        <v>0</v>
      </c>
      <c r="H350" s="6" t="s">
        <v>2979</v>
      </c>
      <c r="X350" s="18" t="s">
        <v>146</v>
      </c>
      <c r="Y350" s="18" t="s">
        <v>146</v>
      </c>
      <c r="Z350" s="162">
        <v>32653.0</v>
      </c>
      <c r="AC350" s="18"/>
      <c r="AD350" s="12" t="s">
        <v>152</v>
      </c>
      <c r="AJ350" s="16">
        <f t="array" ref="AJ350">_xlfn.XLOOKUP(
  A350,
  'CMFA-CSCDA Grants'!A:A,
'CMFA-CSCDA Grants'!O:O)</f>
        <v>169</v>
      </c>
      <c r="AK350" s="16">
        <f t="array" ref="AK350">_xlfn.XLOOKUP(
  A350,
  'CMFA-CSCDA Grants'!A:A,
'CMFA-CSCDA Grants'!P:P)</f>
        <v>58</v>
      </c>
      <c r="AL350" s="10">
        <f t="array" ref="AL350">_xlfn.XLOOKUP(
  AD350,
  'Tax Rates'!A:A,
'Tax Rates'!B:B)</f>
        <v>0.0117033</v>
      </c>
    </row>
    <row r="351">
      <c r="A351" s="22">
        <v>16.0</v>
      </c>
      <c r="B351" s="6" t="str">
        <f t="array" ref="B351">_xlfn.XLOOKUP(
  A351,
  'CMFA-CSCDA Grants'!A:A,
'CMFA-CSCDA Grants'!E:E)</f>
        <v>Solano</v>
      </c>
      <c r="C351" s="6" t="str">
        <f t="array" ref="C351">_xlfn.XLOOKUP(
  A351,
  'CMFA-CSCDA Grants'!A:A,
'CMFA-CSCDA Grants'!B:B)</f>
        <v>Montessa Apartments</v>
      </c>
      <c r="D351" s="115">
        <v>1.2810203E8</v>
      </c>
      <c r="F351" s="6" t="b">
        <v>0</v>
      </c>
      <c r="H351" s="6" t="s">
        <v>2979</v>
      </c>
      <c r="X351" s="18" t="s">
        <v>146</v>
      </c>
      <c r="Y351" s="18" t="s">
        <v>146</v>
      </c>
      <c r="Z351" s="162">
        <v>32697.0</v>
      </c>
      <c r="AC351" s="18"/>
      <c r="AD351" s="12" t="s">
        <v>152</v>
      </c>
      <c r="AJ351" s="16">
        <f t="array" ref="AJ351">_xlfn.XLOOKUP(
  A351,
  'CMFA-CSCDA Grants'!A:A,
'CMFA-CSCDA Grants'!O:O)</f>
        <v>169</v>
      </c>
      <c r="AK351" s="16">
        <f t="array" ref="AK351">_xlfn.XLOOKUP(
  A351,
  'CMFA-CSCDA Grants'!A:A,
'CMFA-CSCDA Grants'!P:P)</f>
        <v>58</v>
      </c>
      <c r="AL351" s="10">
        <f t="array" ref="AL351">_xlfn.XLOOKUP(
  AD351,
  'Tax Rates'!A:A,
'Tax Rates'!B:B)</f>
        <v>0.0117033</v>
      </c>
    </row>
    <row r="352">
      <c r="A352" s="22">
        <v>16.0</v>
      </c>
      <c r="B352" s="6" t="str">
        <f t="array" ref="B352">_xlfn.XLOOKUP(
  A352,
  'CMFA-CSCDA Grants'!A:A,
'CMFA-CSCDA Grants'!E:E)</f>
        <v>Solano</v>
      </c>
      <c r="C352" s="6" t="str">
        <f t="array" ref="C352">_xlfn.XLOOKUP(
  A352,
  'CMFA-CSCDA Grants'!A:A,
'CMFA-CSCDA Grants'!B:B)</f>
        <v>Montessa Apartments</v>
      </c>
      <c r="D352" s="115">
        <v>1.2810202E8</v>
      </c>
      <c r="F352" s="6" t="b">
        <v>0</v>
      </c>
      <c r="H352" s="6" t="s">
        <v>2979</v>
      </c>
      <c r="X352" s="18" t="s">
        <v>146</v>
      </c>
      <c r="Y352" s="18" t="s">
        <v>146</v>
      </c>
      <c r="Z352" s="162">
        <v>32612.0</v>
      </c>
      <c r="AC352" s="18"/>
      <c r="AD352" s="12" t="s">
        <v>152</v>
      </c>
      <c r="AJ352" s="16">
        <f t="array" ref="AJ352">_xlfn.XLOOKUP(
  A352,
  'CMFA-CSCDA Grants'!A:A,
'CMFA-CSCDA Grants'!O:O)</f>
        <v>169</v>
      </c>
      <c r="AK352" s="16">
        <f t="array" ref="AK352">_xlfn.XLOOKUP(
  A352,
  'CMFA-CSCDA Grants'!A:A,
'CMFA-CSCDA Grants'!P:P)</f>
        <v>58</v>
      </c>
      <c r="AL352" s="10">
        <f t="array" ref="AL352">_xlfn.XLOOKUP(
  AD352,
  'Tax Rates'!A:A,
'Tax Rates'!B:B)</f>
        <v>0.0117033</v>
      </c>
    </row>
    <row r="353">
      <c r="A353" s="22">
        <v>16.0</v>
      </c>
      <c r="B353" s="6" t="str">
        <f t="array" ref="B353">_xlfn.XLOOKUP(
  A353,
  'CMFA-CSCDA Grants'!A:A,
'CMFA-CSCDA Grants'!E:E)</f>
        <v>Solano</v>
      </c>
      <c r="C353" s="6" t="str">
        <f t="array" ref="C353">_xlfn.XLOOKUP(
  A353,
  'CMFA-CSCDA Grants'!A:A,
'CMFA-CSCDA Grants'!B:B)</f>
        <v>Montessa Apartments</v>
      </c>
      <c r="D353" s="115">
        <v>1.2810201E8</v>
      </c>
      <c r="F353" s="6" t="b">
        <v>0</v>
      </c>
      <c r="H353" s="6" t="s">
        <v>2979</v>
      </c>
      <c r="X353" s="18" t="s">
        <v>146</v>
      </c>
      <c r="Y353" s="18" t="s">
        <v>146</v>
      </c>
      <c r="Z353" s="162">
        <v>40431.0</v>
      </c>
      <c r="AC353" s="18"/>
      <c r="AD353" s="12" t="s">
        <v>152</v>
      </c>
      <c r="AJ353" s="16">
        <f t="array" ref="AJ353">_xlfn.XLOOKUP(
  A353,
  'CMFA-CSCDA Grants'!A:A,
'CMFA-CSCDA Grants'!O:O)</f>
        <v>169</v>
      </c>
      <c r="AK353" s="16">
        <f t="array" ref="AK353">_xlfn.XLOOKUP(
  A353,
  'CMFA-CSCDA Grants'!A:A,
'CMFA-CSCDA Grants'!P:P)</f>
        <v>58</v>
      </c>
      <c r="AL353" s="10">
        <f t="array" ref="AL353">_xlfn.XLOOKUP(
  AD353,
  'Tax Rates'!A:A,
'Tax Rates'!B:B)</f>
        <v>0.0117033</v>
      </c>
    </row>
    <row r="354">
      <c r="A354" s="22">
        <v>16.0</v>
      </c>
      <c r="B354" s="6" t="str">
        <f t="array" ref="B354">_xlfn.XLOOKUP(
  A354,
  'CMFA-CSCDA Grants'!A:A,
'CMFA-CSCDA Grants'!E:E)</f>
        <v>Solano</v>
      </c>
      <c r="C354" s="6" t="str">
        <f t="array" ref="C354">_xlfn.XLOOKUP(
  A354,
  'CMFA-CSCDA Grants'!A:A,
'CMFA-CSCDA Grants'!B:B)</f>
        <v>Montessa Apartments</v>
      </c>
      <c r="D354" s="115">
        <v>1.2810221E8</v>
      </c>
      <c r="F354" s="6" t="b">
        <v>0</v>
      </c>
      <c r="H354" s="6" t="s">
        <v>2979</v>
      </c>
      <c r="X354" s="18" t="s">
        <v>146</v>
      </c>
      <c r="Y354" s="18" t="s">
        <v>146</v>
      </c>
      <c r="Z354" s="162">
        <v>47216.0</v>
      </c>
      <c r="AC354" s="18"/>
      <c r="AD354" s="12" t="s">
        <v>152</v>
      </c>
      <c r="AJ354" s="16">
        <f t="array" ref="AJ354">_xlfn.XLOOKUP(
  A354,
  'CMFA-CSCDA Grants'!A:A,
'CMFA-CSCDA Grants'!O:O)</f>
        <v>169</v>
      </c>
      <c r="AK354" s="16">
        <f t="array" ref="AK354">_xlfn.XLOOKUP(
  A354,
  'CMFA-CSCDA Grants'!A:A,
'CMFA-CSCDA Grants'!P:P)</f>
        <v>58</v>
      </c>
      <c r="AL354" s="10">
        <f t="array" ref="AL354">_xlfn.XLOOKUP(
  AD354,
  'Tax Rates'!A:A,
'Tax Rates'!B:B)</f>
        <v>0.0117033</v>
      </c>
    </row>
    <row r="355">
      <c r="A355" s="22">
        <v>16.0</v>
      </c>
      <c r="B355" s="6" t="str">
        <f t="array" ref="B355">_xlfn.XLOOKUP(
  A355,
  'CMFA-CSCDA Grants'!A:A,
'CMFA-CSCDA Grants'!E:E)</f>
        <v>Solano</v>
      </c>
      <c r="C355" s="6" t="str">
        <f t="array" ref="C355">_xlfn.XLOOKUP(
  A355,
  'CMFA-CSCDA Grants'!A:A,
'CMFA-CSCDA Grants'!B:B)</f>
        <v>Montessa Apartments</v>
      </c>
      <c r="D355" s="115">
        <v>1.281022E8</v>
      </c>
      <c r="F355" s="6" t="b">
        <v>0</v>
      </c>
      <c r="H355" s="6" t="s">
        <v>2979</v>
      </c>
      <c r="X355" s="18" t="s">
        <v>146</v>
      </c>
      <c r="Y355" s="18" t="s">
        <v>146</v>
      </c>
      <c r="Z355" s="162">
        <v>29071.0</v>
      </c>
      <c r="AC355" s="18"/>
      <c r="AD355" s="12" t="s">
        <v>152</v>
      </c>
      <c r="AJ355" s="16">
        <f t="array" ref="AJ355">_xlfn.XLOOKUP(
  A355,
  'CMFA-CSCDA Grants'!A:A,
'CMFA-CSCDA Grants'!O:O)</f>
        <v>169</v>
      </c>
      <c r="AK355" s="16">
        <f t="array" ref="AK355">_xlfn.XLOOKUP(
  A355,
  'CMFA-CSCDA Grants'!A:A,
'CMFA-CSCDA Grants'!P:P)</f>
        <v>58</v>
      </c>
      <c r="AL355" s="10">
        <f t="array" ref="AL355">_xlfn.XLOOKUP(
  AD355,
  'Tax Rates'!A:A,
'Tax Rates'!B:B)</f>
        <v>0.0117033</v>
      </c>
    </row>
    <row r="356">
      <c r="A356" s="22">
        <v>16.0</v>
      </c>
      <c r="B356" s="6" t="str">
        <f t="array" ref="B356">_xlfn.XLOOKUP(
  A356,
  'CMFA-CSCDA Grants'!A:A,
'CMFA-CSCDA Grants'!E:E)</f>
        <v>Solano</v>
      </c>
      <c r="C356" s="6" t="str">
        <f t="array" ref="C356">_xlfn.XLOOKUP(
  A356,
  'CMFA-CSCDA Grants'!A:A,
'CMFA-CSCDA Grants'!B:B)</f>
        <v>Montessa Apartments</v>
      </c>
      <c r="D356" s="115">
        <v>1.2810219E8</v>
      </c>
      <c r="F356" s="6" t="b">
        <v>0</v>
      </c>
      <c r="H356" s="6" t="s">
        <v>2979</v>
      </c>
      <c r="X356" s="18" t="s">
        <v>146</v>
      </c>
      <c r="Y356" s="18" t="s">
        <v>146</v>
      </c>
      <c r="Z356" s="162">
        <v>29025.0</v>
      </c>
      <c r="AC356" s="18"/>
      <c r="AD356" s="12" t="s">
        <v>152</v>
      </c>
      <c r="AJ356" s="16">
        <f t="array" ref="AJ356">_xlfn.XLOOKUP(
  A356,
  'CMFA-CSCDA Grants'!A:A,
'CMFA-CSCDA Grants'!O:O)</f>
        <v>169</v>
      </c>
      <c r="AK356" s="16">
        <f t="array" ref="AK356">_xlfn.XLOOKUP(
  A356,
  'CMFA-CSCDA Grants'!A:A,
'CMFA-CSCDA Grants'!P:P)</f>
        <v>58</v>
      </c>
      <c r="AL356" s="10">
        <f t="array" ref="AL356">_xlfn.XLOOKUP(
  AD356,
  'Tax Rates'!A:A,
'Tax Rates'!B:B)</f>
        <v>0.0117033</v>
      </c>
    </row>
    <row r="357">
      <c r="A357" s="22">
        <v>16.0</v>
      </c>
      <c r="B357" s="6" t="str">
        <f t="array" ref="B357">_xlfn.XLOOKUP(
  A357,
  'CMFA-CSCDA Grants'!A:A,
'CMFA-CSCDA Grants'!E:E)</f>
        <v>Solano</v>
      </c>
      <c r="C357" s="6" t="str">
        <f t="array" ref="C357">_xlfn.XLOOKUP(
  A357,
  'CMFA-CSCDA Grants'!A:A,
'CMFA-CSCDA Grants'!B:B)</f>
        <v>Montessa Apartments</v>
      </c>
      <c r="D357" s="115">
        <v>1.2810218E8</v>
      </c>
      <c r="F357" s="6" t="b">
        <v>0</v>
      </c>
      <c r="H357" s="6" t="s">
        <v>2979</v>
      </c>
      <c r="X357" s="18" t="s">
        <v>146</v>
      </c>
      <c r="Y357" s="18" t="s">
        <v>146</v>
      </c>
      <c r="Z357" s="162">
        <v>29025.0</v>
      </c>
      <c r="AC357" s="18"/>
      <c r="AD357" s="12" t="s">
        <v>152</v>
      </c>
      <c r="AJ357" s="16">
        <f t="array" ref="AJ357">_xlfn.XLOOKUP(
  A357,
  'CMFA-CSCDA Grants'!A:A,
'CMFA-CSCDA Grants'!O:O)</f>
        <v>169</v>
      </c>
      <c r="AK357" s="16">
        <f t="array" ref="AK357">_xlfn.XLOOKUP(
  A357,
  'CMFA-CSCDA Grants'!A:A,
'CMFA-CSCDA Grants'!P:P)</f>
        <v>58</v>
      </c>
      <c r="AL357" s="10">
        <f t="array" ref="AL357">_xlfn.XLOOKUP(
  AD357,
  'Tax Rates'!A:A,
'Tax Rates'!B:B)</f>
        <v>0.0117033</v>
      </c>
    </row>
    <row r="358">
      <c r="A358" s="22">
        <v>16.0</v>
      </c>
      <c r="B358" s="6" t="str">
        <f t="array" ref="B358">_xlfn.XLOOKUP(
  A358,
  'CMFA-CSCDA Grants'!A:A,
'CMFA-CSCDA Grants'!E:E)</f>
        <v>Solano</v>
      </c>
      <c r="C358" s="6" t="str">
        <f t="array" ref="C358">_xlfn.XLOOKUP(
  A358,
  'CMFA-CSCDA Grants'!A:A,
'CMFA-CSCDA Grants'!B:B)</f>
        <v>Montessa Apartments</v>
      </c>
      <c r="D358" s="115">
        <v>1.2810217E8</v>
      </c>
      <c r="F358" s="6" t="b">
        <v>0</v>
      </c>
      <c r="H358" s="6" t="s">
        <v>2979</v>
      </c>
      <c r="X358" s="18" t="s">
        <v>146</v>
      </c>
      <c r="Y358" s="18" t="s">
        <v>146</v>
      </c>
      <c r="Z358" s="162">
        <v>29025.0</v>
      </c>
      <c r="AC358" s="18"/>
      <c r="AD358" s="12" t="s">
        <v>152</v>
      </c>
      <c r="AJ358" s="16">
        <f t="array" ref="AJ358">_xlfn.XLOOKUP(
  A358,
  'CMFA-CSCDA Grants'!A:A,
'CMFA-CSCDA Grants'!O:O)</f>
        <v>169</v>
      </c>
      <c r="AK358" s="16">
        <f t="array" ref="AK358">_xlfn.XLOOKUP(
  A358,
  'CMFA-CSCDA Grants'!A:A,
'CMFA-CSCDA Grants'!P:P)</f>
        <v>58</v>
      </c>
      <c r="AL358" s="10">
        <f t="array" ref="AL358">_xlfn.XLOOKUP(
  AD358,
  'Tax Rates'!A:A,
'Tax Rates'!B:B)</f>
        <v>0.0117033</v>
      </c>
    </row>
    <row r="359">
      <c r="A359" s="22">
        <v>16.0</v>
      </c>
      <c r="B359" s="6" t="str">
        <f t="array" ref="B359">_xlfn.XLOOKUP(
  A359,
  'CMFA-CSCDA Grants'!A:A,
'CMFA-CSCDA Grants'!E:E)</f>
        <v>Solano</v>
      </c>
      <c r="C359" s="6" t="str">
        <f t="array" ref="C359">_xlfn.XLOOKUP(
  A359,
  'CMFA-CSCDA Grants'!A:A,
'CMFA-CSCDA Grants'!B:B)</f>
        <v>Montessa Apartments</v>
      </c>
      <c r="D359" s="115">
        <v>1.2810216E8</v>
      </c>
      <c r="F359" s="6" t="b">
        <v>0</v>
      </c>
      <c r="H359" s="6" t="s">
        <v>2979</v>
      </c>
      <c r="X359" s="18" t="s">
        <v>146</v>
      </c>
      <c r="Y359" s="18" t="s">
        <v>146</v>
      </c>
      <c r="Z359" s="162">
        <v>7331.0</v>
      </c>
      <c r="AC359" s="18"/>
      <c r="AD359" s="12" t="s">
        <v>152</v>
      </c>
      <c r="AJ359" s="16">
        <f t="array" ref="AJ359">_xlfn.XLOOKUP(
  A359,
  'CMFA-CSCDA Grants'!A:A,
'CMFA-CSCDA Grants'!O:O)</f>
        <v>169</v>
      </c>
      <c r="AK359" s="16">
        <f t="array" ref="AK359">_xlfn.XLOOKUP(
  A359,
  'CMFA-CSCDA Grants'!A:A,
'CMFA-CSCDA Grants'!P:P)</f>
        <v>58</v>
      </c>
      <c r="AL359" s="10">
        <f t="array" ref="AL359">_xlfn.XLOOKUP(
  AD359,
  'Tax Rates'!A:A,
'Tax Rates'!B:B)</f>
        <v>0.0117033</v>
      </c>
    </row>
    <row r="360">
      <c r="A360" s="22">
        <v>16.0</v>
      </c>
      <c r="B360" s="6" t="str">
        <f t="array" ref="B360">_xlfn.XLOOKUP(
  A360,
  'CMFA-CSCDA Grants'!A:A,
'CMFA-CSCDA Grants'!E:E)</f>
        <v>Solano</v>
      </c>
      <c r="C360" s="6" t="str">
        <f t="array" ref="C360">_xlfn.XLOOKUP(
  A360,
  'CMFA-CSCDA Grants'!A:A,
'CMFA-CSCDA Grants'!B:B)</f>
        <v>Montessa Apartments</v>
      </c>
      <c r="D360" s="115">
        <v>1.2810215E8</v>
      </c>
      <c r="F360" s="6" t="b">
        <v>0</v>
      </c>
      <c r="H360" s="6" t="s">
        <v>2979</v>
      </c>
      <c r="X360" s="18" t="s">
        <v>146</v>
      </c>
      <c r="Y360" s="18" t="s">
        <v>146</v>
      </c>
      <c r="Z360" s="162">
        <v>7331.0</v>
      </c>
      <c r="AC360" s="18"/>
      <c r="AD360" s="12" t="s">
        <v>152</v>
      </c>
      <c r="AJ360" s="16">
        <f t="array" ref="AJ360">_xlfn.XLOOKUP(
  A360,
  'CMFA-CSCDA Grants'!A:A,
'CMFA-CSCDA Grants'!O:O)</f>
        <v>169</v>
      </c>
      <c r="AK360" s="16">
        <f t="array" ref="AK360">_xlfn.XLOOKUP(
  A360,
  'CMFA-CSCDA Grants'!A:A,
'CMFA-CSCDA Grants'!P:P)</f>
        <v>58</v>
      </c>
      <c r="AL360" s="10">
        <f t="array" ref="AL360">_xlfn.XLOOKUP(
  AD360,
  'Tax Rates'!A:A,
'Tax Rates'!B:B)</f>
        <v>0.0117033</v>
      </c>
    </row>
    <row r="361">
      <c r="A361" s="22">
        <v>16.0</v>
      </c>
      <c r="B361" s="6" t="str">
        <f t="array" ref="B361">_xlfn.XLOOKUP(
  A361,
  'CMFA-CSCDA Grants'!A:A,
'CMFA-CSCDA Grants'!E:E)</f>
        <v>Solano</v>
      </c>
      <c r="C361" s="6" t="str">
        <f t="array" ref="C361">_xlfn.XLOOKUP(
  A361,
  'CMFA-CSCDA Grants'!A:A,
'CMFA-CSCDA Grants'!B:B)</f>
        <v>Montessa Apartments</v>
      </c>
      <c r="D361" s="115">
        <v>1.2810214E8</v>
      </c>
      <c r="F361" s="6" t="b">
        <v>0</v>
      </c>
      <c r="H361" s="6" t="s">
        <v>2979</v>
      </c>
      <c r="X361" s="18" t="s">
        <v>146</v>
      </c>
      <c r="Y361" s="18" t="s">
        <v>146</v>
      </c>
      <c r="Z361" s="162">
        <v>6988.0</v>
      </c>
      <c r="AC361" s="18"/>
      <c r="AD361" s="12" t="s">
        <v>152</v>
      </c>
      <c r="AJ361" s="16">
        <f t="array" ref="AJ361">_xlfn.XLOOKUP(
  A361,
  'CMFA-CSCDA Grants'!A:A,
'CMFA-CSCDA Grants'!O:O)</f>
        <v>169</v>
      </c>
      <c r="AK361" s="16">
        <f t="array" ref="AK361">_xlfn.XLOOKUP(
  A361,
  'CMFA-CSCDA Grants'!A:A,
'CMFA-CSCDA Grants'!P:P)</f>
        <v>58</v>
      </c>
      <c r="AL361" s="10">
        <f t="array" ref="AL361">_xlfn.XLOOKUP(
  AD361,
  'Tax Rates'!A:A,
'Tax Rates'!B:B)</f>
        <v>0.0117033</v>
      </c>
    </row>
    <row r="362">
      <c r="A362" s="22">
        <v>16.0</v>
      </c>
      <c r="B362" s="6" t="str">
        <f t="array" ref="B362">_xlfn.XLOOKUP(
  A362,
  'CMFA-CSCDA Grants'!A:A,
'CMFA-CSCDA Grants'!E:E)</f>
        <v>Solano</v>
      </c>
      <c r="C362" s="6" t="str">
        <f t="array" ref="C362">_xlfn.XLOOKUP(
  A362,
  'CMFA-CSCDA Grants'!A:A,
'CMFA-CSCDA Grants'!B:B)</f>
        <v>Montessa Apartments</v>
      </c>
      <c r="D362" s="115">
        <v>1.2810213E8</v>
      </c>
      <c r="F362" s="6" t="b">
        <v>0</v>
      </c>
      <c r="H362" s="6" t="s">
        <v>2979</v>
      </c>
      <c r="X362" s="18" t="s">
        <v>146</v>
      </c>
      <c r="Y362" s="18" t="s">
        <v>146</v>
      </c>
      <c r="Z362" s="162">
        <v>1018.0</v>
      </c>
      <c r="AC362" s="18"/>
      <c r="AD362" s="12" t="s">
        <v>152</v>
      </c>
      <c r="AJ362" s="16">
        <f t="array" ref="AJ362">_xlfn.XLOOKUP(
  A362,
  'CMFA-CSCDA Grants'!A:A,
'CMFA-CSCDA Grants'!O:O)</f>
        <v>169</v>
      </c>
      <c r="AK362" s="16">
        <f t="array" ref="AK362">_xlfn.XLOOKUP(
  A362,
  'CMFA-CSCDA Grants'!A:A,
'CMFA-CSCDA Grants'!P:P)</f>
        <v>58</v>
      </c>
      <c r="AL362" s="10">
        <f t="array" ref="AL362">_xlfn.XLOOKUP(
  AD362,
  'Tax Rates'!A:A,
'Tax Rates'!B:B)</f>
        <v>0.0117033</v>
      </c>
    </row>
    <row r="363">
      <c r="A363" s="22">
        <v>16.0</v>
      </c>
      <c r="B363" s="6" t="str">
        <f t="array" ref="B363">_xlfn.XLOOKUP(
  A363,
  'CMFA-CSCDA Grants'!A:A,
'CMFA-CSCDA Grants'!E:E)</f>
        <v>Solano</v>
      </c>
      <c r="C363" s="6" t="str">
        <f t="array" ref="C363">_xlfn.XLOOKUP(
  A363,
  'CMFA-CSCDA Grants'!A:A,
'CMFA-CSCDA Grants'!B:B)</f>
        <v>Montessa Apartments</v>
      </c>
      <c r="D363" s="115">
        <v>1.2810212E8</v>
      </c>
      <c r="F363" s="6" t="b">
        <v>0</v>
      </c>
      <c r="H363" s="6" t="s">
        <v>2979</v>
      </c>
      <c r="X363" s="18" t="s">
        <v>146</v>
      </c>
      <c r="Y363" s="18" t="s">
        <v>146</v>
      </c>
      <c r="Z363" s="162">
        <v>1223.0</v>
      </c>
      <c r="AC363" s="18"/>
      <c r="AD363" s="12" t="s">
        <v>152</v>
      </c>
      <c r="AJ363" s="16">
        <f t="array" ref="AJ363">_xlfn.XLOOKUP(
  A363,
  'CMFA-CSCDA Grants'!A:A,
'CMFA-CSCDA Grants'!O:O)</f>
        <v>169</v>
      </c>
      <c r="AK363" s="16">
        <f t="array" ref="AK363">_xlfn.XLOOKUP(
  A363,
  'CMFA-CSCDA Grants'!A:A,
'CMFA-CSCDA Grants'!P:P)</f>
        <v>58</v>
      </c>
      <c r="AL363" s="10">
        <f t="array" ref="AL363">_xlfn.XLOOKUP(
  AD363,
  'Tax Rates'!A:A,
'Tax Rates'!B:B)</f>
        <v>0.0117033</v>
      </c>
    </row>
    <row r="364">
      <c r="A364" s="22">
        <v>16.0</v>
      </c>
      <c r="B364" s="6" t="str">
        <f t="array" ref="B364">_xlfn.XLOOKUP(
  A364,
  'CMFA-CSCDA Grants'!A:A,
'CMFA-CSCDA Grants'!E:E)</f>
        <v>Solano</v>
      </c>
      <c r="C364" s="6" t="str">
        <f t="array" ref="C364">_xlfn.XLOOKUP(
  A364,
  'CMFA-CSCDA Grants'!A:A,
'CMFA-CSCDA Grants'!B:B)</f>
        <v>Montessa Apartments</v>
      </c>
      <c r="D364" s="115">
        <v>1.2810309E8</v>
      </c>
      <c r="F364" s="6" t="b">
        <v>0</v>
      </c>
      <c r="H364" s="6" t="s">
        <v>2979</v>
      </c>
      <c r="X364" s="18" t="s">
        <v>146</v>
      </c>
      <c r="Y364" s="18" t="s">
        <v>146</v>
      </c>
      <c r="Z364" s="162">
        <v>1507.0</v>
      </c>
      <c r="AC364" s="18"/>
      <c r="AD364" s="12" t="s">
        <v>152</v>
      </c>
      <c r="AJ364" s="16">
        <f t="array" ref="AJ364">_xlfn.XLOOKUP(
  A364,
  'CMFA-CSCDA Grants'!A:A,
'CMFA-CSCDA Grants'!O:O)</f>
        <v>169</v>
      </c>
      <c r="AK364" s="16">
        <f t="array" ref="AK364">_xlfn.XLOOKUP(
  A364,
  'CMFA-CSCDA Grants'!A:A,
'CMFA-CSCDA Grants'!P:P)</f>
        <v>58</v>
      </c>
      <c r="AL364" s="10">
        <f t="array" ref="AL364">_xlfn.XLOOKUP(
  AD364,
  'Tax Rates'!A:A,
'Tax Rates'!B:B)</f>
        <v>0.0117033</v>
      </c>
    </row>
    <row r="365">
      <c r="A365" s="22">
        <v>16.0</v>
      </c>
      <c r="B365" s="6" t="str">
        <f t="array" ref="B365">_xlfn.XLOOKUP(
  A365,
  'CMFA-CSCDA Grants'!A:A,
'CMFA-CSCDA Grants'!E:E)</f>
        <v>Solano</v>
      </c>
      <c r="C365" s="6" t="str">
        <f t="array" ref="C365">_xlfn.XLOOKUP(
  A365,
  'CMFA-CSCDA Grants'!A:A,
'CMFA-CSCDA Grants'!B:B)</f>
        <v>Montessa Apartments</v>
      </c>
      <c r="D365" s="115">
        <v>1.2810308E8</v>
      </c>
      <c r="F365" s="6" t="b">
        <v>0</v>
      </c>
      <c r="H365" s="6" t="s">
        <v>2979</v>
      </c>
      <c r="X365" s="18" t="s">
        <v>146</v>
      </c>
      <c r="Y365" s="18" t="s">
        <v>146</v>
      </c>
      <c r="Z365" s="162">
        <v>1101.0</v>
      </c>
      <c r="AC365" s="18"/>
      <c r="AD365" s="12" t="s">
        <v>152</v>
      </c>
      <c r="AJ365" s="16">
        <f t="array" ref="AJ365">_xlfn.XLOOKUP(
  A365,
  'CMFA-CSCDA Grants'!A:A,
'CMFA-CSCDA Grants'!O:O)</f>
        <v>169</v>
      </c>
      <c r="AK365" s="16">
        <f t="array" ref="AK365">_xlfn.XLOOKUP(
  A365,
  'CMFA-CSCDA Grants'!A:A,
'CMFA-CSCDA Grants'!P:P)</f>
        <v>58</v>
      </c>
      <c r="AL365" s="10">
        <f t="array" ref="AL365">_xlfn.XLOOKUP(
  AD365,
  'Tax Rates'!A:A,
'Tax Rates'!B:B)</f>
        <v>0.0117033</v>
      </c>
    </row>
    <row r="366">
      <c r="A366" s="22">
        <v>16.0</v>
      </c>
      <c r="B366" s="6" t="str">
        <f t="array" ref="B366">_xlfn.XLOOKUP(
  A366,
  'CMFA-CSCDA Grants'!A:A,
'CMFA-CSCDA Grants'!E:E)</f>
        <v>Solano</v>
      </c>
      <c r="C366" s="6" t="str">
        <f t="array" ref="C366">_xlfn.XLOOKUP(
  A366,
  'CMFA-CSCDA Grants'!A:A,
'CMFA-CSCDA Grants'!B:B)</f>
        <v>Montessa Apartments</v>
      </c>
      <c r="D366" s="115">
        <v>1.2810307E8</v>
      </c>
      <c r="F366" s="6" t="b">
        <v>0</v>
      </c>
      <c r="H366" s="6" t="s">
        <v>2979</v>
      </c>
      <c r="X366" s="18" t="s">
        <v>146</v>
      </c>
      <c r="Y366" s="18" t="s">
        <v>146</v>
      </c>
      <c r="Z366" s="162">
        <v>1101.0</v>
      </c>
      <c r="AC366" s="18"/>
      <c r="AD366" s="12" t="s">
        <v>152</v>
      </c>
      <c r="AJ366" s="16">
        <f t="array" ref="AJ366">_xlfn.XLOOKUP(
  A366,
  'CMFA-CSCDA Grants'!A:A,
'CMFA-CSCDA Grants'!O:O)</f>
        <v>169</v>
      </c>
      <c r="AK366" s="16">
        <f t="array" ref="AK366">_xlfn.XLOOKUP(
  A366,
  'CMFA-CSCDA Grants'!A:A,
'CMFA-CSCDA Grants'!P:P)</f>
        <v>58</v>
      </c>
      <c r="AL366" s="10">
        <f t="array" ref="AL366">_xlfn.XLOOKUP(
  AD366,
  'Tax Rates'!A:A,
'Tax Rates'!B:B)</f>
        <v>0.0117033</v>
      </c>
    </row>
    <row r="367">
      <c r="A367" s="22">
        <v>16.0</v>
      </c>
      <c r="B367" s="6" t="str">
        <f t="array" ref="B367">_xlfn.XLOOKUP(
  A367,
  'CMFA-CSCDA Grants'!A:A,
'CMFA-CSCDA Grants'!E:E)</f>
        <v>Solano</v>
      </c>
      <c r="C367" s="6" t="str">
        <f t="array" ref="C367">_xlfn.XLOOKUP(
  A367,
  'CMFA-CSCDA Grants'!A:A,
'CMFA-CSCDA Grants'!B:B)</f>
        <v>Montessa Apartments</v>
      </c>
      <c r="D367" s="115">
        <v>1.2810306E8</v>
      </c>
      <c r="F367" s="6" t="b">
        <v>0</v>
      </c>
      <c r="H367" s="6" t="s">
        <v>2979</v>
      </c>
      <c r="X367" s="18" t="s">
        <v>146</v>
      </c>
      <c r="Y367" s="18" t="s">
        <v>146</v>
      </c>
      <c r="Z367" s="162">
        <v>1101.0</v>
      </c>
      <c r="AC367" s="18"/>
      <c r="AD367" s="12" t="s">
        <v>152</v>
      </c>
      <c r="AJ367" s="16">
        <f t="array" ref="AJ367">_xlfn.XLOOKUP(
  A367,
  'CMFA-CSCDA Grants'!A:A,
'CMFA-CSCDA Grants'!O:O)</f>
        <v>169</v>
      </c>
      <c r="AK367" s="16">
        <f t="array" ref="AK367">_xlfn.XLOOKUP(
  A367,
  'CMFA-CSCDA Grants'!A:A,
'CMFA-CSCDA Grants'!P:P)</f>
        <v>58</v>
      </c>
      <c r="AL367" s="10">
        <f t="array" ref="AL367">_xlfn.XLOOKUP(
  AD367,
  'Tax Rates'!A:A,
'Tax Rates'!B:B)</f>
        <v>0.0117033</v>
      </c>
    </row>
    <row r="368">
      <c r="A368" s="22">
        <v>16.0</v>
      </c>
      <c r="B368" s="6" t="str">
        <f t="array" ref="B368">_xlfn.XLOOKUP(
  A368,
  'CMFA-CSCDA Grants'!A:A,
'CMFA-CSCDA Grants'!E:E)</f>
        <v>Solano</v>
      </c>
      <c r="C368" s="6" t="str">
        <f t="array" ref="C368">_xlfn.XLOOKUP(
  A368,
  'CMFA-CSCDA Grants'!A:A,
'CMFA-CSCDA Grants'!B:B)</f>
        <v>Montessa Apartments</v>
      </c>
      <c r="D368" s="115">
        <v>1.2810305E8</v>
      </c>
      <c r="F368" s="6" t="b">
        <v>0</v>
      </c>
      <c r="H368" s="6" t="s">
        <v>2979</v>
      </c>
      <c r="X368" s="18" t="s">
        <v>146</v>
      </c>
      <c r="Y368" s="18" t="s">
        <v>146</v>
      </c>
      <c r="Z368" s="162">
        <v>1101.0</v>
      </c>
      <c r="AC368" s="18"/>
      <c r="AD368" s="12" t="s">
        <v>152</v>
      </c>
      <c r="AJ368" s="16">
        <f t="array" ref="AJ368">_xlfn.XLOOKUP(
  A368,
  'CMFA-CSCDA Grants'!A:A,
'CMFA-CSCDA Grants'!O:O)</f>
        <v>169</v>
      </c>
      <c r="AK368" s="16">
        <f t="array" ref="AK368">_xlfn.XLOOKUP(
  A368,
  'CMFA-CSCDA Grants'!A:A,
'CMFA-CSCDA Grants'!P:P)</f>
        <v>58</v>
      </c>
      <c r="AL368" s="10">
        <f t="array" ref="AL368">_xlfn.XLOOKUP(
  AD368,
  'Tax Rates'!A:A,
'Tax Rates'!B:B)</f>
        <v>0.0117033</v>
      </c>
    </row>
    <row r="369">
      <c r="A369" s="22">
        <v>16.0</v>
      </c>
      <c r="B369" s="6" t="str">
        <f t="array" ref="B369">_xlfn.XLOOKUP(
  A369,
  'CMFA-CSCDA Grants'!A:A,
'CMFA-CSCDA Grants'!E:E)</f>
        <v>Solano</v>
      </c>
      <c r="C369" s="6" t="str">
        <f t="array" ref="C369">_xlfn.XLOOKUP(
  A369,
  'CMFA-CSCDA Grants'!A:A,
'CMFA-CSCDA Grants'!B:B)</f>
        <v>Montessa Apartments</v>
      </c>
      <c r="D369" s="115">
        <v>1.2810304E8</v>
      </c>
      <c r="F369" s="6" t="b">
        <v>0</v>
      </c>
      <c r="H369" s="6" t="s">
        <v>2979</v>
      </c>
      <c r="X369" s="18" t="s">
        <v>146</v>
      </c>
      <c r="Y369" s="18" t="s">
        <v>146</v>
      </c>
      <c r="Z369" s="162">
        <v>29932.0</v>
      </c>
      <c r="AC369" s="18"/>
      <c r="AD369" s="12" t="s">
        <v>152</v>
      </c>
      <c r="AJ369" s="16">
        <f t="array" ref="AJ369">_xlfn.XLOOKUP(
  A369,
  'CMFA-CSCDA Grants'!A:A,
'CMFA-CSCDA Grants'!O:O)</f>
        <v>169</v>
      </c>
      <c r="AK369" s="16">
        <f t="array" ref="AK369">_xlfn.XLOOKUP(
  A369,
  'CMFA-CSCDA Grants'!A:A,
'CMFA-CSCDA Grants'!P:P)</f>
        <v>58</v>
      </c>
      <c r="AL369" s="10">
        <f t="array" ref="AL369">_xlfn.XLOOKUP(
  AD369,
  'Tax Rates'!A:A,
'Tax Rates'!B:B)</f>
        <v>0.0117033</v>
      </c>
    </row>
    <row r="370">
      <c r="A370" s="22">
        <v>16.0</v>
      </c>
      <c r="B370" s="6" t="str">
        <f t="array" ref="B370">_xlfn.XLOOKUP(
  A370,
  'CMFA-CSCDA Grants'!A:A,
'CMFA-CSCDA Grants'!E:E)</f>
        <v>Solano</v>
      </c>
      <c r="C370" s="6" t="str">
        <f t="array" ref="C370">_xlfn.XLOOKUP(
  A370,
  'CMFA-CSCDA Grants'!A:A,
'CMFA-CSCDA Grants'!B:B)</f>
        <v>Montessa Apartments</v>
      </c>
      <c r="D370" s="115">
        <v>1.2810303E8</v>
      </c>
      <c r="F370" s="6" t="b">
        <v>0</v>
      </c>
      <c r="H370" s="6" t="s">
        <v>2979</v>
      </c>
      <c r="X370" s="18" t="s">
        <v>146</v>
      </c>
      <c r="Y370" s="18" t="s">
        <v>146</v>
      </c>
      <c r="Z370" s="18">
        <v>29932.0</v>
      </c>
      <c r="AC370" s="18"/>
      <c r="AD370" s="12" t="s">
        <v>152</v>
      </c>
      <c r="AJ370" s="16">
        <f t="array" ref="AJ370">_xlfn.XLOOKUP(
  A370,
  'CMFA-CSCDA Grants'!A:A,
'CMFA-CSCDA Grants'!O:O)</f>
        <v>169</v>
      </c>
      <c r="AK370" s="16">
        <f t="array" ref="AK370">_xlfn.XLOOKUP(
  A370,
  'CMFA-CSCDA Grants'!A:A,
'CMFA-CSCDA Grants'!P:P)</f>
        <v>58</v>
      </c>
      <c r="AL370" s="10">
        <f t="array" ref="AL370">_xlfn.XLOOKUP(
  AD370,
  'Tax Rates'!A:A,
'Tax Rates'!B:B)</f>
        <v>0.0117033</v>
      </c>
    </row>
    <row r="371">
      <c r="A371" s="22">
        <v>16.0</v>
      </c>
      <c r="B371" s="6" t="str">
        <f t="array" ref="B371">_xlfn.XLOOKUP(
  A371,
  'CMFA-CSCDA Grants'!A:A,
'CMFA-CSCDA Grants'!E:E)</f>
        <v>Solano</v>
      </c>
      <c r="C371" s="6" t="str">
        <f t="array" ref="C371">_xlfn.XLOOKUP(
  A371,
  'CMFA-CSCDA Grants'!A:A,
'CMFA-CSCDA Grants'!B:B)</f>
        <v>Montessa Apartments</v>
      </c>
      <c r="D371" s="115">
        <v>1.2810302E8</v>
      </c>
      <c r="F371" s="6" t="b">
        <v>0</v>
      </c>
      <c r="H371" s="6" t="s">
        <v>2979</v>
      </c>
      <c r="X371" s="18" t="s">
        <v>146</v>
      </c>
      <c r="Y371" s="18" t="s">
        <v>146</v>
      </c>
      <c r="Z371" s="18">
        <v>29932.0</v>
      </c>
      <c r="AC371" s="18"/>
      <c r="AD371" s="12" t="s">
        <v>152</v>
      </c>
      <c r="AJ371" s="16">
        <f t="array" ref="AJ371">_xlfn.XLOOKUP(
  A371,
  'CMFA-CSCDA Grants'!A:A,
'CMFA-CSCDA Grants'!O:O)</f>
        <v>169</v>
      </c>
      <c r="AK371" s="16">
        <f t="array" ref="AK371">_xlfn.XLOOKUP(
  A371,
  'CMFA-CSCDA Grants'!A:A,
'CMFA-CSCDA Grants'!P:P)</f>
        <v>58</v>
      </c>
      <c r="AL371" s="10">
        <f t="array" ref="AL371">_xlfn.XLOOKUP(
  AD371,
  'Tax Rates'!A:A,
'Tax Rates'!B:B)</f>
        <v>0.0117033</v>
      </c>
    </row>
    <row r="372">
      <c r="A372" s="22">
        <v>16.0</v>
      </c>
      <c r="B372" s="6" t="str">
        <f t="array" ref="B372">_xlfn.XLOOKUP(
  A372,
  'CMFA-CSCDA Grants'!A:A,
'CMFA-CSCDA Grants'!E:E)</f>
        <v>Solano</v>
      </c>
      <c r="C372" s="6" t="str">
        <f t="array" ref="C372">_xlfn.XLOOKUP(
  A372,
  'CMFA-CSCDA Grants'!A:A,
'CMFA-CSCDA Grants'!B:B)</f>
        <v>Montessa Apartments</v>
      </c>
      <c r="D372" s="115">
        <v>1.2810301E8</v>
      </c>
      <c r="F372" s="6" t="b">
        <v>0</v>
      </c>
      <c r="H372" s="6" t="s">
        <v>2979</v>
      </c>
      <c r="X372" s="18" t="s">
        <v>146</v>
      </c>
      <c r="Y372" s="18" t="s">
        <v>146</v>
      </c>
      <c r="Z372" s="18">
        <v>55923.0</v>
      </c>
      <c r="AC372" s="18"/>
      <c r="AD372" s="12" t="s">
        <v>152</v>
      </c>
      <c r="AJ372" s="16">
        <f t="array" ref="AJ372">_xlfn.XLOOKUP(
  A372,
  'CMFA-CSCDA Grants'!A:A,
'CMFA-CSCDA Grants'!O:O)</f>
        <v>169</v>
      </c>
      <c r="AK372" s="16">
        <f t="array" ref="AK372">_xlfn.XLOOKUP(
  A372,
  'CMFA-CSCDA Grants'!A:A,
'CMFA-CSCDA Grants'!P:P)</f>
        <v>58</v>
      </c>
      <c r="AL372" s="10">
        <f t="array" ref="AL372">_xlfn.XLOOKUP(
  AD372,
  'Tax Rates'!A:A,
'Tax Rates'!B:B)</f>
        <v>0.0117033</v>
      </c>
    </row>
    <row r="373">
      <c r="A373" s="22">
        <v>16.0</v>
      </c>
      <c r="B373" s="6" t="str">
        <f t="array" ref="B373">_xlfn.XLOOKUP(
  A373,
  'CMFA-CSCDA Grants'!A:A,
'CMFA-CSCDA Grants'!E:E)</f>
        <v>Solano</v>
      </c>
      <c r="C373" s="6" t="str">
        <f t="array" ref="C373">_xlfn.XLOOKUP(
  A373,
  'CMFA-CSCDA Grants'!A:A,
'CMFA-CSCDA Grants'!B:B)</f>
        <v>Montessa Apartments</v>
      </c>
      <c r="D373" s="115">
        <v>1.2810318E8</v>
      </c>
      <c r="F373" s="6" t="b">
        <v>0</v>
      </c>
      <c r="H373" s="6" t="s">
        <v>2979</v>
      </c>
      <c r="X373" s="18" t="s">
        <v>146</v>
      </c>
      <c r="Y373" s="18" t="s">
        <v>146</v>
      </c>
      <c r="Z373" s="18">
        <v>47738.0</v>
      </c>
      <c r="AC373" s="18"/>
      <c r="AD373" s="12" t="s">
        <v>152</v>
      </c>
      <c r="AJ373" s="16">
        <f t="array" ref="AJ373">_xlfn.XLOOKUP(
  A373,
  'CMFA-CSCDA Grants'!A:A,
'CMFA-CSCDA Grants'!O:O)</f>
        <v>169</v>
      </c>
      <c r="AK373" s="16">
        <f t="array" ref="AK373">_xlfn.XLOOKUP(
  A373,
  'CMFA-CSCDA Grants'!A:A,
'CMFA-CSCDA Grants'!P:P)</f>
        <v>58</v>
      </c>
      <c r="AL373" s="10">
        <f t="array" ref="AL373">_xlfn.XLOOKUP(
  AD373,
  'Tax Rates'!A:A,
'Tax Rates'!B:B)</f>
        <v>0.0117033</v>
      </c>
    </row>
    <row r="374">
      <c r="A374" s="22">
        <v>16.0</v>
      </c>
      <c r="B374" s="6" t="str">
        <f t="array" ref="B374">_xlfn.XLOOKUP(
  A374,
  'CMFA-CSCDA Grants'!A:A,
'CMFA-CSCDA Grants'!E:E)</f>
        <v>Solano</v>
      </c>
      <c r="C374" s="6" t="str">
        <f t="array" ref="C374">_xlfn.XLOOKUP(
  A374,
  'CMFA-CSCDA Grants'!A:A,
'CMFA-CSCDA Grants'!B:B)</f>
        <v>Montessa Apartments</v>
      </c>
      <c r="D374" s="115">
        <v>1.2810317E8</v>
      </c>
      <c r="F374" s="6" t="b">
        <v>0</v>
      </c>
      <c r="H374" s="6" t="s">
        <v>2979</v>
      </c>
      <c r="X374" s="18" t="s">
        <v>146</v>
      </c>
      <c r="Y374" s="18" t="s">
        <v>146</v>
      </c>
      <c r="Z374" s="18">
        <v>27211.0</v>
      </c>
      <c r="AC374" s="18"/>
      <c r="AD374" s="12" t="s">
        <v>152</v>
      </c>
      <c r="AJ374" s="16">
        <f t="array" ref="AJ374">_xlfn.XLOOKUP(
  A374,
  'CMFA-CSCDA Grants'!A:A,
'CMFA-CSCDA Grants'!O:O)</f>
        <v>169</v>
      </c>
      <c r="AK374" s="16">
        <f t="array" ref="AK374">_xlfn.XLOOKUP(
  A374,
  'CMFA-CSCDA Grants'!A:A,
'CMFA-CSCDA Grants'!P:P)</f>
        <v>58</v>
      </c>
      <c r="AL374" s="10">
        <f t="array" ref="AL374">_xlfn.XLOOKUP(
  AD374,
  'Tax Rates'!A:A,
'Tax Rates'!B:B)</f>
        <v>0.0117033</v>
      </c>
    </row>
    <row r="375">
      <c r="A375" s="22">
        <v>16.0</v>
      </c>
      <c r="B375" s="6" t="str">
        <f t="array" ref="B375">_xlfn.XLOOKUP(
  A375,
  'CMFA-CSCDA Grants'!A:A,
'CMFA-CSCDA Grants'!E:E)</f>
        <v>Solano</v>
      </c>
      <c r="C375" s="6" t="str">
        <f t="array" ref="C375">_xlfn.XLOOKUP(
  A375,
  'CMFA-CSCDA Grants'!A:A,
'CMFA-CSCDA Grants'!B:B)</f>
        <v>Montessa Apartments</v>
      </c>
      <c r="D375" s="115">
        <v>1.2810316E8</v>
      </c>
      <c r="F375" s="6" t="b">
        <v>0</v>
      </c>
      <c r="H375" s="6" t="s">
        <v>2979</v>
      </c>
      <c r="X375" s="18" t="s">
        <v>146</v>
      </c>
      <c r="Y375" s="18" t="s">
        <v>146</v>
      </c>
      <c r="Z375" s="18">
        <v>27211.0</v>
      </c>
      <c r="AC375" s="18"/>
      <c r="AD375" s="12" t="s">
        <v>152</v>
      </c>
      <c r="AJ375" s="16">
        <f t="array" ref="AJ375">_xlfn.XLOOKUP(
  A375,
  'CMFA-CSCDA Grants'!A:A,
'CMFA-CSCDA Grants'!O:O)</f>
        <v>169</v>
      </c>
      <c r="AK375" s="16">
        <f t="array" ref="AK375">_xlfn.XLOOKUP(
  A375,
  'CMFA-CSCDA Grants'!A:A,
'CMFA-CSCDA Grants'!P:P)</f>
        <v>58</v>
      </c>
      <c r="AL375" s="10">
        <f t="array" ref="AL375">_xlfn.XLOOKUP(
  AD375,
  'Tax Rates'!A:A,
'Tax Rates'!B:B)</f>
        <v>0.0117033</v>
      </c>
    </row>
    <row r="376">
      <c r="A376" s="22">
        <v>16.0</v>
      </c>
      <c r="B376" s="6" t="str">
        <f t="array" ref="B376">_xlfn.XLOOKUP(
  A376,
  'CMFA-CSCDA Grants'!A:A,
'CMFA-CSCDA Grants'!E:E)</f>
        <v>Solano</v>
      </c>
      <c r="C376" s="6" t="str">
        <f t="array" ref="C376">_xlfn.XLOOKUP(
  A376,
  'CMFA-CSCDA Grants'!A:A,
'CMFA-CSCDA Grants'!B:B)</f>
        <v>Montessa Apartments</v>
      </c>
      <c r="D376" s="115">
        <v>1.2810315E8</v>
      </c>
      <c r="F376" s="6" t="b">
        <v>0</v>
      </c>
      <c r="H376" s="6" t="s">
        <v>2979</v>
      </c>
      <c r="X376" s="18" t="s">
        <v>146</v>
      </c>
      <c r="Y376" s="18" t="s">
        <v>146</v>
      </c>
      <c r="Z376" s="18">
        <v>27211.0</v>
      </c>
      <c r="AC376" s="18"/>
      <c r="AD376" s="12" t="s">
        <v>152</v>
      </c>
      <c r="AJ376" s="16">
        <f t="array" ref="AJ376">_xlfn.XLOOKUP(
  A376,
  'CMFA-CSCDA Grants'!A:A,
'CMFA-CSCDA Grants'!O:O)</f>
        <v>169</v>
      </c>
      <c r="AK376" s="16">
        <f t="array" ref="AK376">_xlfn.XLOOKUP(
  A376,
  'CMFA-CSCDA Grants'!A:A,
'CMFA-CSCDA Grants'!P:P)</f>
        <v>58</v>
      </c>
      <c r="AL376" s="10">
        <f t="array" ref="AL376">_xlfn.XLOOKUP(
  AD376,
  'Tax Rates'!A:A,
'Tax Rates'!B:B)</f>
        <v>0.0117033</v>
      </c>
    </row>
    <row r="377">
      <c r="A377" s="22">
        <v>16.0</v>
      </c>
      <c r="B377" s="6" t="str">
        <f t="array" ref="B377">_xlfn.XLOOKUP(
  A377,
  'CMFA-CSCDA Grants'!A:A,
'CMFA-CSCDA Grants'!E:E)</f>
        <v>Solano</v>
      </c>
      <c r="C377" s="6" t="str">
        <f t="array" ref="C377">_xlfn.XLOOKUP(
  A377,
  'CMFA-CSCDA Grants'!A:A,
'CMFA-CSCDA Grants'!B:B)</f>
        <v>Montessa Apartments</v>
      </c>
      <c r="D377" s="115">
        <v>1.2810314E8</v>
      </c>
      <c r="F377" s="6" t="b">
        <v>0</v>
      </c>
      <c r="H377" s="6" t="s">
        <v>2979</v>
      </c>
      <c r="X377" s="18" t="s">
        <v>146</v>
      </c>
      <c r="Y377" s="18" t="s">
        <v>146</v>
      </c>
      <c r="Z377" s="18">
        <v>6874.0</v>
      </c>
      <c r="AC377" s="18"/>
      <c r="AD377" s="12" t="s">
        <v>152</v>
      </c>
      <c r="AJ377" s="16">
        <f t="array" ref="AJ377">_xlfn.XLOOKUP(
  A377,
  'CMFA-CSCDA Grants'!A:A,
'CMFA-CSCDA Grants'!O:O)</f>
        <v>169</v>
      </c>
      <c r="AK377" s="16">
        <f t="array" ref="AK377">_xlfn.XLOOKUP(
  A377,
  'CMFA-CSCDA Grants'!A:A,
'CMFA-CSCDA Grants'!P:P)</f>
        <v>58</v>
      </c>
      <c r="AL377" s="10">
        <f t="array" ref="AL377">_xlfn.XLOOKUP(
  AD377,
  'Tax Rates'!A:A,
'Tax Rates'!B:B)</f>
        <v>0.0117033</v>
      </c>
    </row>
    <row r="378">
      <c r="A378" s="22">
        <v>16.0</v>
      </c>
      <c r="B378" s="6" t="str">
        <f t="array" ref="B378">_xlfn.XLOOKUP(
  A378,
  'CMFA-CSCDA Grants'!A:A,
'CMFA-CSCDA Grants'!E:E)</f>
        <v>Solano</v>
      </c>
      <c r="C378" s="6" t="str">
        <f t="array" ref="C378">_xlfn.XLOOKUP(
  A378,
  'CMFA-CSCDA Grants'!A:A,
'CMFA-CSCDA Grants'!B:B)</f>
        <v>Montessa Apartments</v>
      </c>
      <c r="D378" s="115">
        <v>1.2810313E8</v>
      </c>
      <c r="F378" s="6" t="b">
        <v>0</v>
      </c>
      <c r="H378" s="6" t="s">
        <v>2979</v>
      </c>
      <c r="X378" s="18" t="s">
        <v>146</v>
      </c>
      <c r="Y378" s="18" t="s">
        <v>146</v>
      </c>
      <c r="Z378" s="18">
        <v>6874.0</v>
      </c>
      <c r="AC378" s="18"/>
      <c r="AD378" s="12" t="s">
        <v>152</v>
      </c>
      <c r="AJ378" s="16">
        <f t="array" ref="AJ378">_xlfn.XLOOKUP(
  A378,
  'CMFA-CSCDA Grants'!A:A,
'CMFA-CSCDA Grants'!O:O)</f>
        <v>169</v>
      </c>
      <c r="AK378" s="16">
        <f t="array" ref="AK378">_xlfn.XLOOKUP(
  A378,
  'CMFA-CSCDA Grants'!A:A,
'CMFA-CSCDA Grants'!P:P)</f>
        <v>58</v>
      </c>
      <c r="AL378" s="10">
        <f t="array" ref="AL378">_xlfn.XLOOKUP(
  AD378,
  'Tax Rates'!A:A,
'Tax Rates'!B:B)</f>
        <v>0.0117033</v>
      </c>
    </row>
    <row r="379">
      <c r="A379" s="22">
        <v>16.0</v>
      </c>
      <c r="B379" s="6" t="str">
        <f t="array" ref="B379">_xlfn.XLOOKUP(
  A379,
  'CMFA-CSCDA Grants'!A:A,
'CMFA-CSCDA Grants'!E:E)</f>
        <v>Solano</v>
      </c>
      <c r="C379" s="6" t="str">
        <f t="array" ref="C379">_xlfn.XLOOKUP(
  A379,
  'CMFA-CSCDA Grants'!A:A,
'CMFA-CSCDA Grants'!B:B)</f>
        <v>Montessa Apartments</v>
      </c>
      <c r="D379" s="115">
        <v>1.2810312E8</v>
      </c>
      <c r="F379" s="6" t="b">
        <v>0</v>
      </c>
      <c r="H379" s="6" t="s">
        <v>2979</v>
      </c>
      <c r="X379" s="18" t="s">
        <v>146</v>
      </c>
      <c r="Y379" s="18" t="s">
        <v>146</v>
      </c>
      <c r="Z379" s="18">
        <v>6874.0</v>
      </c>
      <c r="AC379" s="18"/>
      <c r="AD379" s="12" t="s">
        <v>152</v>
      </c>
      <c r="AJ379" s="16">
        <f t="array" ref="AJ379">_xlfn.XLOOKUP(
  A379,
  'CMFA-CSCDA Grants'!A:A,
'CMFA-CSCDA Grants'!O:O)</f>
        <v>169</v>
      </c>
      <c r="AK379" s="16">
        <f t="array" ref="AK379">_xlfn.XLOOKUP(
  A379,
  'CMFA-CSCDA Grants'!A:A,
'CMFA-CSCDA Grants'!P:P)</f>
        <v>58</v>
      </c>
      <c r="AL379" s="10">
        <f t="array" ref="AL379">_xlfn.XLOOKUP(
  AD379,
  'Tax Rates'!A:A,
'Tax Rates'!B:B)</f>
        <v>0.0117033</v>
      </c>
    </row>
    <row r="380">
      <c r="A380" s="22">
        <v>16.0</v>
      </c>
      <c r="B380" s="6" t="str">
        <f t="array" ref="B380">_xlfn.XLOOKUP(
  A380,
  'CMFA-CSCDA Grants'!A:A,
'CMFA-CSCDA Grants'!E:E)</f>
        <v>Solano</v>
      </c>
      <c r="C380" s="6" t="str">
        <f t="array" ref="C380">_xlfn.XLOOKUP(
  A380,
  'CMFA-CSCDA Grants'!A:A,
'CMFA-CSCDA Grants'!B:B)</f>
        <v>Montessa Apartments</v>
      </c>
      <c r="D380" s="115">
        <v>1.2810311E8</v>
      </c>
      <c r="F380" s="6" t="b">
        <v>0</v>
      </c>
      <c r="H380" s="6" t="s">
        <v>2979</v>
      </c>
      <c r="X380" s="18" t="s">
        <v>146</v>
      </c>
      <c r="Y380" s="18" t="s">
        <v>146</v>
      </c>
      <c r="Z380" s="18">
        <v>6874.0</v>
      </c>
      <c r="AC380" s="18"/>
      <c r="AD380" s="12" t="s">
        <v>152</v>
      </c>
      <c r="AJ380" s="16">
        <f t="array" ref="AJ380">_xlfn.XLOOKUP(
  A380,
  'CMFA-CSCDA Grants'!A:A,
'CMFA-CSCDA Grants'!O:O)</f>
        <v>169</v>
      </c>
      <c r="AK380" s="16">
        <f t="array" ref="AK380">_xlfn.XLOOKUP(
  A380,
  'CMFA-CSCDA Grants'!A:A,
'CMFA-CSCDA Grants'!P:P)</f>
        <v>58</v>
      </c>
      <c r="AL380" s="10">
        <f t="array" ref="AL380">_xlfn.XLOOKUP(
  AD380,
  'Tax Rates'!A:A,
'Tax Rates'!B:B)</f>
        <v>0.0117033</v>
      </c>
    </row>
    <row r="381">
      <c r="A381" s="22">
        <v>16.0</v>
      </c>
      <c r="B381" s="6" t="str">
        <f t="array" ref="B381">_xlfn.XLOOKUP(
  A381,
  'CMFA-CSCDA Grants'!A:A,
'CMFA-CSCDA Grants'!E:E)</f>
        <v>Solano</v>
      </c>
      <c r="C381" s="6" t="str">
        <f t="array" ref="C381">_xlfn.XLOOKUP(
  A381,
  'CMFA-CSCDA Grants'!A:A,
'CMFA-CSCDA Grants'!B:B)</f>
        <v>Montessa Apartments</v>
      </c>
      <c r="D381" s="115">
        <v>1.281031E8</v>
      </c>
      <c r="F381" s="6" t="b">
        <v>0</v>
      </c>
      <c r="H381" s="6" t="s">
        <v>2979</v>
      </c>
      <c r="X381" s="18" t="s">
        <v>146</v>
      </c>
      <c r="Y381" s="18" t="s">
        <v>146</v>
      </c>
      <c r="Z381" s="18">
        <v>8329.0</v>
      </c>
      <c r="AC381" s="18"/>
      <c r="AD381" s="12" t="s">
        <v>152</v>
      </c>
      <c r="AJ381" s="16">
        <f t="array" ref="AJ381">_xlfn.XLOOKUP(
  A381,
  'CMFA-CSCDA Grants'!A:A,
'CMFA-CSCDA Grants'!O:O)</f>
        <v>169</v>
      </c>
      <c r="AK381" s="16">
        <f t="array" ref="AK381">_xlfn.XLOOKUP(
  A381,
  'CMFA-CSCDA Grants'!A:A,
'CMFA-CSCDA Grants'!P:P)</f>
        <v>58</v>
      </c>
      <c r="AL381" s="10">
        <f t="array" ref="AL381">_xlfn.XLOOKUP(
  AD381,
  'Tax Rates'!A:A,
'Tax Rates'!B:B)</f>
        <v>0.0117033</v>
      </c>
    </row>
    <row r="382">
      <c r="A382" s="22">
        <v>16.0</v>
      </c>
      <c r="B382" s="6" t="str">
        <f t="array" ref="B382">_xlfn.XLOOKUP(
  A382,
  'CMFA-CSCDA Grants'!A:A,
'CMFA-CSCDA Grants'!E:E)</f>
        <v>Solano</v>
      </c>
      <c r="C382" s="6" t="str">
        <f t="array" ref="C382">_xlfn.XLOOKUP(
  A382,
  'CMFA-CSCDA Grants'!A:A,
'CMFA-CSCDA Grants'!B:B)</f>
        <v>Montessa Apartments</v>
      </c>
      <c r="D382" s="115">
        <v>1.2810506E8</v>
      </c>
      <c r="F382" s="6" t="b">
        <v>0</v>
      </c>
      <c r="H382" s="6" t="s">
        <v>2979</v>
      </c>
      <c r="X382" s="18" t="s">
        <v>146</v>
      </c>
      <c r="Y382" s="18" t="s">
        <v>146</v>
      </c>
      <c r="Z382" s="18" t="s">
        <v>146</v>
      </c>
      <c r="AC382" s="18"/>
      <c r="AD382" s="12" t="s">
        <v>152</v>
      </c>
      <c r="AJ382" s="16">
        <f t="array" ref="AJ382">_xlfn.XLOOKUP(
  A382,
  'CMFA-CSCDA Grants'!A:A,
'CMFA-CSCDA Grants'!O:O)</f>
        <v>169</v>
      </c>
      <c r="AK382" s="16">
        <f t="array" ref="AK382">_xlfn.XLOOKUP(
  A382,
  'CMFA-CSCDA Grants'!A:A,
'CMFA-CSCDA Grants'!P:P)</f>
        <v>58</v>
      </c>
      <c r="AL382" s="10">
        <f t="array" ref="AL382">_xlfn.XLOOKUP(
  AD382,
  'Tax Rates'!A:A,
'Tax Rates'!B:B)</f>
        <v>0.0117033</v>
      </c>
    </row>
    <row r="383">
      <c r="A383" s="22">
        <v>16.0</v>
      </c>
      <c r="B383" s="6" t="str">
        <f t="array" ref="B383">_xlfn.XLOOKUP(
  A383,
  'CMFA-CSCDA Grants'!A:A,
'CMFA-CSCDA Grants'!E:E)</f>
        <v>Solano</v>
      </c>
      <c r="C383" s="6" t="str">
        <f t="array" ref="C383">_xlfn.XLOOKUP(
  A383,
  'CMFA-CSCDA Grants'!A:A,
'CMFA-CSCDA Grants'!B:B)</f>
        <v>Montessa Apartments</v>
      </c>
      <c r="D383" s="115">
        <v>1.2810505E8</v>
      </c>
      <c r="F383" s="6" t="b">
        <v>0</v>
      </c>
      <c r="H383" s="6" t="s">
        <v>2979</v>
      </c>
      <c r="X383" s="18" t="s">
        <v>146</v>
      </c>
      <c r="Y383" s="18" t="s">
        <v>146</v>
      </c>
      <c r="Z383" s="18">
        <v>11538.0</v>
      </c>
      <c r="AC383" s="18"/>
      <c r="AD383" s="12" t="s">
        <v>152</v>
      </c>
      <c r="AJ383" s="16">
        <f t="array" ref="AJ383">_xlfn.XLOOKUP(
  A383,
  'CMFA-CSCDA Grants'!A:A,
'CMFA-CSCDA Grants'!O:O)</f>
        <v>169</v>
      </c>
      <c r="AK383" s="16">
        <f t="array" ref="AK383">_xlfn.XLOOKUP(
  A383,
  'CMFA-CSCDA Grants'!A:A,
'CMFA-CSCDA Grants'!P:P)</f>
        <v>58</v>
      </c>
      <c r="AL383" s="10">
        <f t="array" ref="AL383">_xlfn.XLOOKUP(
  AD383,
  'Tax Rates'!A:A,
'Tax Rates'!B:B)</f>
        <v>0.0117033</v>
      </c>
    </row>
    <row r="384">
      <c r="A384" s="22">
        <v>16.0</v>
      </c>
      <c r="B384" s="6" t="str">
        <f t="array" ref="B384">_xlfn.XLOOKUP(
  A384,
  'CMFA-CSCDA Grants'!A:A,
'CMFA-CSCDA Grants'!E:E)</f>
        <v>Solano</v>
      </c>
      <c r="C384" s="6" t="str">
        <f t="array" ref="C384">_xlfn.XLOOKUP(
  A384,
  'CMFA-CSCDA Grants'!A:A,
'CMFA-CSCDA Grants'!B:B)</f>
        <v>Montessa Apartments</v>
      </c>
      <c r="D384" s="115">
        <v>1.2810504E8</v>
      </c>
      <c r="F384" s="6" t="b">
        <v>0</v>
      </c>
      <c r="H384" s="6" t="s">
        <v>2979</v>
      </c>
      <c r="X384" s="18" t="s">
        <v>146</v>
      </c>
      <c r="Y384" s="18" t="s">
        <v>146</v>
      </c>
      <c r="Z384" s="18">
        <v>11625.0</v>
      </c>
      <c r="AC384" s="18"/>
      <c r="AD384" s="12" t="s">
        <v>152</v>
      </c>
      <c r="AJ384" s="16">
        <f t="array" ref="AJ384">_xlfn.XLOOKUP(
  A384,
  'CMFA-CSCDA Grants'!A:A,
'CMFA-CSCDA Grants'!O:O)</f>
        <v>169</v>
      </c>
      <c r="AK384" s="16">
        <f t="array" ref="AK384">_xlfn.XLOOKUP(
  A384,
  'CMFA-CSCDA Grants'!A:A,
'CMFA-CSCDA Grants'!P:P)</f>
        <v>58</v>
      </c>
      <c r="AL384" s="10">
        <f t="array" ref="AL384">_xlfn.XLOOKUP(
  AD384,
  'Tax Rates'!A:A,
'Tax Rates'!B:B)</f>
        <v>0.0117033</v>
      </c>
    </row>
    <row r="385">
      <c r="A385" s="22">
        <v>16.0</v>
      </c>
      <c r="B385" s="6" t="str">
        <f t="array" ref="B385">_xlfn.XLOOKUP(
  A385,
  'CMFA-CSCDA Grants'!A:A,
'CMFA-CSCDA Grants'!E:E)</f>
        <v>Solano</v>
      </c>
      <c r="C385" s="6" t="str">
        <f t="array" ref="C385">_xlfn.XLOOKUP(
  A385,
  'CMFA-CSCDA Grants'!A:A,
'CMFA-CSCDA Grants'!B:B)</f>
        <v>Montessa Apartments</v>
      </c>
      <c r="D385" s="115">
        <v>1.2810503E8</v>
      </c>
      <c r="F385" s="6" t="b">
        <v>0</v>
      </c>
      <c r="H385" s="6" t="s">
        <v>2979</v>
      </c>
      <c r="X385" s="18" t="s">
        <v>146</v>
      </c>
      <c r="Y385" s="18" t="s">
        <v>146</v>
      </c>
      <c r="Z385" s="18">
        <v>11618.0</v>
      </c>
      <c r="AC385" s="18"/>
      <c r="AD385" s="12" t="s">
        <v>152</v>
      </c>
      <c r="AJ385" s="16">
        <f t="array" ref="AJ385">_xlfn.XLOOKUP(
  A385,
  'CMFA-CSCDA Grants'!A:A,
'CMFA-CSCDA Grants'!O:O)</f>
        <v>169</v>
      </c>
      <c r="AK385" s="16">
        <f t="array" ref="AK385">_xlfn.XLOOKUP(
  A385,
  'CMFA-CSCDA Grants'!A:A,
'CMFA-CSCDA Grants'!P:P)</f>
        <v>58</v>
      </c>
      <c r="AL385" s="10">
        <f t="array" ref="AL385">_xlfn.XLOOKUP(
  AD385,
  'Tax Rates'!A:A,
'Tax Rates'!B:B)</f>
        <v>0.0117033</v>
      </c>
    </row>
    <row r="386">
      <c r="A386" s="22">
        <v>16.0</v>
      </c>
      <c r="B386" s="6" t="str">
        <f t="array" ref="B386">_xlfn.XLOOKUP(
  A386,
  'CMFA-CSCDA Grants'!A:A,
'CMFA-CSCDA Grants'!E:E)</f>
        <v>Solano</v>
      </c>
      <c r="C386" s="6" t="str">
        <f t="array" ref="C386">_xlfn.XLOOKUP(
  A386,
  'CMFA-CSCDA Grants'!A:A,
'CMFA-CSCDA Grants'!B:B)</f>
        <v>Montessa Apartments</v>
      </c>
      <c r="D386" s="115">
        <v>1.2810502E8</v>
      </c>
      <c r="F386" s="6" t="b">
        <v>0</v>
      </c>
      <c r="H386" s="6" t="s">
        <v>2979</v>
      </c>
      <c r="X386" s="18" t="s">
        <v>146</v>
      </c>
      <c r="Y386" s="18" t="s">
        <v>146</v>
      </c>
      <c r="Z386" s="18">
        <v>11609.0</v>
      </c>
      <c r="AC386" s="18"/>
      <c r="AD386" s="12" t="s">
        <v>152</v>
      </c>
      <c r="AJ386" s="16">
        <f t="array" ref="AJ386">_xlfn.XLOOKUP(
  A386,
  'CMFA-CSCDA Grants'!A:A,
'CMFA-CSCDA Grants'!O:O)</f>
        <v>169</v>
      </c>
      <c r="AK386" s="16">
        <f t="array" ref="AK386">_xlfn.XLOOKUP(
  A386,
  'CMFA-CSCDA Grants'!A:A,
'CMFA-CSCDA Grants'!P:P)</f>
        <v>58</v>
      </c>
      <c r="AL386" s="10">
        <f t="array" ref="AL386">_xlfn.XLOOKUP(
  AD386,
  'Tax Rates'!A:A,
'Tax Rates'!B:B)</f>
        <v>0.0117033</v>
      </c>
    </row>
    <row r="387">
      <c r="A387" s="22">
        <v>16.0</v>
      </c>
      <c r="B387" s="6" t="str">
        <f t="array" ref="B387">_xlfn.XLOOKUP(
  A387,
  'CMFA-CSCDA Grants'!A:A,
'CMFA-CSCDA Grants'!E:E)</f>
        <v>Solano</v>
      </c>
      <c r="C387" s="6" t="str">
        <f t="array" ref="C387">_xlfn.XLOOKUP(
  A387,
  'CMFA-CSCDA Grants'!A:A,
'CMFA-CSCDA Grants'!B:B)</f>
        <v>Montessa Apartments</v>
      </c>
      <c r="D387" s="115">
        <v>1.2810501E8</v>
      </c>
      <c r="F387" s="6" t="b">
        <v>0</v>
      </c>
      <c r="H387" s="6" t="s">
        <v>2979</v>
      </c>
      <c r="X387" s="18" t="s">
        <v>146</v>
      </c>
      <c r="Y387" s="18" t="s">
        <v>146</v>
      </c>
      <c r="Z387" s="18">
        <v>11771.0</v>
      </c>
      <c r="AC387" s="18"/>
      <c r="AD387" s="12" t="s">
        <v>152</v>
      </c>
      <c r="AJ387" s="16">
        <f t="array" ref="AJ387">_xlfn.XLOOKUP(
  A387,
  'CMFA-CSCDA Grants'!A:A,
'CMFA-CSCDA Grants'!O:O)</f>
        <v>169</v>
      </c>
      <c r="AK387" s="16">
        <f t="array" ref="AK387">_xlfn.XLOOKUP(
  A387,
  'CMFA-CSCDA Grants'!A:A,
'CMFA-CSCDA Grants'!P:P)</f>
        <v>58</v>
      </c>
      <c r="AL387" s="10">
        <f t="array" ref="AL387">_xlfn.XLOOKUP(
  AD387,
  'Tax Rates'!A:A,
'Tax Rates'!B:B)</f>
        <v>0.0117033</v>
      </c>
    </row>
    <row r="388">
      <c r="A388" s="22">
        <v>16.0</v>
      </c>
      <c r="B388" s="6" t="str">
        <f t="array" ref="B388">_xlfn.XLOOKUP(
  A388,
  'CMFA-CSCDA Grants'!A:A,
'CMFA-CSCDA Grants'!E:E)</f>
        <v>Solano</v>
      </c>
      <c r="C388" s="6" t="str">
        <f t="array" ref="C388">_xlfn.XLOOKUP(
  A388,
  'CMFA-CSCDA Grants'!A:A,
'CMFA-CSCDA Grants'!B:B)</f>
        <v>Montessa Apartments</v>
      </c>
      <c r="D388" s="115">
        <v>1.2810402E8</v>
      </c>
      <c r="F388" s="6" t="b">
        <v>0</v>
      </c>
      <c r="H388" s="6" t="s">
        <v>2979</v>
      </c>
      <c r="X388" s="18" t="s">
        <v>146</v>
      </c>
      <c r="Y388" s="18" t="s">
        <v>146</v>
      </c>
      <c r="Z388" s="18">
        <v>56604.0</v>
      </c>
      <c r="AC388" s="18"/>
      <c r="AD388" s="12" t="s">
        <v>152</v>
      </c>
      <c r="AJ388" s="16">
        <f t="array" ref="AJ388">_xlfn.XLOOKUP(
  A388,
  'CMFA-CSCDA Grants'!A:A,
'CMFA-CSCDA Grants'!O:O)</f>
        <v>169</v>
      </c>
      <c r="AK388" s="16">
        <f t="array" ref="AK388">_xlfn.XLOOKUP(
  A388,
  'CMFA-CSCDA Grants'!A:A,
'CMFA-CSCDA Grants'!P:P)</f>
        <v>58</v>
      </c>
      <c r="AL388" s="10">
        <f t="array" ref="AL388">_xlfn.XLOOKUP(
  AD388,
  'Tax Rates'!A:A,
'Tax Rates'!B:B)</f>
        <v>0.0117033</v>
      </c>
    </row>
    <row r="389">
      <c r="A389" s="22">
        <v>16.0</v>
      </c>
      <c r="B389" s="6" t="str">
        <f t="array" ref="B389">_xlfn.XLOOKUP(
  A389,
  'CMFA-CSCDA Grants'!A:A,
'CMFA-CSCDA Grants'!E:E)</f>
        <v>Solano</v>
      </c>
      <c r="C389" s="6" t="str">
        <f t="array" ref="C389">_xlfn.XLOOKUP(
  A389,
  'CMFA-CSCDA Grants'!A:A,
'CMFA-CSCDA Grants'!B:B)</f>
        <v>Montessa Apartments</v>
      </c>
      <c r="D389" s="115">
        <v>1.2810401E8</v>
      </c>
      <c r="F389" s="6" t="b">
        <v>0</v>
      </c>
      <c r="H389" s="6" t="s">
        <v>2979</v>
      </c>
      <c r="X389" s="18" t="s">
        <v>146</v>
      </c>
      <c r="Y389" s="18" t="s">
        <v>146</v>
      </c>
      <c r="Z389" s="18">
        <v>60404.0</v>
      </c>
      <c r="AC389" s="18"/>
      <c r="AD389" s="12" t="s">
        <v>152</v>
      </c>
      <c r="AJ389" s="16">
        <f t="array" ref="AJ389">_xlfn.XLOOKUP(
  A389,
  'CMFA-CSCDA Grants'!A:A,
'CMFA-CSCDA Grants'!O:O)</f>
        <v>169</v>
      </c>
      <c r="AK389" s="16">
        <f t="array" ref="AK389">_xlfn.XLOOKUP(
  A389,
  'CMFA-CSCDA Grants'!A:A,
'CMFA-CSCDA Grants'!P:P)</f>
        <v>58</v>
      </c>
      <c r="AL389" s="10">
        <f t="array" ref="AL389">_xlfn.XLOOKUP(
  AD389,
  'Tax Rates'!A:A,
'Tax Rates'!B:B)</f>
        <v>0.0117033</v>
      </c>
    </row>
    <row r="390">
      <c r="A390" s="6">
        <v>225.0</v>
      </c>
      <c r="B390" s="6" t="str">
        <f t="array" ref="B390">_xlfn.XLOOKUP(
  A390,
  'CMFA-CSCDA Grants'!A:A,
'CMFA-CSCDA Grants'!E:E)</f>
        <v>Solano</v>
      </c>
      <c r="C390" s="6" t="str">
        <f t="array" ref="C390">_xlfn.XLOOKUP(
  A390,
  'CMFA-CSCDA Grants'!A:A,
'CMFA-CSCDA Grants'!B:B)</f>
        <v>Bennington Apartments</v>
      </c>
      <c r="D390" s="12"/>
      <c r="F390" s="6" t="b">
        <v>0</v>
      </c>
      <c r="G390" s="6"/>
      <c r="H390" s="6"/>
      <c r="I390" s="6"/>
      <c r="J390" s="6"/>
      <c r="K390" s="6"/>
      <c r="L390" s="6"/>
      <c r="N390" s="6"/>
      <c r="O390" s="6"/>
      <c r="P390" s="6"/>
      <c r="Q390" s="6"/>
      <c r="R390" s="6"/>
      <c r="S390" s="6"/>
      <c r="T390" s="6"/>
      <c r="U390" s="6"/>
      <c r="V390" s="6"/>
      <c r="W390" s="6"/>
      <c r="X390" s="18"/>
      <c r="Y390" s="18"/>
      <c r="Z390" s="18"/>
      <c r="AA390" s="6"/>
      <c r="AB390" s="6"/>
      <c r="AC390" s="18"/>
      <c r="AD390" s="12"/>
      <c r="AE390" s="6"/>
      <c r="AF390" s="6"/>
      <c r="AG390" s="6"/>
      <c r="AH390" s="6"/>
      <c r="AI390" s="6"/>
    </row>
    <row r="391">
      <c r="A391" s="22">
        <v>131.0</v>
      </c>
      <c r="B391" s="6" t="str">
        <f t="array" ref="B391">_xlfn.XLOOKUP(
  A391,
  'CMFA-CSCDA Grants'!A:A,
'CMFA-CSCDA Grants'!E:E)</f>
        <v>Sonoma</v>
      </c>
      <c r="C391" s="6" t="str">
        <f t="array" ref="C391">_xlfn.XLOOKUP(
  A391,
  'CMFA-CSCDA Grants'!A:A,
'CMFA-CSCDA Grants'!B:B)</f>
        <v>Citrine Apartments</v>
      </c>
      <c r="D391" s="24" t="s">
        <v>2925</v>
      </c>
      <c r="F391" s="6" t="b">
        <v>0</v>
      </c>
      <c r="G391" s="6" t="s">
        <v>3416</v>
      </c>
      <c r="H391" s="6" t="s">
        <v>2717</v>
      </c>
      <c r="X391" s="18" t="s">
        <v>146</v>
      </c>
      <c r="Y391" s="18" t="s">
        <v>146</v>
      </c>
      <c r="Z391" s="18">
        <v>1.0140095E7</v>
      </c>
      <c r="AC391" s="18">
        <v>0.0</v>
      </c>
      <c r="AD391" s="12" t="s">
        <v>132</v>
      </c>
      <c r="AJ391" s="16">
        <f t="array" ref="AJ391">_xlfn.XLOOKUP(
  A391,
  'CMFA-CSCDA Grants'!A:A,
'CMFA-CSCDA Grants'!O:O)</f>
        <v>37</v>
      </c>
      <c r="AK391" s="16">
        <f t="array" ref="AK391">_xlfn.XLOOKUP(
  A391,
  'CMFA-CSCDA Grants'!A:A,
'CMFA-CSCDA Grants'!P:P)</f>
        <v>37</v>
      </c>
      <c r="AL391" s="10">
        <f t="array" ref="AL391">_xlfn.XLOOKUP(
  AD391,
  'Tax Rates'!A:A,
'Tax Rates'!B:B)</f>
        <v>0.0115</v>
      </c>
    </row>
    <row r="392">
      <c r="A392" s="12"/>
      <c r="B392" s="6"/>
      <c r="D392" s="12"/>
      <c r="F392" s="6" t="b">
        <v>0</v>
      </c>
      <c r="G392" s="6"/>
      <c r="H392" s="6"/>
      <c r="I392" s="6"/>
      <c r="J392" s="6"/>
      <c r="K392" s="6"/>
      <c r="L392" s="6"/>
      <c r="N392" s="6"/>
      <c r="O392" s="6"/>
      <c r="P392" s="6"/>
      <c r="Q392" s="6"/>
      <c r="R392" s="6"/>
      <c r="S392" s="6"/>
      <c r="T392" s="6"/>
      <c r="U392" s="6"/>
      <c r="V392" s="6"/>
      <c r="W392" s="6"/>
      <c r="X392" s="18"/>
      <c r="Y392" s="18"/>
      <c r="Z392" s="18"/>
      <c r="AA392" s="6"/>
      <c r="AB392" s="6"/>
      <c r="AC392" s="18"/>
      <c r="AD392" s="12"/>
      <c r="AE392" s="6"/>
      <c r="AF392" s="6"/>
      <c r="AG392" s="6"/>
      <c r="AH392" s="6"/>
      <c r="AI392" s="6"/>
    </row>
    <row r="393">
      <c r="A393" s="12"/>
      <c r="B393" s="6"/>
      <c r="C393" s="6"/>
      <c r="D393" s="12"/>
      <c r="F393" s="6" t="b">
        <v>0</v>
      </c>
      <c r="G393" s="6"/>
      <c r="H393" s="6"/>
      <c r="I393" s="6"/>
      <c r="J393" s="6"/>
      <c r="K393" s="6"/>
      <c r="L393" s="6"/>
      <c r="N393" s="6"/>
      <c r="O393" s="6"/>
      <c r="P393" s="6"/>
      <c r="Q393" s="6"/>
      <c r="R393" s="6"/>
      <c r="S393" s="6"/>
      <c r="T393" s="6"/>
      <c r="U393" s="6"/>
      <c r="V393" s="6"/>
      <c r="W393" s="6"/>
      <c r="X393" s="18"/>
      <c r="Y393" s="18"/>
      <c r="Z393" s="18"/>
      <c r="AA393" s="6"/>
      <c r="AB393" s="6"/>
      <c r="AC393" s="18"/>
      <c r="AD393" s="12"/>
      <c r="AE393" s="6"/>
      <c r="AF393" s="6"/>
      <c r="AG393" s="6"/>
      <c r="AH393" s="6"/>
      <c r="AI393" s="6"/>
    </row>
    <row r="394">
      <c r="A394" s="12"/>
      <c r="B394" s="6"/>
      <c r="C394" s="6"/>
      <c r="D394" s="12"/>
      <c r="F394" s="6" t="b">
        <v>0</v>
      </c>
      <c r="G394" s="6"/>
      <c r="H394" s="6"/>
      <c r="I394" s="6"/>
      <c r="J394" s="6"/>
      <c r="K394" s="6"/>
      <c r="L394" s="6"/>
      <c r="N394" s="6"/>
      <c r="O394" s="6"/>
      <c r="P394" s="6"/>
      <c r="Q394" s="6"/>
      <c r="R394" s="6"/>
      <c r="S394" s="6"/>
      <c r="T394" s="6"/>
      <c r="U394" s="6"/>
      <c r="V394" s="6"/>
      <c r="W394" s="6"/>
      <c r="X394" s="18"/>
      <c r="Y394" s="18"/>
      <c r="Z394" s="18"/>
      <c r="AA394" s="6"/>
      <c r="AB394" s="6"/>
      <c r="AC394" s="18"/>
      <c r="AD394" s="12"/>
      <c r="AE394" s="6"/>
      <c r="AF394" s="6"/>
      <c r="AG394" s="6"/>
      <c r="AH394" s="6"/>
      <c r="AI394" s="6"/>
    </row>
    <row r="395">
      <c r="A395" s="12"/>
      <c r="B395" s="6"/>
      <c r="C395" s="6"/>
      <c r="D395" s="12"/>
      <c r="F395" s="6" t="b">
        <v>0</v>
      </c>
      <c r="G395" s="6"/>
      <c r="H395" s="6"/>
      <c r="I395" s="6"/>
      <c r="J395" s="6"/>
      <c r="K395" s="6"/>
      <c r="L395" s="6"/>
      <c r="N395" s="6"/>
      <c r="O395" s="6"/>
      <c r="P395" s="6"/>
      <c r="Q395" s="6"/>
      <c r="R395" s="6"/>
      <c r="S395" s="6"/>
      <c r="T395" s="6"/>
      <c r="U395" s="6"/>
      <c r="V395" s="6"/>
      <c r="W395" s="6"/>
      <c r="X395" s="18"/>
      <c r="Y395" s="18"/>
      <c r="Z395" s="18"/>
      <c r="AA395" s="6"/>
      <c r="AB395" s="6"/>
      <c r="AC395" s="18"/>
      <c r="AD395" s="12"/>
      <c r="AE395" s="6"/>
      <c r="AF395" s="6"/>
      <c r="AG395" s="6"/>
      <c r="AH395" s="6"/>
      <c r="AI395" s="6"/>
    </row>
    <row r="396">
      <c r="A396" s="12"/>
      <c r="B396" s="6"/>
      <c r="C396" s="6"/>
      <c r="D396" s="12"/>
      <c r="F396" s="6" t="b">
        <v>0</v>
      </c>
      <c r="G396" s="6"/>
      <c r="H396" s="6"/>
      <c r="I396" s="6"/>
      <c r="J396" s="6"/>
      <c r="K396" s="6"/>
      <c r="L396" s="6"/>
      <c r="N396" s="6"/>
      <c r="O396" s="6"/>
      <c r="P396" s="6"/>
      <c r="Q396" s="6"/>
      <c r="R396" s="6"/>
      <c r="S396" s="6"/>
      <c r="T396" s="6"/>
      <c r="U396" s="6"/>
      <c r="V396" s="6"/>
      <c r="W396" s="6"/>
      <c r="X396" s="18"/>
      <c r="Y396" s="18"/>
      <c r="Z396" s="18"/>
      <c r="AA396" s="6"/>
      <c r="AB396" s="6"/>
      <c r="AC396" s="18"/>
      <c r="AD396" s="12"/>
      <c r="AE396" s="6"/>
      <c r="AF396" s="6"/>
      <c r="AG396" s="6"/>
      <c r="AH396" s="6"/>
      <c r="AI396" s="6"/>
    </row>
    <row r="397">
      <c r="A397" s="12"/>
      <c r="B397" s="6"/>
      <c r="C397" s="6"/>
      <c r="D397" s="12"/>
      <c r="F397" s="6" t="b">
        <v>0</v>
      </c>
      <c r="G397" s="6"/>
      <c r="H397" s="6"/>
      <c r="I397" s="6"/>
      <c r="J397" s="6"/>
      <c r="K397" s="6"/>
      <c r="L397" s="6"/>
      <c r="N397" s="6"/>
      <c r="O397" s="6"/>
      <c r="P397" s="6"/>
      <c r="Q397" s="6"/>
      <c r="R397" s="6"/>
      <c r="S397" s="6"/>
      <c r="T397" s="6"/>
      <c r="U397" s="6"/>
      <c r="V397" s="6"/>
      <c r="W397" s="6"/>
      <c r="X397" s="18"/>
      <c r="Y397" s="18"/>
      <c r="Z397" s="18"/>
      <c r="AA397" s="6"/>
      <c r="AB397" s="6"/>
      <c r="AC397" s="18"/>
      <c r="AD397" s="12"/>
      <c r="AE397" s="6"/>
      <c r="AF397" s="6"/>
      <c r="AG397" s="6"/>
      <c r="AH397" s="6"/>
      <c r="AI397" s="6"/>
    </row>
    <row r="398">
      <c r="A398" s="12"/>
      <c r="B398" s="6"/>
      <c r="C398" s="6"/>
      <c r="D398" s="12"/>
      <c r="F398" s="6" t="b">
        <v>0</v>
      </c>
      <c r="G398" s="6"/>
      <c r="H398" s="6"/>
      <c r="I398" s="6"/>
      <c r="J398" s="6"/>
      <c r="K398" s="6"/>
      <c r="L398" s="6"/>
      <c r="N398" s="6"/>
      <c r="O398" s="6"/>
      <c r="P398" s="6"/>
      <c r="Q398" s="6"/>
      <c r="R398" s="6"/>
      <c r="S398" s="6"/>
      <c r="T398" s="6"/>
      <c r="U398" s="6"/>
      <c r="V398" s="6"/>
      <c r="W398" s="6"/>
      <c r="X398" s="18"/>
      <c r="Y398" s="18"/>
      <c r="Z398" s="18"/>
      <c r="AA398" s="6"/>
      <c r="AB398" s="6"/>
      <c r="AC398" s="18"/>
      <c r="AD398" s="12"/>
      <c r="AE398" s="6"/>
      <c r="AF398" s="6"/>
      <c r="AG398" s="6"/>
      <c r="AH398" s="6"/>
      <c r="AI398" s="6"/>
    </row>
    <row r="399">
      <c r="A399" s="12"/>
      <c r="B399" s="6"/>
      <c r="C399" s="6"/>
      <c r="D399" s="12"/>
      <c r="F399" s="6" t="b">
        <v>0</v>
      </c>
      <c r="G399" s="6"/>
      <c r="H399" s="6"/>
      <c r="I399" s="6"/>
      <c r="J399" s="6"/>
      <c r="K399" s="6"/>
      <c r="L399" s="6"/>
      <c r="N399" s="6"/>
      <c r="O399" s="6"/>
      <c r="P399" s="6"/>
      <c r="Q399" s="6"/>
      <c r="R399" s="6"/>
      <c r="S399" s="6"/>
      <c r="T399" s="6"/>
      <c r="U399" s="6"/>
      <c r="V399" s="6"/>
      <c r="W399" s="6"/>
      <c r="X399" s="18"/>
      <c r="Y399" s="18"/>
      <c r="Z399" s="18"/>
      <c r="AA399" s="6"/>
      <c r="AB399" s="6"/>
      <c r="AC399" s="18"/>
      <c r="AD399" s="12"/>
      <c r="AE399" s="6"/>
      <c r="AF399" s="6"/>
      <c r="AG399" s="6"/>
      <c r="AH399" s="6"/>
      <c r="AI399" s="6"/>
    </row>
    <row r="400">
      <c r="A400" s="12"/>
      <c r="B400" s="6"/>
      <c r="C400" s="6"/>
      <c r="D400" s="12"/>
      <c r="F400" s="6" t="b">
        <v>0</v>
      </c>
      <c r="G400" s="6"/>
      <c r="H400" s="6"/>
      <c r="I400" s="6"/>
      <c r="J400" s="6"/>
      <c r="K400" s="6"/>
      <c r="L400" s="6"/>
      <c r="N400" s="6"/>
      <c r="O400" s="6"/>
      <c r="P400" s="6"/>
      <c r="Q400" s="6"/>
      <c r="R400" s="6"/>
      <c r="S400" s="6"/>
      <c r="T400" s="6"/>
      <c r="U400" s="6"/>
      <c r="V400" s="6"/>
      <c r="W400" s="6"/>
      <c r="X400" s="18"/>
      <c r="Y400" s="18"/>
      <c r="Z400" s="18"/>
      <c r="AA400" s="6"/>
      <c r="AB400" s="6"/>
      <c r="AC400" s="18"/>
      <c r="AD400" s="12"/>
      <c r="AE400" s="6"/>
      <c r="AF400" s="6"/>
      <c r="AG400" s="6"/>
      <c r="AH400" s="6"/>
      <c r="AI400" s="6"/>
    </row>
    <row r="401">
      <c r="A401" s="12"/>
      <c r="B401" s="6"/>
      <c r="C401" s="6"/>
      <c r="D401" s="12"/>
      <c r="F401" s="6" t="b">
        <v>0</v>
      </c>
      <c r="G401" s="6"/>
      <c r="H401" s="6"/>
      <c r="I401" s="6"/>
      <c r="J401" s="6"/>
      <c r="K401" s="6"/>
      <c r="L401" s="6"/>
      <c r="N401" s="6"/>
      <c r="O401" s="6"/>
      <c r="P401" s="6"/>
      <c r="Q401" s="6"/>
      <c r="R401" s="6"/>
      <c r="S401" s="6"/>
      <c r="T401" s="6"/>
      <c r="U401" s="6"/>
      <c r="V401" s="6"/>
      <c r="W401" s="6"/>
      <c r="X401" s="18"/>
      <c r="Y401" s="18"/>
      <c r="Z401" s="18"/>
      <c r="AA401" s="6"/>
      <c r="AB401" s="6"/>
      <c r="AC401" s="18"/>
      <c r="AD401" s="12"/>
      <c r="AE401" s="6"/>
      <c r="AF401" s="6"/>
      <c r="AG401" s="6"/>
      <c r="AH401" s="6"/>
      <c r="AI401" s="6"/>
    </row>
    <row r="402">
      <c r="A402" s="12"/>
      <c r="B402" s="6"/>
      <c r="C402" s="6"/>
      <c r="D402" s="12"/>
      <c r="F402" s="6" t="b">
        <v>0</v>
      </c>
      <c r="G402" s="6"/>
      <c r="H402" s="6"/>
      <c r="I402" s="6"/>
      <c r="J402" s="6"/>
      <c r="K402" s="6"/>
      <c r="L402" s="6"/>
      <c r="N402" s="6"/>
      <c r="O402" s="6"/>
      <c r="P402" s="6"/>
      <c r="Q402" s="6"/>
      <c r="R402" s="6"/>
      <c r="S402" s="6"/>
      <c r="T402" s="6"/>
      <c r="U402" s="6"/>
      <c r="V402" s="6"/>
      <c r="W402" s="6"/>
      <c r="X402" s="18"/>
      <c r="Y402" s="18"/>
      <c r="Z402" s="18"/>
      <c r="AA402" s="6"/>
      <c r="AB402" s="6"/>
      <c r="AC402" s="18"/>
      <c r="AD402" s="12"/>
      <c r="AE402" s="6"/>
      <c r="AF402" s="6"/>
      <c r="AG402" s="6"/>
      <c r="AH402" s="6"/>
      <c r="AI402" s="6"/>
    </row>
    <row r="403">
      <c r="A403" s="12"/>
      <c r="B403" s="6"/>
      <c r="C403" s="6"/>
      <c r="D403" s="12"/>
      <c r="F403" s="6" t="b">
        <v>0</v>
      </c>
      <c r="G403" s="6"/>
      <c r="H403" s="6"/>
      <c r="I403" s="6"/>
      <c r="J403" s="6"/>
      <c r="K403" s="6"/>
      <c r="L403" s="6"/>
      <c r="N403" s="6"/>
      <c r="O403" s="6"/>
      <c r="P403" s="6"/>
      <c r="Q403" s="6"/>
      <c r="R403" s="6"/>
      <c r="S403" s="6"/>
      <c r="T403" s="6"/>
      <c r="U403" s="6"/>
      <c r="V403" s="6"/>
      <c r="W403" s="6"/>
      <c r="X403" s="18"/>
      <c r="Y403" s="18"/>
      <c r="Z403" s="18"/>
      <c r="AA403" s="6"/>
      <c r="AB403" s="6"/>
      <c r="AC403" s="18"/>
      <c r="AD403" s="12"/>
      <c r="AE403" s="6"/>
      <c r="AF403" s="6"/>
      <c r="AG403" s="6"/>
      <c r="AH403" s="6"/>
      <c r="AI403" s="6"/>
    </row>
    <row r="404">
      <c r="A404" s="12"/>
      <c r="B404" s="6"/>
      <c r="C404" s="6"/>
      <c r="D404" s="12"/>
      <c r="F404" s="6" t="b">
        <v>0</v>
      </c>
      <c r="G404" s="6"/>
      <c r="H404" s="6"/>
      <c r="I404" s="6"/>
      <c r="J404" s="6"/>
      <c r="K404" s="6"/>
      <c r="L404" s="6"/>
      <c r="N404" s="6"/>
      <c r="O404" s="6"/>
      <c r="P404" s="6"/>
      <c r="Q404" s="6"/>
      <c r="R404" s="6"/>
      <c r="S404" s="6"/>
      <c r="T404" s="6"/>
      <c r="U404" s="6"/>
      <c r="V404" s="6"/>
      <c r="W404" s="6"/>
      <c r="X404" s="18"/>
      <c r="Y404" s="18"/>
      <c r="Z404" s="18"/>
      <c r="AA404" s="6"/>
      <c r="AB404" s="6"/>
      <c r="AC404" s="18"/>
      <c r="AD404" s="12"/>
      <c r="AE404" s="6"/>
      <c r="AF404" s="6"/>
      <c r="AG404" s="6"/>
      <c r="AH404" s="6"/>
      <c r="AI404" s="6"/>
    </row>
    <row r="405">
      <c r="A405" s="12"/>
      <c r="B405" s="6"/>
      <c r="C405" s="6"/>
      <c r="D405" s="12"/>
      <c r="F405" s="6" t="b">
        <v>0</v>
      </c>
      <c r="G405" s="6"/>
      <c r="H405" s="6"/>
      <c r="I405" s="6"/>
      <c r="J405" s="6"/>
      <c r="K405" s="6"/>
      <c r="L405" s="6"/>
      <c r="N405" s="6"/>
      <c r="O405" s="6"/>
      <c r="P405" s="6"/>
      <c r="Q405" s="6"/>
      <c r="R405" s="6"/>
      <c r="S405" s="6"/>
      <c r="T405" s="6"/>
      <c r="U405" s="6"/>
      <c r="V405" s="6"/>
      <c r="W405" s="6"/>
      <c r="X405" s="18"/>
      <c r="Y405" s="18"/>
      <c r="Z405" s="18"/>
      <c r="AA405" s="6"/>
      <c r="AB405" s="6"/>
      <c r="AC405" s="18"/>
      <c r="AD405" s="12"/>
      <c r="AE405" s="6"/>
      <c r="AF405" s="6"/>
      <c r="AG405" s="6"/>
      <c r="AH405" s="6"/>
      <c r="AI405" s="6"/>
    </row>
    <row r="406">
      <c r="A406" s="12"/>
      <c r="B406" s="6"/>
      <c r="C406" s="6"/>
      <c r="D406" s="12"/>
      <c r="F406" s="6" t="b">
        <v>0</v>
      </c>
      <c r="G406" s="6"/>
      <c r="H406" s="6"/>
      <c r="I406" s="6"/>
      <c r="J406" s="6"/>
      <c r="K406" s="6"/>
      <c r="L406" s="6"/>
      <c r="N406" s="6"/>
      <c r="O406" s="6"/>
      <c r="P406" s="6"/>
      <c r="Q406" s="6"/>
      <c r="R406" s="6"/>
      <c r="S406" s="6"/>
      <c r="T406" s="6"/>
      <c r="U406" s="6"/>
      <c r="V406" s="6"/>
      <c r="W406" s="6"/>
      <c r="X406" s="18"/>
      <c r="Y406" s="18"/>
      <c r="Z406" s="18"/>
      <c r="AA406" s="6"/>
      <c r="AB406" s="6"/>
      <c r="AC406" s="18"/>
      <c r="AD406" s="12"/>
      <c r="AE406" s="6"/>
      <c r="AF406" s="6"/>
      <c r="AG406" s="6"/>
      <c r="AH406" s="6"/>
      <c r="AI406" s="6"/>
    </row>
    <row r="407">
      <c r="A407" s="12"/>
      <c r="B407" s="6"/>
      <c r="C407" s="6"/>
      <c r="D407" s="12"/>
      <c r="F407" s="6" t="b">
        <v>0</v>
      </c>
      <c r="G407" s="6"/>
      <c r="H407" s="6"/>
      <c r="I407" s="6"/>
      <c r="J407" s="6"/>
      <c r="K407" s="6"/>
      <c r="L407" s="6"/>
      <c r="N407" s="6"/>
      <c r="O407" s="6"/>
      <c r="P407" s="6"/>
      <c r="Q407" s="6"/>
      <c r="R407" s="6"/>
      <c r="S407" s="6"/>
      <c r="T407" s="6"/>
      <c r="U407" s="6"/>
      <c r="V407" s="6"/>
      <c r="W407" s="6"/>
      <c r="X407" s="18"/>
      <c r="Y407" s="18"/>
      <c r="Z407" s="18"/>
      <c r="AA407" s="6"/>
      <c r="AB407" s="6"/>
      <c r="AC407" s="18"/>
      <c r="AD407" s="12"/>
      <c r="AE407" s="6"/>
      <c r="AF407" s="6"/>
      <c r="AG407" s="6"/>
      <c r="AH407" s="6"/>
      <c r="AI407" s="6"/>
    </row>
    <row r="408">
      <c r="A408" s="12"/>
      <c r="B408" s="6"/>
      <c r="C408" s="6"/>
      <c r="D408" s="12"/>
      <c r="F408" s="6" t="b">
        <v>0</v>
      </c>
      <c r="G408" s="6"/>
      <c r="H408" s="6"/>
      <c r="I408" s="6"/>
      <c r="J408" s="6"/>
      <c r="K408" s="6"/>
      <c r="L408" s="6"/>
      <c r="N408" s="6"/>
      <c r="O408" s="6"/>
      <c r="P408" s="6"/>
      <c r="Q408" s="6"/>
      <c r="R408" s="6"/>
      <c r="S408" s="6"/>
      <c r="T408" s="6"/>
      <c r="U408" s="6"/>
      <c r="V408" s="6"/>
      <c r="W408" s="6"/>
      <c r="X408" s="18"/>
      <c r="Y408" s="18"/>
      <c r="Z408" s="18"/>
      <c r="AA408" s="6"/>
      <c r="AB408" s="6"/>
      <c r="AC408" s="18"/>
      <c r="AD408" s="12"/>
      <c r="AE408" s="6"/>
      <c r="AF408" s="6"/>
      <c r="AG408" s="6"/>
      <c r="AH408" s="6"/>
      <c r="AI408" s="6"/>
    </row>
    <row r="409">
      <c r="A409" s="12"/>
      <c r="B409" s="6"/>
      <c r="C409" s="6"/>
      <c r="D409" s="12"/>
      <c r="F409" s="6" t="b">
        <v>0</v>
      </c>
      <c r="G409" s="6"/>
      <c r="H409" s="6"/>
      <c r="I409" s="6"/>
      <c r="J409" s="6"/>
      <c r="K409" s="6"/>
      <c r="L409" s="6"/>
      <c r="N409" s="6"/>
      <c r="O409" s="6"/>
      <c r="P409" s="6"/>
      <c r="Q409" s="6"/>
      <c r="R409" s="6"/>
      <c r="S409" s="6"/>
      <c r="T409" s="6"/>
      <c r="U409" s="6"/>
      <c r="V409" s="6"/>
      <c r="W409" s="6"/>
      <c r="X409" s="18"/>
      <c r="Y409" s="18"/>
      <c r="Z409" s="18"/>
      <c r="AA409" s="6"/>
      <c r="AB409" s="6"/>
      <c r="AC409" s="18"/>
      <c r="AD409" s="12"/>
      <c r="AE409" s="6"/>
      <c r="AF409" s="6"/>
      <c r="AG409" s="6"/>
      <c r="AH409" s="6"/>
      <c r="AI409" s="6"/>
    </row>
    <row r="410">
      <c r="A410" s="12"/>
      <c r="B410" s="6"/>
      <c r="C410" s="6"/>
      <c r="D410" s="12"/>
      <c r="F410" s="6" t="b">
        <v>0</v>
      </c>
      <c r="G410" s="6"/>
      <c r="H410" s="6"/>
      <c r="I410" s="6"/>
      <c r="J410" s="6"/>
      <c r="K410" s="6"/>
      <c r="L410" s="6"/>
      <c r="N410" s="6"/>
      <c r="O410" s="6"/>
      <c r="P410" s="6"/>
      <c r="Q410" s="6"/>
      <c r="R410" s="6"/>
      <c r="S410" s="6"/>
      <c r="T410" s="6"/>
      <c r="U410" s="6"/>
      <c r="V410" s="6"/>
      <c r="W410" s="6"/>
      <c r="X410" s="18"/>
      <c r="Y410" s="18"/>
      <c r="Z410" s="18"/>
      <c r="AA410" s="6"/>
      <c r="AB410" s="6"/>
      <c r="AC410" s="18"/>
      <c r="AD410" s="12"/>
      <c r="AE410" s="6"/>
      <c r="AF410" s="6"/>
      <c r="AG410" s="6"/>
      <c r="AH410" s="6"/>
      <c r="AI410" s="6"/>
    </row>
    <row r="411">
      <c r="A411" s="12"/>
      <c r="B411" s="6"/>
      <c r="C411" s="6"/>
      <c r="D411" s="12"/>
      <c r="F411" s="6" t="b">
        <v>0</v>
      </c>
      <c r="G411" s="6"/>
      <c r="H411" s="6"/>
      <c r="I411" s="6"/>
      <c r="J411" s="6"/>
      <c r="K411" s="6"/>
      <c r="L411" s="6"/>
      <c r="N411" s="6"/>
      <c r="O411" s="6"/>
      <c r="P411" s="6"/>
      <c r="Q411" s="6"/>
      <c r="R411" s="6"/>
      <c r="S411" s="6"/>
      <c r="T411" s="6"/>
      <c r="U411" s="6"/>
      <c r="V411" s="6"/>
      <c r="W411" s="6"/>
      <c r="X411" s="18"/>
      <c r="Y411" s="18"/>
      <c r="Z411" s="18"/>
      <c r="AA411" s="6"/>
      <c r="AB411" s="6"/>
      <c r="AC411" s="18"/>
      <c r="AD411" s="12"/>
      <c r="AE411" s="6"/>
      <c r="AF411" s="6"/>
      <c r="AG411" s="6"/>
      <c r="AH411" s="6"/>
      <c r="AI411" s="6"/>
    </row>
    <row r="412">
      <c r="A412" s="12"/>
      <c r="B412" s="6"/>
      <c r="C412" s="6"/>
      <c r="D412" s="12"/>
      <c r="F412" s="6" t="b">
        <v>0</v>
      </c>
      <c r="G412" s="6"/>
      <c r="H412" s="6"/>
      <c r="I412" s="6"/>
      <c r="J412" s="6"/>
      <c r="K412" s="6"/>
      <c r="L412" s="6"/>
      <c r="N412" s="6"/>
      <c r="O412" s="6"/>
      <c r="P412" s="6"/>
      <c r="Q412" s="6"/>
      <c r="R412" s="6"/>
      <c r="S412" s="6"/>
      <c r="T412" s="6"/>
      <c r="U412" s="6"/>
      <c r="V412" s="6"/>
      <c r="W412" s="6"/>
      <c r="X412" s="18"/>
      <c r="Y412" s="18"/>
      <c r="Z412" s="18"/>
      <c r="AA412" s="6"/>
      <c r="AB412" s="6"/>
      <c r="AC412" s="18"/>
      <c r="AD412" s="12"/>
      <c r="AE412" s="6"/>
      <c r="AF412" s="6"/>
      <c r="AG412" s="6"/>
      <c r="AH412" s="6"/>
      <c r="AI412" s="6"/>
    </row>
  </sheetData>
  <autoFilter ref="$A$1:$AL$307">
    <sortState ref="A1:AL307">
      <sortCondition ref="A1:A307"/>
      <sortCondition ref="B1:B307"/>
    </sortState>
  </autoFilter>
  <conditionalFormatting sqref="A358:A390">
    <cfRule type="expression" dxfId="0" priority="1">
      <formula>$U358=TRUE</formula>
    </cfRule>
  </conditionalFormatting>
  <conditionalFormatting sqref="A347:A391">
    <cfRule type="expression" dxfId="0" priority="2">
      <formula>$U347=TRUE</formula>
    </cfRule>
  </conditionalFormatting>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4.38"/>
    <col customWidth="1" min="2" max="2" width="17.13"/>
    <col customWidth="1" min="3" max="3" width="22.63"/>
    <col customWidth="1" min="4" max="4" width="19.75"/>
    <col customWidth="1" min="5" max="5" width="18.38"/>
    <col customWidth="1" min="6" max="6" width="15.63"/>
  </cols>
  <sheetData>
    <row r="1">
      <c r="A1" s="1" t="s">
        <v>0</v>
      </c>
      <c r="B1" s="1" t="s">
        <v>3</v>
      </c>
      <c r="C1" s="1" t="s">
        <v>4</v>
      </c>
      <c r="D1" s="1" t="s">
        <v>5</v>
      </c>
      <c r="E1" s="1" t="s">
        <v>6</v>
      </c>
      <c r="F1" s="1" t="s">
        <v>7</v>
      </c>
      <c r="G1" s="4"/>
      <c r="H1" s="4"/>
      <c r="I1" s="4"/>
      <c r="J1" s="4"/>
      <c r="K1" s="4"/>
      <c r="L1" s="4"/>
      <c r="M1" s="4"/>
      <c r="N1" s="4"/>
      <c r="O1" s="4"/>
      <c r="P1" s="4"/>
      <c r="Q1" s="4"/>
      <c r="R1" s="4"/>
      <c r="S1" s="4"/>
      <c r="T1" s="4"/>
      <c r="U1" s="4"/>
      <c r="V1" s="4"/>
      <c r="W1" s="4"/>
      <c r="X1" s="4"/>
      <c r="Y1" s="4"/>
    </row>
    <row r="2">
      <c r="A2" s="6">
        <v>4.0</v>
      </c>
      <c r="B2" s="8">
        <v>0.011873799999999999</v>
      </c>
      <c r="C2" s="10">
        <v>0.01</v>
      </c>
      <c r="D2" s="8">
        <v>1.2232E-4</v>
      </c>
      <c r="E2" s="8">
        <v>0.00168148</v>
      </c>
      <c r="F2" s="8">
        <v>7.000000000000001E-5</v>
      </c>
      <c r="G2" s="10"/>
      <c r="H2" s="10"/>
      <c r="I2" s="10"/>
      <c r="J2" s="10"/>
      <c r="K2" s="10"/>
    </row>
    <row r="3">
      <c r="A3" s="6">
        <v>7.0</v>
      </c>
      <c r="B3" s="8">
        <v>0.011873799999999999</v>
      </c>
      <c r="C3" s="10">
        <v>0.01</v>
      </c>
      <c r="D3" s="8">
        <v>1.2232E-4</v>
      </c>
      <c r="E3" s="8">
        <v>0.00168148</v>
      </c>
      <c r="F3" s="8">
        <v>7.000000000000001E-5</v>
      </c>
      <c r="G3" s="10"/>
      <c r="H3" s="10"/>
      <c r="I3" s="10"/>
      <c r="J3" s="10"/>
      <c r="K3" s="10"/>
    </row>
    <row r="4">
      <c r="A4" s="6">
        <v>13.0</v>
      </c>
      <c r="B4" s="8">
        <v>0.011873799999999999</v>
      </c>
      <c r="C4" s="10">
        <v>0.01</v>
      </c>
      <c r="D4" s="8">
        <v>1.2232E-4</v>
      </c>
      <c r="E4" s="8">
        <v>0.00168148</v>
      </c>
      <c r="F4" s="8">
        <v>7.000000000000001E-5</v>
      </c>
      <c r="G4" s="10"/>
      <c r="H4" s="10"/>
      <c r="I4" s="10"/>
      <c r="J4" s="10"/>
      <c r="K4" s="10"/>
    </row>
    <row r="5">
      <c r="A5" s="6">
        <v>16.0</v>
      </c>
      <c r="B5" s="8">
        <v>0.011873799999999999</v>
      </c>
      <c r="C5" s="10">
        <v>0.01</v>
      </c>
      <c r="D5" s="8">
        <v>1.2232E-4</v>
      </c>
      <c r="E5" s="8">
        <v>0.00168148</v>
      </c>
      <c r="F5" s="8">
        <v>7.000000000000001E-5</v>
      </c>
      <c r="G5" s="10"/>
      <c r="H5" s="10"/>
      <c r="I5" s="10"/>
      <c r="J5" s="10"/>
      <c r="K5" s="10"/>
    </row>
    <row r="6">
      <c r="A6" s="6">
        <v>36.0</v>
      </c>
      <c r="B6" s="8">
        <v>0.011873799999999999</v>
      </c>
      <c r="C6" s="10">
        <v>0.01</v>
      </c>
      <c r="D6" s="8">
        <v>1.2232E-4</v>
      </c>
      <c r="E6" s="8">
        <v>0.00168148</v>
      </c>
      <c r="F6" s="8">
        <v>7.000000000000001E-5</v>
      </c>
      <c r="G6" s="10"/>
      <c r="H6" s="10"/>
      <c r="I6" s="10"/>
      <c r="J6" s="10"/>
      <c r="K6" s="10"/>
    </row>
    <row r="7">
      <c r="A7" s="6">
        <v>67.0</v>
      </c>
      <c r="B7" s="8">
        <v>0.011873799999999999</v>
      </c>
      <c r="C7" s="10">
        <v>0.01</v>
      </c>
      <c r="D7" s="8">
        <v>1.2232E-4</v>
      </c>
      <c r="E7" s="8">
        <v>0.00168148</v>
      </c>
      <c r="F7" s="8">
        <v>7.000000000000001E-5</v>
      </c>
      <c r="G7" s="10"/>
      <c r="H7" s="10"/>
      <c r="I7" s="10"/>
      <c r="J7" s="10"/>
      <c r="K7" s="10"/>
    </row>
    <row r="8">
      <c r="A8" s="6">
        <v>68.0</v>
      </c>
      <c r="B8" s="8">
        <v>0.011873799999999999</v>
      </c>
      <c r="C8" s="10">
        <v>0.01</v>
      </c>
      <c r="D8" s="8">
        <v>1.2232E-4</v>
      </c>
      <c r="E8" s="8">
        <v>0.00168148</v>
      </c>
      <c r="F8" s="8">
        <v>7.000000000000001E-5</v>
      </c>
      <c r="G8" s="10"/>
      <c r="H8" s="10"/>
      <c r="I8" s="10"/>
      <c r="J8" s="10"/>
      <c r="K8" s="10"/>
    </row>
    <row r="9">
      <c r="A9" s="6">
        <v>200.0</v>
      </c>
      <c r="B9" s="8">
        <v>0.011873799999999999</v>
      </c>
      <c r="C9" s="10">
        <v>0.01</v>
      </c>
      <c r="D9" s="8">
        <v>1.2232E-4</v>
      </c>
      <c r="E9" s="8">
        <v>0.00168148</v>
      </c>
      <c r="F9" s="8">
        <v>7.000000000000001E-5</v>
      </c>
      <c r="G9" s="10"/>
      <c r="H9" s="10"/>
      <c r="I9" s="10"/>
      <c r="J9" s="10"/>
      <c r="K9" s="10"/>
    </row>
    <row r="10">
      <c r="A10" s="6">
        <v>210.0</v>
      </c>
      <c r="B10" s="8">
        <v>0.011873799999999999</v>
      </c>
      <c r="C10" s="10">
        <v>0.01</v>
      </c>
      <c r="D10" s="8">
        <v>1.2232E-4</v>
      </c>
      <c r="E10" s="8">
        <v>0.00168148</v>
      </c>
      <c r="F10" s="8">
        <v>7.000000000000001E-5</v>
      </c>
      <c r="G10" s="10"/>
      <c r="H10" s="10"/>
      <c r="I10" s="10"/>
      <c r="J10" s="10"/>
      <c r="K10" s="10"/>
    </row>
    <row r="11">
      <c r="A11" s="6">
        <v>212.0</v>
      </c>
      <c r="B11" s="8">
        <v>0.011873799999999999</v>
      </c>
      <c r="C11" s="10">
        <v>0.01</v>
      </c>
      <c r="D11" s="8">
        <v>1.2232E-4</v>
      </c>
      <c r="E11" s="8">
        <v>0.00168148</v>
      </c>
      <c r="F11" s="8">
        <v>7.000000000000001E-5</v>
      </c>
      <c r="G11" s="10"/>
      <c r="H11" s="10"/>
      <c r="I11" s="10"/>
      <c r="J11" s="10"/>
      <c r="K11" s="10"/>
    </row>
    <row r="12">
      <c r="A12" s="6">
        <v>400.0</v>
      </c>
      <c r="B12" s="8">
        <v>0.011873799999999999</v>
      </c>
      <c r="C12" s="10">
        <v>0.01</v>
      </c>
      <c r="D12" s="8">
        <v>1.2232E-4</v>
      </c>
      <c r="E12" s="8">
        <v>0.00168148</v>
      </c>
      <c r="F12" s="8">
        <v>7.000000000000001E-5</v>
      </c>
      <c r="G12" s="10"/>
      <c r="H12" s="10"/>
      <c r="I12" s="10"/>
      <c r="J12" s="10"/>
      <c r="K12" s="10"/>
    </row>
    <row r="13">
      <c r="A13" s="6">
        <v>401.0</v>
      </c>
      <c r="B13" s="8">
        <v>0.011873799999999999</v>
      </c>
      <c r="C13" s="10">
        <v>0.01</v>
      </c>
      <c r="D13" s="8">
        <v>1.2232E-4</v>
      </c>
      <c r="E13" s="8">
        <v>0.00168148</v>
      </c>
      <c r="F13" s="8">
        <v>7.000000000000001E-5</v>
      </c>
      <c r="G13" s="10"/>
      <c r="H13" s="10"/>
      <c r="I13" s="10"/>
      <c r="J13" s="10"/>
      <c r="K13" s="10"/>
    </row>
    <row r="14">
      <c r="A14" s="6">
        <v>460.0</v>
      </c>
      <c r="B14" s="8">
        <v>0.011873799999999999</v>
      </c>
      <c r="C14" s="10">
        <v>0.01</v>
      </c>
      <c r="D14" s="8">
        <v>1.2232E-4</v>
      </c>
      <c r="E14" s="8">
        <v>0.00168148</v>
      </c>
      <c r="F14" s="8">
        <v>7.000000000000001E-5</v>
      </c>
      <c r="G14" s="10"/>
      <c r="H14" s="10"/>
      <c r="I14" s="10"/>
      <c r="J14" s="10"/>
      <c r="K14" s="10"/>
    </row>
    <row r="15">
      <c r="A15" s="6">
        <v>461.0</v>
      </c>
      <c r="B15" s="8">
        <v>0.011873799999999999</v>
      </c>
      <c r="C15" s="10">
        <v>0.01</v>
      </c>
      <c r="D15" s="8">
        <v>1.2232E-4</v>
      </c>
      <c r="E15" s="8">
        <v>0.00168148</v>
      </c>
      <c r="F15" s="8">
        <v>7.000000000000001E-5</v>
      </c>
      <c r="G15" s="10"/>
      <c r="H15" s="10"/>
      <c r="I15" s="10"/>
      <c r="J15" s="10"/>
      <c r="K15" s="10"/>
    </row>
    <row r="16">
      <c r="A16" s="6">
        <v>501.0</v>
      </c>
      <c r="B16" s="8">
        <v>0.011873799999999999</v>
      </c>
      <c r="C16" s="10">
        <v>0.01</v>
      </c>
      <c r="D16" s="8">
        <v>1.2232E-4</v>
      </c>
      <c r="E16" s="8">
        <v>0.00168148</v>
      </c>
      <c r="F16" s="8">
        <v>7.000000000000001E-5</v>
      </c>
      <c r="G16" s="10"/>
      <c r="H16" s="10"/>
      <c r="I16" s="10"/>
      <c r="J16" s="10"/>
      <c r="K16" s="10"/>
    </row>
    <row r="17">
      <c r="A17" s="6">
        <v>594.0</v>
      </c>
      <c r="B17" s="8">
        <v>0.013851479999999998</v>
      </c>
      <c r="C17" s="10">
        <v>0.01</v>
      </c>
      <c r="D17" s="8">
        <v>0.0021</v>
      </c>
      <c r="E17" s="8">
        <v>0.00168148</v>
      </c>
      <c r="F17" s="8">
        <v>7.000000000000001E-5</v>
      </c>
      <c r="G17" s="10"/>
      <c r="H17" s="10"/>
      <c r="I17" s="10"/>
      <c r="J17" s="10"/>
      <c r="K17" s="10"/>
    </row>
    <row r="18">
      <c r="A18" s="6">
        <v>2241.0</v>
      </c>
      <c r="B18" s="8">
        <v>0.012330859999999999</v>
      </c>
      <c r="C18" s="10">
        <v>0.01</v>
      </c>
      <c r="D18" s="8">
        <v>0.0</v>
      </c>
      <c r="E18" s="8">
        <v>0.0016259599999999999</v>
      </c>
      <c r="F18" s="8">
        <v>7.049E-4</v>
      </c>
      <c r="G18" s="10"/>
      <c r="H18" s="10"/>
      <c r="I18" s="10"/>
      <c r="J18" s="10"/>
      <c r="K18" s="10"/>
    </row>
    <row r="19">
      <c r="A19" s="6">
        <v>2519.0</v>
      </c>
      <c r="B19" s="8">
        <v>0.011355719999999998</v>
      </c>
      <c r="C19" s="10">
        <v>0.01</v>
      </c>
      <c r="D19" s="8">
        <v>0.0</v>
      </c>
      <c r="E19" s="8">
        <v>0.00128572</v>
      </c>
      <c r="F19" s="8">
        <v>7.000000000000001E-5</v>
      </c>
      <c r="G19" s="10"/>
      <c r="H19" s="10"/>
      <c r="I19" s="10"/>
      <c r="J19" s="10"/>
      <c r="K19" s="10"/>
    </row>
    <row r="20">
      <c r="A20" s="6">
        <v>2525.0</v>
      </c>
      <c r="B20" s="8">
        <v>0.011355719999999998</v>
      </c>
      <c r="C20" s="10">
        <v>0.01</v>
      </c>
      <c r="D20" s="8">
        <v>0.0</v>
      </c>
      <c r="E20" s="8">
        <v>0.00128572</v>
      </c>
      <c r="F20" s="8">
        <v>7.000000000000001E-5</v>
      </c>
      <c r="G20" s="10"/>
      <c r="H20" s="10"/>
      <c r="I20" s="10"/>
      <c r="J20" s="10"/>
      <c r="K20" s="10"/>
    </row>
    <row r="21">
      <c r="A21" s="6">
        <v>3122.0</v>
      </c>
      <c r="B21" s="8">
        <v>0.01175703</v>
      </c>
      <c r="C21" s="10">
        <v>0.01</v>
      </c>
      <c r="D21" s="8">
        <v>0.0</v>
      </c>
      <c r="E21" s="8">
        <v>0.00168703</v>
      </c>
      <c r="F21" s="8">
        <v>7.000000000000001E-5</v>
      </c>
      <c r="G21" s="10"/>
      <c r="H21" s="10"/>
      <c r="I21" s="10"/>
      <c r="J21" s="10"/>
      <c r="K21" s="10"/>
    </row>
    <row r="22">
      <c r="A22" s="6">
        <v>3622.0</v>
      </c>
      <c r="B22" s="8">
        <v>0.013231919999999998</v>
      </c>
      <c r="C22" s="10">
        <v>0.01</v>
      </c>
      <c r="D22" s="8">
        <v>0.0013</v>
      </c>
      <c r="E22" s="8">
        <v>0.00186192</v>
      </c>
      <c r="F22" s="8">
        <v>7.000000000000001E-5</v>
      </c>
      <c r="G22" s="10"/>
      <c r="H22" s="10"/>
      <c r="I22" s="10"/>
      <c r="J22" s="10"/>
      <c r="K22" s="10"/>
    </row>
    <row r="23">
      <c r="A23" s="6">
        <v>4569.0</v>
      </c>
      <c r="B23" s="8">
        <v>0.012807649999999999</v>
      </c>
      <c r="C23" s="10">
        <v>0.01</v>
      </c>
      <c r="D23" s="8">
        <v>0.00146958</v>
      </c>
      <c r="E23" s="8">
        <v>0.00126807</v>
      </c>
      <c r="F23" s="8">
        <v>7.000000000000001E-5</v>
      </c>
      <c r="G23" s="10"/>
      <c r="H23" s="10"/>
      <c r="I23" s="10"/>
      <c r="J23" s="10"/>
      <c r="K23" s="10"/>
    </row>
    <row r="24">
      <c r="A24" s="6">
        <v>6650.0</v>
      </c>
      <c r="B24" s="8">
        <v>0.011873799999999999</v>
      </c>
      <c r="C24" s="10">
        <v>0.01</v>
      </c>
      <c r="D24" s="8">
        <v>1.2232E-4</v>
      </c>
      <c r="E24" s="8">
        <v>0.00168148</v>
      </c>
      <c r="F24" s="8">
        <v>7.000000000000001E-5</v>
      </c>
      <c r="G24" s="10"/>
      <c r="H24" s="10"/>
      <c r="I24" s="10"/>
      <c r="J24" s="10"/>
      <c r="K24" s="10"/>
    </row>
    <row r="25">
      <c r="A25" s="6">
        <v>6654.0</v>
      </c>
      <c r="B25" s="8">
        <v>0.011873799999999999</v>
      </c>
      <c r="C25" s="10">
        <v>0.01</v>
      </c>
      <c r="D25" s="8">
        <v>1.2232E-4</v>
      </c>
      <c r="E25" s="8">
        <v>0.00168148</v>
      </c>
      <c r="F25" s="8">
        <v>7.000000000000001E-5</v>
      </c>
      <c r="G25" s="10"/>
      <c r="H25" s="10"/>
      <c r="I25" s="10"/>
      <c r="J25" s="10"/>
      <c r="K25" s="10"/>
    </row>
    <row r="26">
      <c r="A26" s="6">
        <v>6657.0</v>
      </c>
      <c r="B26" s="8">
        <v>0.011873799999999999</v>
      </c>
      <c r="C26" s="10">
        <v>0.01</v>
      </c>
      <c r="D26" s="8">
        <v>1.2232E-4</v>
      </c>
      <c r="E26" s="8">
        <v>0.00168148</v>
      </c>
      <c r="F26" s="8">
        <v>7.000000000000001E-5</v>
      </c>
      <c r="G26" s="10"/>
      <c r="H26" s="10"/>
      <c r="I26" s="10"/>
      <c r="J26" s="10"/>
      <c r="K26" s="10"/>
    </row>
    <row r="27">
      <c r="A27" s="6">
        <v>6659.0</v>
      </c>
      <c r="B27" s="8">
        <v>0.011873799999999999</v>
      </c>
      <c r="C27" s="10">
        <v>0.01</v>
      </c>
      <c r="D27" s="8">
        <v>1.2232E-4</v>
      </c>
      <c r="E27" s="8">
        <v>0.00168148</v>
      </c>
      <c r="F27" s="8">
        <v>7.000000000000001E-5</v>
      </c>
      <c r="G27" s="10"/>
      <c r="H27" s="10"/>
      <c r="I27" s="10"/>
      <c r="J27" s="10"/>
      <c r="K27" s="10"/>
    </row>
    <row r="28">
      <c r="A28" s="6">
        <v>6660.0</v>
      </c>
      <c r="B28" s="8">
        <v>0.011873799999999999</v>
      </c>
      <c r="C28" s="10">
        <v>0.01</v>
      </c>
      <c r="D28" s="8">
        <v>1.2232E-4</v>
      </c>
      <c r="E28" s="8">
        <v>0.00168148</v>
      </c>
      <c r="F28" s="8">
        <v>7.000000000000001E-5</v>
      </c>
      <c r="G28" s="10"/>
      <c r="H28" s="10"/>
      <c r="I28" s="10"/>
      <c r="J28" s="10"/>
      <c r="K28" s="10"/>
    </row>
    <row r="29">
      <c r="A29" s="6">
        <v>7211.0</v>
      </c>
      <c r="B29" s="8">
        <v>0.01206499</v>
      </c>
      <c r="C29" s="10">
        <v>0.01</v>
      </c>
      <c r="D29" s="8">
        <v>0.0</v>
      </c>
      <c r="E29" s="8">
        <v>0.0019949900000000003</v>
      </c>
      <c r="F29" s="8">
        <v>7.000000000000001E-5</v>
      </c>
      <c r="G29" s="10"/>
      <c r="H29" s="10"/>
      <c r="I29" s="10"/>
      <c r="J29" s="10"/>
      <c r="K29" s="10"/>
    </row>
    <row r="30">
      <c r="A30" s="6">
        <v>8004.0</v>
      </c>
      <c r="B30" s="8">
        <v>0.01203757</v>
      </c>
      <c r="C30" s="10">
        <v>0.01</v>
      </c>
      <c r="D30" s="8">
        <v>0.0</v>
      </c>
      <c r="E30" s="8">
        <v>0.00196757</v>
      </c>
      <c r="F30" s="8">
        <v>7.000000000000001E-5</v>
      </c>
      <c r="G30" s="10"/>
      <c r="H30" s="10"/>
      <c r="I30" s="10"/>
      <c r="J30" s="10"/>
      <c r="K30" s="10"/>
    </row>
    <row r="31">
      <c r="A31" s="6">
        <v>8604.0</v>
      </c>
      <c r="B31" s="8">
        <v>0.01203757</v>
      </c>
      <c r="C31" s="10">
        <v>0.01</v>
      </c>
      <c r="D31" s="8">
        <v>0.0</v>
      </c>
      <c r="E31" s="8">
        <v>0.00196757</v>
      </c>
      <c r="F31" s="8">
        <v>7.000000000000001E-5</v>
      </c>
      <c r="G31" s="10"/>
      <c r="H31" s="10"/>
      <c r="I31" s="10"/>
      <c r="J31" s="10"/>
      <c r="K31" s="10"/>
    </row>
    <row r="32">
      <c r="A32" s="6">
        <v>8819.0</v>
      </c>
      <c r="B32" s="8">
        <v>0.0116448</v>
      </c>
      <c r="C32" s="10">
        <v>0.01</v>
      </c>
      <c r="D32" s="8">
        <v>0.0</v>
      </c>
      <c r="E32" s="8">
        <v>0.0013448</v>
      </c>
      <c r="F32" s="8">
        <v>3.0E-4</v>
      </c>
      <c r="G32" s="10"/>
      <c r="H32" s="10"/>
      <c r="I32" s="10"/>
      <c r="J32" s="10"/>
      <c r="K32" s="10"/>
    </row>
    <row r="33">
      <c r="A33" s="6">
        <v>8830.0</v>
      </c>
      <c r="B33" s="8">
        <v>0.011873799999999999</v>
      </c>
      <c r="C33" s="10">
        <v>0.01</v>
      </c>
      <c r="D33" s="8">
        <v>1.2232E-4</v>
      </c>
      <c r="E33" s="8">
        <v>0.00168148</v>
      </c>
      <c r="F33" s="8">
        <v>7.000000000000001E-5</v>
      </c>
      <c r="G33" s="10"/>
      <c r="H33" s="10"/>
      <c r="I33" s="10"/>
      <c r="J33" s="10"/>
      <c r="K33" s="10"/>
    </row>
    <row r="34">
      <c r="A34" s="6">
        <v>8841.0</v>
      </c>
      <c r="B34" s="8">
        <v>0.011873799999999999</v>
      </c>
      <c r="C34" s="10">
        <v>0.01</v>
      </c>
      <c r="D34" s="8">
        <v>1.2232E-4</v>
      </c>
      <c r="E34" s="8">
        <v>0.00168148</v>
      </c>
      <c r="F34" s="8">
        <v>7.000000000000001E-5</v>
      </c>
      <c r="G34" s="10"/>
      <c r="H34" s="10"/>
      <c r="I34" s="10"/>
      <c r="J34" s="10"/>
      <c r="K34" s="10"/>
    </row>
    <row r="35">
      <c r="A35" s="6">
        <v>8852.0</v>
      </c>
      <c r="B35" s="8">
        <v>0.011873799999999999</v>
      </c>
      <c r="C35" s="10">
        <v>0.01</v>
      </c>
      <c r="D35" s="8">
        <v>1.2232E-4</v>
      </c>
      <c r="E35" s="8">
        <v>0.00168148</v>
      </c>
      <c r="F35" s="8">
        <v>7.000000000000001E-5</v>
      </c>
      <c r="G35" s="10"/>
      <c r="H35" s="10"/>
      <c r="I35" s="10"/>
      <c r="J35" s="10"/>
      <c r="K35" s="10"/>
    </row>
    <row r="36">
      <c r="A36" s="6">
        <v>12703.0</v>
      </c>
      <c r="B36" s="8">
        <v>0.011873799999999999</v>
      </c>
      <c r="C36" s="10">
        <v>0.01</v>
      </c>
      <c r="D36" s="8">
        <v>1.2232E-4</v>
      </c>
      <c r="E36" s="8">
        <v>0.00168148</v>
      </c>
      <c r="F36" s="8">
        <v>7.000000000000001E-5</v>
      </c>
      <c r="G36" s="10"/>
      <c r="H36" s="10"/>
      <c r="I36" s="10"/>
      <c r="J36" s="10"/>
      <c r="K36" s="10"/>
    </row>
    <row r="37">
      <c r="A37" s="6">
        <v>13245.0</v>
      </c>
      <c r="B37" s="8">
        <v>0.011873799999999999</v>
      </c>
      <c r="C37" s="10">
        <v>0.01</v>
      </c>
      <c r="D37" s="8">
        <v>1.2232E-4</v>
      </c>
      <c r="E37" s="8">
        <v>0.00168148</v>
      </c>
      <c r="F37" s="8">
        <v>7.000000000000001E-5</v>
      </c>
      <c r="G37" s="10"/>
      <c r="H37" s="10"/>
      <c r="I37" s="10"/>
      <c r="J37" s="10"/>
      <c r="K37" s="10"/>
    </row>
    <row r="38">
      <c r="A38" s="6">
        <v>13264.0</v>
      </c>
      <c r="B38" s="8">
        <v>0.011873799999999999</v>
      </c>
      <c r="C38" s="10">
        <v>0.01</v>
      </c>
      <c r="D38" s="8">
        <v>1.2232E-4</v>
      </c>
      <c r="E38" s="8">
        <v>0.00168148</v>
      </c>
      <c r="F38" s="8">
        <v>7.000000000000001E-5</v>
      </c>
      <c r="G38" s="10"/>
      <c r="H38" s="10"/>
      <c r="I38" s="10"/>
      <c r="J38" s="10"/>
      <c r="K38" s="10"/>
    </row>
    <row r="39">
      <c r="A39" s="6" t="s">
        <v>132</v>
      </c>
      <c r="B39" s="10">
        <f t="shared" ref="B39:B189" si="1">SUM(C39:F39)</f>
        <v>0.0115</v>
      </c>
      <c r="C39" s="20">
        <v>0.01</v>
      </c>
      <c r="D39" s="10">
        <f>0.000275+0.00017</f>
        <v>0.000445</v>
      </c>
      <c r="E39" s="10">
        <f>0.00039+0.00037+0.00011+0.000185</f>
        <v>0.001055</v>
      </c>
      <c r="F39" s="10"/>
    </row>
    <row r="40">
      <c r="A40" s="6" t="s">
        <v>142</v>
      </c>
      <c r="B40" s="20">
        <f t="shared" si="1"/>
        <v>0.01193723</v>
      </c>
      <c r="C40" s="20">
        <v>0.01</v>
      </c>
      <c r="D40" s="10">
        <v>0.0</v>
      </c>
      <c r="E40" s="10">
        <v>0.0016372300000000002</v>
      </c>
      <c r="F40" s="10">
        <v>3.0E-4</v>
      </c>
      <c r="G40" s="10"/>
      <c r="H40" s="10"/>
      <c r="I40" s="10"/>
    </row>
    <row r="41">
      <c r="A41" s="6" t="s">
        <v>143</v>
      </c>
      <c r="B41" s="20">
        <f t="shared" si="1"/>
        <v>0.01127902</v>
      </c>
      <c r="C41" s="20">
        <v>0.01</v>
      </c>
      <c r="D41" s="10">
        <v>0.0</v>
      </c>
      <c r="E41" s="10">
        <v>0.00107902</v>
      </c>
      <c r="F41" s="10">
        <v>2.0E-4</v>
      </c>
      <c r="G41" s="10"/>
      <c r="H41" s="10"/>
      <c r="I41" s="10"/>
    </row>
    <row r="42">
      <c r="A42" s="6" t="s">
        <v>147</v>
      </c>
      <c r="B42" s="20">
        <f t="shared" si="1"/>
        <v>0.01132523</v>
      </c>
      <c r="C42" s="20">
        <v>0.01</v>
      </c>
      <c r="D42" s="10">
        <v>2.3E-5</v>
      </c>
      <c r="E42" s="10">
        <v>0.00110223</v>
      </c>
      <c r="F42" s="10">
        <v>2.0E-4</v>
      </c>
      <c r="G42" s="10"/>
      <c r="H42" s="10"/>
      <c r="I42" s="10"/>
    </row>
    <row r="43">
      <c r="A43" s="6" t="s">
        <v>150</v>
      </c>
      <c r="B43" s="20">
        <f t="shared" si="1"/>
        <v>0.010827</v>
      </c>
      <c r="C43" s="20">
        <v>0.01</v>
      </c>
      <c r="D43" s="10">
        <v>0.0</v>
      </c>
      <c r="E43" s="10">
        <v>6.270000000000001E-4</v>
      </c>
      <c r="F43" s="10">
        <v>2.0E-4</v>
      </c>
      <c r="G43" s="10"/>
      <c r="H43" s="10"/>
      <c r="I43" s="10"/>
    </row>
    <row r="44">
      <c r="A44" s="6" t="s">
        <v>151</v>
      </c>
      <c r="B44" s="20">
        <f t="shared" si="1"/>
        <v>0.01132673</v>
      </c>
      <c r="C44" s="20">
        <v>0.01</v>
      </c>
      <c r="D44" s="10">
        <v>2.45E-5</v>
      </c>
      <c r="E44" s="10">
        <v>0.00110223</v>
      </c>
      <c r="F44" s="10">
        <v>2.0E-4</v>
      </c>
      <c r="G44" s="10"/>
      <c r="H44" s="10"/>
      <c r="I44" s="10"/>
    </row>
    <row r="45">
      <c r="A45" s="6" t="s">
        <v>152</v>
      </c>
      <c r="B45" s="20">
        <f t="shared" si="1"/>
        <v>0.0117033</v>
      </c>
      <c r="C45" s="20">
        <v>0.01</v>
      </c>
      <c r="D45" s="10">
        <v>3.035E-4</v>
      </c>
      <c r="E45" s="10">
        <v>0.0011998</v>
      </c>
      <c r="F45" s="10">
        <v>2.0E-4</v>
      </c>
      <c r="G45" s="10"/>
      <c r="H45" s="10"/>
      <c r="I45" s="10"/>
    </row>
    <row r="46">
      <c r="A46" s="6" t="s">
        <v>153</v>
      </c>
      <c r="B46" s="20">
        <f t="shared" si="1"/>
        <v>0.01133439</v>
      </c>
      <c r="C46" s="20">
        <v>0.01</v>
      </c>
      <c r="D46" s="10">
        <v>0.0</v>
      </c>
      <c r="E46" s="10">
        <v>0.0011343899999999999</v>
      </c>
      <c r="F46" s="10">
        <v>2.0E-4</v>
      </c>
      <c r="G46" s="10"/>
      <c r="H46" s="10"/>
      <c r="I46" s="10"/>
    </row>
    <row r="47">
      <c r="A47" s="6" t="s">
        <v>154</v>
      </c>
      <c r="B47" s="10">
        <f t="shared" si="1"/>
        <v>0.011268</v>
      </c>
      <c r="C47" s="10">
        <v>0.01</v>
      </c>
      <c r="D47" s="10">
        <v>0.0</v>
      </c>
      <c r="E47" s="10">
        <v>0.001083</v>
      </c>
      <c r="F47" s="10">
        <v>1.85E-4</v>
      </c>
      <c r="G47" s="10"/>
      <c r="H47" s="10"/>
      <c r="I47" s="10"/>
      <c r="J47" s="10"/>
    </row>
    <row r="48">
      <c r="A48" s="6" t="s">
        <v>149</v>
      </c>
      <c r="B48" s="10">
        <f t="shared" si="1"/>
        <v>0.011211</v>
      </c>
      <c r="C48" s="10">
        <v>0.01</v>
      </c>
      <c r="D48" s="10">
        <v>0.0</v>
      </c>
      <c r="E48" s="10">
        <v>0.00105</v>
      </c>
      <c r="F48" s="10">
        <v>1.61E-4</v>
      </c>
      <c r="G48" s="10"/>
      <c r="H48" s="10"/>
      <c r="I48" s="10"/>
      <c r="J48" s="10"/>
    </row>
    <row r="49">
      <c r="A49" s="6" t="s">
        <v>155</v>
      </c>
      <c r="B49" s="10">
        <f t="shared" si="1"/>
        <v>0.012401</v>
      </c>
      <c r="C49" s="10">
        <v>0.01</v>
      </c>
      <c r="D49" s="10">
        <v>1.97E-4</v>
      </c>
      <c r="E49" s="10">
        <v>0.002057</v>
      </c>
      <c r="F49" s="10">
        <v>1.47E-4</v>
      </c>
      <c r="G49" s="10"/>
      <c r="H49" s="10"/>
      <c r="I49" s="10"/>
      <c r="J49" s="10"/>
    </row>
    <row r="50">
      <c r="A50" s="6" t="s">
        <v>158</v>
      </c>
      <c r="B50" s="10">
        <f t="shared" si="1"/>
        <v>0.011322</v>
      </c>
      <c r="C50" s="10">
        <v>0.01</v>
      </c>
      <c r="D50" s="10">
        <v>0.0</v>
      </c>
      <c r="E50" s="10">
        <v>0.001161</v>
      </c>
      <c r="F50" s="10">
        <v>1.61E-4</v>
      </c>
      <c r="G50" s="10"/>
      <c r="H50" s="10"/>
      <c r="I50" s="10"/>
      <c r="J50" s="10"/>
    </row>
    <row r="51">
      <c r="A51" s="6" t="s">
        <v>159</v>
      </c>
      <c r="B51" s="10">
        <f t="shared" si="1"/>
        <v>0.011522</v>
      </c>
      <c r="C51" s="10">
        <v>0.01</v>
      </c>
      <c r="D51" s="10">
        <v>1.7E-4</v>
      </c>
      <c r="E51" s="10">
        <v>0.001181</v>
      </c>
      <c r="F51" s="10">
        <v>1.71E-4</v>
      </c>
      <c r="G51" s="10"/>
      <c r="H51" s="10"/>
      <c r="I51" s="10"/>
      <c r="J51" s="10"/>
    </row>
    <row r="52">
      <c r="A52" s="6" t="s">
        <v>160</v>
      </c>
      <c r="B52" s="10">
        <f t="shared" si="1"/>
        <v>0.011234</v>
      </c>
      <c r="C52" s="10">
        <v>0.01</v>
      </c>
      <c r="D52" s="10">
        <v>0.0</v>
      </c>
      <c r="E52" s="10">
        <v>0.0010630000000000001</v>
      </c>
      <c r="F52" s="10">
        <v>1.71E-4</v>
      </c>
      <c r="G52" s="10"/>
      <c r="H52" s="10"/>
      <c r="I52" s="10"/>
      <c r="J52" s="10"/>
    </row>
    <row r="53">
      <c r="A53" s="6" t="s">
        <v>161</v>
      </c>
      <c r="B53" s="10">
        <f t="shared" si="1"/>
        <v>0.011798</v>
      </c>
      <c r="C53" s="10">
        <v>0.01</v>
      </c>
      <c r="D53" s="10">
        <v>1.25E-4</v>
      </c>
      <c r="E53" s="10">
        <v>0.001502</v>
      </c>
      <c r="F53" s="10">
        <v>1.71E-4</v>
      </c>
      <c r="G53" s="10"/>
      <c r="H53" s="10"/>
      <c r="I53" s="10"/>
      <c r="J53" s="10"/>
    </row>
    <row r="54">
      <c r="A54" s="6" t="s">
        <v>162</v>
      </c>
      <c r="B54" s="10">
        <f t="shared" si="1"/>
        <v>0.011142</v>
      </c>
      <c r="C54" s="10">
        <v>0.01</v>
      </c>
      <c r="D54" s="10">
        <v>0.0</v>
      </c>
      <c r="E54" s="10">
        <v>9.57E-4</v>
      </c>
      <c r="F54" s="10">
        <v>1.85E-4</v>
      </c>
      <c r="G54" s="10"/>
      <c r="H54" s="10"/>
      <c r="I54" s="10"/>
      <c r="J54" s="10"/>
    </row>
    <row r="55">
      <c r="A55" s="6" t="s">
        <v>163</v>
      </c>
      <c r="B55" s="10">
        <f t="shared" si="1"/>
        <v>0.011071</v>
      </c>
      <c r="C55" s="10">
        <v>0.01</v>
      </c>
      <c r="D55" s="10">
        <v>0.0</v>
      </c>
      <c r="E55" s="10">
        <v>9.1E-4</v>
      </c>
      <c r="F55" s="10">
        <v>1.61E-4</v>
      </c>
      <c r="G55" s="10"/>
      <c r="H55" s="10"/>
      <c r="I55" s="10"/>
      <c r="J55" s="10"/>
    </row>
    <row r="56">
      <c r="A56" s="6" t="s">
        <v>165</v>
      </c>
      <c r="B56" s="10">
        <f t="shared" si="1"/>
        <v>0.011001</v>
      </c>
      <c r="C56" s="10">
        <v>0.01</v>
      </c>
      <c r="D56" s="10">
        <v>0.0</v>
      </c>
      <c r="E56" s="10">
        <v>8.3E-4</v>
      </c>
      <c r="F56" s="10">
        <v>1.71E-4</v>
      </c>
      <c r="G56" s="10"/>
      <c r="H56" s="10"/>
      <c r="I56" s="10"/>
      <c r="J56" s="10"/>
    </row>
    <row r="57">
      <c r="A57" s="6" t="s">
        <v>167</v>
      </c>
      <c r="B57" s="10">
        <f t="shared" si="1"/>
        <v>0.011625</v>
      </c>
      <c r="C57" s="10">
        <v>0.01</v>
      </c>
      <c r="D57" s="10">
        <v>0.0</v>
      </c>
      <c r="E57" s="10">
        <v>0.0014399999999999999</v>
      </c>
      <c r="F57" s="10">
        <v>1.85E-4</v>
      </c>
      <c r="G57" s="10"/>
      <c r="H57" s="10"/>
      <c r="I57" s="10"/>
      <c r="J57" s="10"/>
    </row>
    <row r="58">
      <c r="A58" s="6" t="s">
        <v>168</v>
      </c>
      <c r="B58" s="10">
        <f t="shared" si="1"/>
        <v>0.010909</v>
      </c>
      <c r="C58" s="10">
        <v>0.01</v>
      </c>
      <c r="D58" s="10">
        <v>0.0</v>
      </c>
      <c r="E58" s="10">
        <v>7.38E-4</v>
      </c>
      <c r="F58" s="10">
        <v>1.71E-4</v>
      </c>
      <c r="G58" s="10"/>
      <c r="H58" s="10"/>
      <c r="I58" s="10"/>
      <c r="J58" s="10"/>
    </row>
    <row r="59">
      <c r="A59" s="6" t="s">
        <v>169</v>
      </c>
      <c r="B59" s="10">
        <f t="shared" si="1"/>
        <v>0.0116255</v>
      </c>
      <c r="C59" s="10">
        <v>0.01</v>
      </c>
      <c r="D59" s="10">
        <v>7.45E-5</v>
      </c>
      <c r="E59" s="10">
        <v>0.0013900000000000002</v>
      </c>
      <c r="F59" s="10">
        <v>1.61E-4</v>
      </c>
      <c r="G59" s="10"/>
      <c r="H59" s="10"/>
      <c r="I59" s="10"/>
      <c r="J59" s="10"/>
    </row>
    <row r="60">
      <c r="A60" s="6" t="s">
        <v>129</v>
      </c>
      <c r="B60" s="10">
        <f t="shared" si="1"/>
        <v>0.011437</v>
      </c>
      <c r="C60" s="10">
        <v>0.01</v>
      </c>
      <c r="D60" s="10">
        <v>2.87E-4</v>
      </c>
      <c r="E60" s="10">
        <v>0.001003</v>
      </c>
      <c r="F60" s="10">
        <v>1.47E-4</v>
      </c>
      <c r="G60" s="10"/>
      <c r="H60" s="10"/>
      <c r="I60" s="10"/>
      <c r="J60" s="10"/>
    </row>
    <row r="61">
      <c r="A61" s="6" t="s">
        <v>173</v>
      </c>
      <c r="B61" s="10">
        <f t="shared" si="1"/>
        <v>0.011661</v>
      </c>
      <c r="C61" s="10">
        <v>0.01</v>
      </c>
      <c r="D61" s="10">
        <v>3.6E-5</v>
      </c>
      <c r="E61" s="10">
        <v>0.0014399999999999999</v>
      </c>
      <c r="F61" s="10">
        <v>1.85E-4</v>
      </c>
      <c r="G61" s="10"/>
      <c r="H61" s="10"/>
      <c r="I61" s="10"/>
      <c r="J61" s="10"/>
    </row>
    <row r="62">
      <c r="A62" s="6" t="s">
        <v>123</v>
      </c>
      <c r="B62" s="10">
        <f t="shared" si="1"/>
        <v>0.012</v>
      </c>
      <c r="C62" s="20">
        <v>0.01</v>
      </c>
      <c r="D62" s="20">
        <v>0.0</v>
      </c>
      <c r="E62" s="20">
        <v>2.5E-4</v>
      </c>
      <c r="F62" s="20">
        <v>0.00175</v>
      </c>
    </row>
    <row r="63">
      <c r="A63" s="6" t="s">
        <v>177</v>
      </c>
      <c r="B63" s="10">
        <f t="shared" si="1"/>
        <v>0.010783</v>
      </c>
      <c r="C63" s="20">
        <v>0.01</v>
      </c>
      <c r="D63" s="10">
        <v>0.0</v>
      </c>
      <c r="E63" s="10">
        <v>7.13E-4</v>
      </c>
      <c r="F63" s="10">
        <v>7.000000000000001E-5</v>
      </c>
      <c r="G63" s="10"/>
      <c r="H63" s="10"/>
      <c r="I63" s="10"/>
    </row>
    <row r="64">
      <c r="A64" s="6" t="s">
        <v>178</v>
      </c>
      <c r="B64" s="10">
        <f t="shared" si="1"/>
        <v>0.0118748</v>
      </c>
      <c r="C64" s="20">
        <v>0.01</v>
      </c>
      <c r="D64" s="10">
        <v>5.714E-4</v>
      </c>
      <c r="E64" s="10">
        <v>0.0012334</v>
      </c>
      <c r="F64" s="10">
        <v>7.000000000000001E-5</v>
      </c>
      <c r="G64" s="10"/>
      <c r="H64" s="10"/>
      <c r="I64" s="10"/>
    </row>
    <row r="65">
      <c r="A65" s="6" t="s">
        <v>179</v>
      </c>
      <c r="B65" s="10">
        <f t="shared" si="1"/>
        <v>0.0105331</v>
      </c>
      <c r="C65" s="20">
        <v>0.01</v>
      </c>
      <c r="D65" s="10">
        <v>0.0</v>
      </c>
      <c r="E65" s="10">
        <v>5.331E-4</v>
      </c>
      <c r="F65" s="10">
        <v>0.0</v>
      </c>
      <c r="G65" s="10"/>
      <c r="H65" s="10"/>
      <c r="I65" s="10"/>
    </row>
    <row r="66">
      <c r="A66" s="6" t="s">
        <v>180</v>
      </c>
      <c r="B66" s="10">
        <f t="shared" si="1"/>
        <v>0.0106384</v>
      </c>
      <c r="C66" s="20">
        <v>0.01</v>
      </c>
      <c r="D66" s="10">
        <v>0.0</v>
      </c>
      <c r="E66" s="10">
        <v>5.684E-4</v>
      </c>
      <c r="F66" s="10">
        <v>7.000000000000001E-5</v>
      </c>
      <c r="G66" s="10"/>
      <c r="H66" s="10"/>
      <c r="I66" s="10"/>
    </row>
    <row r="67">
      <c r="A67" s="6" t="s">
        <v>181</v>
      </c>
      <c r="B67" s="10">
        <f t="shared" si="1"/>
        <v>0.0117108</v>
      </c>
      <c r="C67" s="20">
        <v>0.01</v>
      </c>
      <c r="D67" s="10">
        <v>0.0</v>
      </c>
      <c r="E67" s="10">
        <v>0.0010045</v>
      </c>
      <c r="F67" s="10">
        <v>7.063E-4</v>
      </c>
      <c r="G67" s="10"/>
      <c r="H67" s="10"/>
      <c r="I67" s="10"/>
    </row>
    <row r="68">
      <c r="A68" s="6" t="s">
        <v>182</v>
      </c>
      <c r="B68" s="10">
        <f t="shared" si="1"/>
        <v>0.0105702</v>
      </c>
      <c r="C68" s="20">
        <v>0.01</v>
      </c>
      <c r="D68" s="10">
        <v>0.0</v>
      </c>
      <c r="E68" s="10">
        <v>3.143E-4</v>
      </c>
      <c r="F68" s="10">
        <v>2.5590000000000004E-4</v>
      </c>
      <c r="G68" s="10"/>
      <c r="H68" s="10"/>
      <c r="I68" s="10"/>
    </row>
    <row r="69">
      <c r="A69" s="6" t="s">
        <v>172</v>
      </c>
      <c r="B69" s="10">
        <f t="shared" si="1"/>
        <v>0.0114011</v>
      </c>
      <c r="C69" s="20">
        <v>0.01</v>
      </c>
      <c r="D69" s="10">
        <v>3.824E-4</v>
      </c>
      <c r="E69" s="10">
        <v>2.8680000000000003E-4</v>
      </c>
      <c r="F69" s="10">
        <v>7.319000000000001E-4</v>
      </c>
      <c r="G69" s="10"/>
      <c r="H69" s="10"/>
      <c r="I69" s="10"/>
    </row>
    <row r="70">
      <c r="A70" s="6" t="s">
        <v>186</v>
      </c>
      <c r="B70" s="10">
        <f t="shared" si="1"/>
        <v>0.0120381</v>
      </c>
      <c r="C70" s="20">
        <v>0.01</v>
      </c>
      <c r="D70" s="10">
        <v>0.0</v>
      </c>
      <c r="E70" s="10">
        <v>0.0012334</v>
      </c>
      <c r="F70" s="10">
        <v>8.047E-4</v>
      </c>
      <c r="G70" s="10"/>
      <c r="H70" s="10"/>
      <c r="I70" s="10"/>
    </row>
    <row r="71">
      <c r="A71" s="6" t="s">
        <v>187</v>
      </c>
      <c r="B71" s="10">
        <f t="shared" si="1"/>
        <v>0.0119599</v>
      </c>
      <c r="C71" s="20">
        <v>0.01</v>
      </c>
      <c r="D71" s="10">
        <v>5.365000000000001E-4</v>
      </c>
      <c r="E71" s="10">
        <v>0.0010045</v>
      </c>
      <c r="F71" s="10">
        <v>4.189E-4</v>
      </c>
      <c r="G71" s="10"/>
      <c r="H71" s="10"/>
      <c r="I71" s="10"/>
    </row>
    <row r="72">
      <c r="A72" s="6" t="s">
        <v>189</v>
      </c>
      <c r="B72" s="10">
        <f t="shared" si="1"/>
        <v>0.0127164</v>
      </c>
      <c r="C72" s="20">
        <v>0.01</v>
      </c>
      <c r="D72" s="10">
        <v>0.001443</v>
      </c>
      <c r="E72" s="10">
        <v>0.0010045</v>
      </c>
      <c r="F72" s="10">
        <v>2.6890000000000003E-4</v>
      </c>
      <c r="G72" s="10"/>
      <c r="H72" s="10"/>
      <c r="I72" s="10"/>
    </row>
    <row r="73">
      <c r="A73" s="6" t="s">
        <v>190</v>
      </c>
      <c r="B73" s="10">
        <f t="shared" si="1"/>
        <v>0.0117402</v>
      </c>
      <c r="C73" s="20">
        <v>0.01</v>
      </c>
      <c r="D73" s="10">
        <v>0.0</v>
      </c>
      <c r="E73" s="10">
        <v>0.0012334</v>
      </c>
      <c r="F73" s="10">
        <v>5.068000000000001E-4</v>
      </c>
      <c r="G73" s="10"/>
      <c r="H73" s="10"/>
      <c r="I73" s="10"/>
    </row>
    <row r="74">
      <c r="A74" s="6" t="s">
        <v>193</v>
      </c>
      <c r="B74" s="10">
        <f t="shared" si="1"/>
        <v>0.0111741</v>
      </c>
      <c r="C74" s="20">
        <v>0.01</v>
      </c>
      <c r="D74" s="10">
        <v>0.0</v>
      </c>
      <c r="E74" s="10">
        <v>0.0011041</v>
      </c>
      <c r="F74" s="10">
        <v>7.000000000000001E-5</v>
      </c>
      <c r="G74" s="10"/>
      <c r="H74" s="10"/>
      <c r="I74" s="10"/>
    </row>
    <row r="75">
      <c r="A75" s="6" t="s">
        <v>195</v>
      </c>
      <c r="B75" s="10">
        <f t="shared" si="1"/>
        <v>0.0112109</v>
      </c>
      <c r="C75" s="20">
        <v>0.01</v>
      </c>
      <c r="D75" s="10">
        <v>0.0</v>
      </c>
      <c r="E75" s="10">
        <v>7.106E-4</v>
      </c>
      <c r="F75" s="10">
        <v>5.003E-4</v>
      </c>
      <c r="G75" s="10"/>
      <c r="H75" s="10"/>
      <c r="I75" s="10"/>
    </row>
    <row r="76">
      <c r="A76" s="6" t="s">
        <v>122</v>
      </c>
      <c r="B76" s="10">
        <f t="shared" si="1"/>
        <v>0.0125114</v>
      </c>
      <c r="C76" s="20">
        <v>0.01</v>
      </c>
      <c r="D76" s="10">
        <v>0.0</v>
      </c>
      <c r="E76" s="10">
        <v>0.0023914</v>
      </c>
      <c r="F76" s="10">
        <v>1.2E-4</v>
      </c>
      <c r="G76" s="10"/>
      <c r="H76" s="10"/>
      <c r="I76" s="10"/>
    </row>
    <row r="77">
      <c r="A77" s="6" t="s">
        <v>198</v>
      </c>
      <c r="B77" s="10">
        <f t="shared" si="1"/>
        <v>0.0114247</v>
      </c>
      <c r="C77" s="20">
        <v>0.01</v>
      </c>
      <c r="D77" s="10">
        <v>0.0</v>
      </c>
      <c r="E77" s="10">
        <v>8.544000000000001E-4</v>
      </c>
      <c r="F77" s="10">
        <v>5.702999999999999E-4</v>
      </c>
      <c r="G77" s="10"/>
      <c r="H77" s="10"/>
      <c r="I77" s="10"/>
    </row>
    <row r="78">
      <c r="A78" s="6" t="s">
        <v>206</v>
      </c>
      <c r="B78" s="10">
        <f t="shared" si="1"/>
        <v>0.0117129</v>
      </c>
      <c r="C78" s="20">
        <v>0.01</v>
      </c>
      <c r="D78" s="10">
        <v>4.395E-4</v>
      </c>
      <c r="E78" s="10">
        <v>0.0010045</v>
      </c>
      <c r="F78" s="10">
        <v>2.6890000000000003E-4</v>
      </c>
      <c r="G78" s="10"/>
      <c r="H78" s="10"/>
      <c r="I78" s="10"/>
    </row>
    <row r="79">
      <c r="A79" s="6" t="s">
        <v>207</v>
      </c>
      <c r="B79" s="10">
        <f t="shared" si="1"/>
        <v>0.0106109</v>
      </c>
      <c r="C79" s="20">
        <v>0.01</v>
      </c>
      <c r="D79" s="10">
        <v>2.266E-4</v>
      </c>
      <c r="E79" s="10">
        <v>3.143E-4</v>
      </c>
      <c r="F79" s="10">
        <v>7.000000000000001E-5</v>
      </c>
      <c r="G79" s="10"/>
      <c r="H79" s="10"/>
      <c r="I79" s="10"/>
    </row>
    <row r="80">
      <c r="A80" s="6" t="s">
        <v>208</v>
      </c>
      <c r="B80" s="10">
        <f t="shared" si="1"/>
        <v>0.0112952</v>
      </c>
      <c r="C80" s="20">
        <v>0.01</v>
      </c>
      <c r="D80" s="10">
        <v>0.0</v>
      </c>
      <c r="E80" s="10">
        <v>0.0010349</v>
      </c>
      <c r="F80" s="10">
        <v>2.603E-4</v>
      </c>
      <c r="G80" s="10"/>
      <c r="H80" s="10"/>
      <c r="I80" s="10"/>
    </row>
    <row r="81">
      <c r="A81" s="6" t="s">
        <v>210</v>
      </c>
      <c r="B81" s="10">
        <f t="shared" si="1"/>
        <v>0.012779</v>
      </c>
      <c r="C81" s="20">
        <v>0.01</v>
      </c>
      <c r="D81" s="10">
        <v>0.0012</v>
      </c>
      <c r="E81" s="10">
        <v>0.001332</v>
      </c>
      <c r="F81" s="10">
        <v>2.47E-4</v>
      </c>
      <c r="G81" s="10"/>
      <c r="H81" s="10"/>
      <c r="I81" s="10"/>
    </row>
    <row r="82">
      <c r="A82" s="6" t="s">
        <v>211</v>
      </c>
      <c r="B82" s="10">
        <f t="shared" si="1"/>
        <v>0.012323</v>
      </c>
      <c r="C82" s="20">
        <v>0.01</v>
      </c>
      <c r="D82" s="10">
        <v>4.9E-4</v>
      </c>
      <c r="E82" s="10">
        <v>0.001586</v>
      </c>
      <c r="F82" s="10">
        <v>2.47E-4</v>
      </c>
      <c r="G82" s="10"/>
      <c r="H82" s="10"/>
      <c r="I82" s="10"/>
    </row>
    <row r="83">
      <c r="A83" s="6" t="s">
        <v>188</v>
      </c>
      <c r="B83" s="10">
        <f t="shared" si="1"/>
        <v>0.011724</v>
      </c>
      <c r="C83" s="20">
        <v>0.01</v>
      </c>
      <c r="D83" s="10">
        <v>0.0</v>
      </c>
      <c r="E83" s="10">
        <v>0.0012889999999999998</v>
      </c>
      <c r="F83" s="10">
        <v>4.3499999999999995E-4</v>
      </c>
      <c r="G83" s="10"/>
      <c r="H83" s="10"/>
      <c r="I83" s="10"/>
    </row>
    <row r="84">
      <c r="A84" s="6" t="s">
        <v>212</v>
      </c>
      <c r="B84" s="10">
        <f t="shared" si="1"/>
        <v>0.011741</v>
      </c>
      <c r="C84" s="20">
        <v>0.01</v>
      </c>
      <c r="D84" s="10">
        <v>3.2E-5</v>
      </c>
      <c r="E84" s="10">
        <v>0.0011840000000000002</v>
      </c>
      <c r="F84" s="10">
        <v>5.25E-4</v>
      </c>
      <c r="G84" s="10"/>
      <c r="H84" s="10"/>
      <c r="I84" s="10"/>
    </row>
    <row r="85">
      <c r="A85" s="6" t="s">
        <v>213</v>
      </c>
      <c r="B85" s="10">
        <f t="shared" si="1"/>
        <v>0.010913</v>
      </c>
      <c r="C85" s="20">
        <v>0.01</v>
      </c>
      <c r="D85" s="10">
        <v>0.0</v>
      </c>
      <c r="E85" s="10">
        <v>8.99E-4</v>
      </c>
      <c r="F85" s="10">
        <v>1.4E-5</v>
      </c>
      <c r="G85" s="10"/>
      <c r="H85" s="10"/>
      <c r="I85" s="10"/>
    </row>
    <row r="86">
      <c r="A86" s="6" t="s">
        <v>214</v>
      </c>
      <c r="B86" s="10">
        <f t="shared" si="1"/>
        <v>0.010913</v>
      </c>
      <c r="C86" s="20">
        <v>0.01</v>
      </c>
      <c r="D86" s="10">
        <v>0.0</v>
      </c>
      <c r="E86" s="10">
        <v>8.99E-4</v>
      </c>
      <c r="F86" s="10">
        <v>1.4E-5</v>
      </c>
      <c r="G86" s="10"/>
      <c r="H86" s="10"/>
      <c r="I86" s="10"/>
    </row>
    <row r="87">
      <c r="A87" s="6" t="s">
        <v>215</v>
      </c>
      <c r="B87" s="10">
        <f t="shared" si="1"/>
        <v>0.01156</v>
      </c>
      <c r="C87" s="20">
        <v>0.01</v>
      </c>
      <c r="D87" s="10">
        <v>0.0</v>
      </c>
      <c r="E87" s="10">
        <v>0.0015459999999999998</v>
      </c>
      <c r="F87" s="10">
        <v>1.4E-5</v>
      </c>
      <c r="G87" s="10"/>
      <c r="H87" s="10"/>
      <c r="I87" s="10"/>
    </row>
    <row r="88">
      <c r="A88" s="6" t="s">
        <v>217</v>
      </c>
      <c r="B88" s="10">
        <f t="shared" si="1"/>
        <v>0.011196</v>
      </c>
      <c r="C88" s="20">
        <v>0.01</v>
      </c>
      <c r="D88" s="10">
        <v>0.0</v>
      </c>
      <c r="E88" s="10">
        <v>0.0011819999999999999</v>
      </c>
      <c r="F88" s="10">
        <v>1.4E-5</v>
      </c>
      <c r="G88" s="10"/>
      <c r="H88" s="10"/>
      <c r="I88" s="10"/>
    </row>
    <row r="89">
      <c r="A89" s="6" t="s">
        <v>222</v>
      </c>
      <c r="B89" s="10">
        <f t="shared" si="1"/>
        <v>0.011602</v>
      </c>
      <c r="C89" s="20">
        <v>0.01</v>
      </c>
      <c r="D89" s="10">
        <v>0.0</v>
      </c>
      <c r="E89" s="10">
        <v>0.001588</v>
      </c>
      <c r="F89" s="10">
        <v>1.4E-5</v>
      </c>
      <c r="G89" s="10"/>
      <c r="H89" s="10"/>
      <c r="I89" s="10"/>
    </row>
    <row r="90">
      <c r="A90" s="6" t="s">
        <v>224</v>
      </c>
      <c r="B90" s="10">
        <f t="shared" si="1"/>
        <v>0.011602</v>
      </c>
      <c r="C90" s="20">
        <v>0.01</v>
      </c>
      <c r="D90" s="10">
        <v>0.0</v>
      </c>
      <c r="E90" s="10">
        <v>0.001588</v>
      </c>
      <c r="F90" s="10">
        <v>1.4E-5</v>
      </c>
      <c r="G90" s="10"/>
      <c r="H90" s="10"/>
      <c r="I90" s="10"/>
    </row>
    <row r="91">
      <c r="A91" s="6" t="s">
        <v>225</v>
      </c>
      <c r="B91" s="10">
        <f t="shared" si="1"/>
        <v>0.011191</v>
      </c>
      <c r="C91" s="20">
        <v>0.01</v>
      </c>
      <c r="D91" s="10">
        <v>0.0</v>
      </c>
      <c r="E91" s="10">
        <v>0.001177</v>
      </c>
      <c r="F91" s="10">
        <v>1.4E-5</v>
      </c>
      <c r="G91" s="10"/>
      <c r="H91" s="10"/>
      <c r="I91" s="10"/>
    </row>
    <row r="92">
      <c r="A92" s="6" t="s">
        <v>226</v>
      </c>
      <c r="B92" s="10">
        <f t="shared" si="1"/>
        <v>0.01086</v>
      </c>
      <c r="C92" s="20">
        <v>0.01</v>
      </c>
      <c r="D92" s="10">
        <v>1.4E-5</v>
      </c>
      <c r="E92" s="10">
        <v>8.32E-4</v>
      </c>
      <c r="F92" s="10">
        <v>1.4E-5</v>
      </c>
      <c r="G92" s="10"/>
      <c r="H92" s="10"/>
      <c r="I92" s="10"/>
    </row>
    <row r="93">
      <c r="A93" s="6" t="s">
        <v>230</v>
      </c>
      <c r="B93" s="10">
        <f t="shared" si="1"/>
        <v>0.011774</v>
      </c>
      <c r="C93" s="20">
        <v>0.01</v>
      </c>
      <c r="D93" s="10">
        <v>0.0</v>
      </c>
      <c r="E93" s="10">
        <v>0.0017599999999999998</v>
      </c>
      <c r="F93" s="10">
        <v>1.4E-5</v>
      </c>
      <c r="G93" s="10"/>
      <c r="H93" s="10"/>
      <c r="I93" s="10"/>
    </row>
    <row r="94">
      <c r="A94" s="6" t="s">
        <v>231</v>
      </c>
      <c r="B94" s="10">
        <f t="shared" si="1"/>
        <v>0.011602</v>
      </c>
      <c r="C94" s="20">
        <v>0.01</v>
      </c>
      <c r="D94" s="10">
        <v>0.0</v>
      </c>
      <c r="E94" s="10">
        <v>0.001588</v>
      </c>
      <c r="F94" s="10">
        <v>1.4E-5</v>
      </c>
      <c r="G94" s="10"/>
      <c r="H94" s="10"/>
      <c r="I94" s="10"/>
    </row>
    <row r="95">
      <c r="A95" s="6" t="s">
        <v>232</v>
      </c>
      <c r="B95" s="10">
        <f t="shared" si="1"/>
        <v>0.011602</v>
      </c>
      <c r="C95" s="20">
        <v>0.01</v>
      </c>
      <c r="D95" s="10">
        <v>0.0</v>
      </c>
      <c r="E95" s="10">
        <v>0.001588</v>
      </c>
      <c r="F95" s="10">
        <v>1.4E-5</v>
      </c>
      <c r="G95" s="10"/>
      <c r="H95" s="10"/>
      <c r="I95" s="10"/>
    </row>
    <row r="96">
      <c r="A96" s="6" t="s">
        <v>233</v>
      </c>
      <c r="B96" s="10">
        <f t="shared" si="1"/>
        <v>0.010718</v>
      </c>
      <c r="C96" s="20">
        <v>0.01</v>
      </c>
      <c r="D96" s="10">
        <v>9.2E-5</v>
      </c>
      <c r="E96" s="10">
        <v>6.12E-4</v>
      </c>
      <c r="F96" s="10">
        <v>1.4E-5</v>
      </c>
      <c r="G96" s="10"/>
      <c r="H96" s="10"/>
      <c r="I96" s="10"/>
    </row>
    <row r="97">
      <c r="A97" s="6" t="s">
        <v>235</v>
      </c>
      <c r="B97" s="10">
        <f t="shared" si="1"/>
        <v>0.011774</v>
      </c>
      <c r="C97" s="20">
        <v>0.01</v>
      </c>
      <c r="D97" s="10">
        <v>0.0</v>
      </c>
      <c r="E97" s="10">
        <v>0.0017599999999999998</v>
      </c>
      <c r="F97" s="10">
        <v>1.4E-5</v>
      </c>
      <c r="G97" s="10"/>
      <c r="H97" s="10"/>
      <c r="I97" s="10"/>
    </row>
    <row r="98">
      <c r="A98" s="6" t="s">
        <v>237</v>
      </c>
      <c r="B98" s="10">
        <f t="shared" si="1"/>
        <v>0.01086</v>
      </c>
      <c r="C98" s="20">
        <v>0.01</v>
      </c>
      <c r="D98" s="10">
        <v>0.0</v>
      </c>
      <c r="E98" s="10">
        <v>8.46E-4</v>
      </c>
      <c r="F98" s="10">
        <v>1.4E-5</v>
      </c>
      <c r="G98" s="10"/>
      <c r="H98" s="10"/>
      <c r="I98" s="10"/>
    </row>
    <row r="99">
      <c r="A99" s="6" t="s">
        <v>240</v>
      </c>
      <c r="B99" s="10">
        <f t="shared" si="1"/>
        <v>0.010941</v>
      </c>
      <c r="C99" s="20">
        <v>0.01</v>
      </c>
      <c r="D99" s="10">
        <v>0.0</v>
      </c>
      <c r="E99" s="10">
        <v>9.270000000000001E-4</v>
      </c>
      <c r="F99" s="10">
        <v>1.4E-5</v>
      </c>
      <c r="G99" s="10"/>
      <c r="H99" s="10"/>
      <c r="I99" s="10"/>
    </row>
    <row r="100">
      <c r="A100" s="6" t="s">
        <v>242</v>
      </c>
      <c r="B100" s="10">
        <f t="shared" si="1"/>
        <v>0.010941</v>
      </c>
      <c r="C100" s="20">
        <v>0.01</v>
      </c>
      <c r="D100" s="10">
        <v>0.0</v>
      </c>
      <c r="E100" s="10">
        <v>9.270000000000001E-4</v>
      </c>
      <c r="F100" s="10">
        <v>1.4E-5</v>
      </c>
      <c r="G100" s="10"/>
      <c r="H100" s="10"/>
      <c r="I100" s="10"/>
    </row>
    <row r="101">
      <c r="A101" s="6" t="s">
        <v>243</v>
      </c>
      <c r="B101" s="10">
        <f t="shared" si="1"/>
        <v>0.010831</v>
      </c>
      <c r="C101" s="20">
        <v>0.01</v>
      </c>
      <c r="D101" s="10">
        <v>0.0</v>
      </c>
      <c r="E101" s="10">
        <v>8.169999999999999E-4</v>
      </c>
      <c r="F101" s="10">
        <v>1.4E-5</v>
      </c>
      <c r="G101" s="10"/>
      <c r="H101" s="10"/>
      <c r="I101" s="10"/>
    </row>
    <row r="102">
      <c r="A102" s="6" t="s">
        <v>124</v>
      </c>
      <c r="B102" s="10">
        <f t="shared" si="1"/>
        <v>0.011201</v>
      </c>
      <c r="C102" s="20">
        <v>0.01</v>
      </c>
      <c r="D102" s="10">
        <v>3.0E-5</v>
      </c>
      <c r="E102" s="10">
        <v>0.001157</v>
      </c>
      <c r="F102" s="10">
        <v>1.4E-5</v>
      </c>
      <c r="G102" s="10"/>
      <c r="H102" s="10"/>
      <c r="I102" s="10"/>
    </row>
    <row r="103">
      <c r="A103" s="6" t="s">
        <v>244</v>
      </c>
      <c r="B103" s="10">
        <f t="shared" si="1"/>
        <v>0.011201</v>
      </c>
      <c r="C103" s="20">
        <v>0.01</v>
      </c>
      <c r="D103" s="10">
        <v>3.0E-5</v>
      </c>
      <c r="E103" s="10">
        <v>0.001157</v>
      </c>
      <c r="F103" s="10">
        <v>1.4E-5</v>
      </c>
      <c r="G103" s="10"/>
      <c r="H103" s="10"/>
      <c r="I103" s="10"/>
    </row>
    <row r="104">
      <c r="A104" s="6" t="s">
        <v>245</v>
      </c>
      <c r="B104" s="10">
        <f t="shared" si="1"/>
        <v>0.010935</v>
      </c>
      <c r="C104" s="20">
        <v>0.01</v>
      </c>
      <c r="D104" s="10">
        <v>0.0</v>
      </c>
      <c r="E104" s="10">
        <v>9.21E-4</v>
      </c>
      <c r="F104" s="10">
        <v>1.4E-5</v>
      </c>
      <c r="G104" s="10"/>
      <c r="H104" s="10"/>
      <c r="I104" s="10"/>
    </row>
    <row r="105">
      <c r="A105" s="6" t="s">
        <v>121</v>
      </c>
      <c r="B105" s="10">
        <f t="shared" si="1"/>
        <v>0.0113</v>
      </c>
      <c r="C105" s="20">
        <v>0.01</v>
      </c>
      <c r="D105" s="10">
        <v>0.0</v>
      </c>
      <c r="E105" s="20">
        <v>6.0E-4</v>
      </c>
      <c r="F105" s="20">
        <v>7.0E-4</v>
      </c>
    </row>
    <row r="106">
      <c r="A106" s="6" t="s">
        <v>250</v>
      </c>
      <c r="B106" s="10">
        <f t="shared" si="1"/>
        <v>0.01084</v>
      </c>
      <c r="C106" s="20">
        <v>0.01</v>
      </c>
      <c r="D106" s="20">
        <v>1.4E-4</v>
      </c>
      <c r="E106" s="20">
        <v>4.0E-4</v>
      </c>
      <c r="F106" s="20">
        <v>3.0E-4</v>
      </c>
    </row>
    <row r="107">
      <c r="A107" s="6" t="s">
        <v>251</v>
      </c>
      <c r="B107" s="10">
        <f t="shared" si="1"/>
        <v>0.010944</v>
      </c>
      <c r="C107" s="20">
        <v>0.01</v>
      </c>
      <c r="D107" s="10">
        <v>0.0</v>
      </c>
      <c r="E107" s="20">
        <v>9.36E-4</v>
      </c>
      <c r="F107" s="20">
        <v>8.0E-6</v>
      </c>
    </row>
    <row r="108">
      <c r="A108" s="6" t="s">
        <v>252</v>
      </c>
      <c r="B108" s="10">
        <f t="shared" si="1"/>
        <v>0.010472</v>
      </c>
      <c r="C108" s="20">
        <v>0.01</v>
      </c>
      <c r="D108" s="10">
        <v>0.0</v>
      </c>
      <c r="E108" s="20">
        <v>2.42E-4</v>
      </c>
      <c r="F108" s="20">
        <v>2.3E-4</v>
      </c>
    </row>
    <row r="109">
      <c r="A109" s="6" t="s">
        <v>113</v>
      </c>
      <c r="B109" s="10">
        <f t="shared" si="1"/>
        <v>0.0125</v>
      </c>
      <c r="C109" s="20">
        <v>0.01</v>
      </c>
      <c r="D109" s="10">
        <v>0.0</v>
      </c>
      <c r="E109" s="20">
        <v>0.0023</v>
      </c>
      <c r="F109" s="20">
        <v>2.0E-4</v>
      </c>
    </row>
    <row r="110">
      <c r="A110" s="6" t="s">
        <v>128</v>
      </c>
      <c r="B110" s="10">
        <f t="shared" si="1"/>
        <v>0.011372</v>
      </c>
      <c r="C110" s="20">
        <v>0.01</v>
      </c>
      <c r="D110" s="10">
        <v>0.0</v>
      </c>
      <c r="E110" s="10">
        <v>0.0013020000000000002</v>
      </c>
      <c r="F110" s="10">
        <v>7.000000000000001E-5</v>
      </c>
      <c r="G110" s="10"/>
      <c r="H110" s="10"/>
      <c r="I110" s="10"/>
    </row>
    <row r="111">
      <c r="A111" s="6" t="s">
        <v>253</v>
      </c>
      <c r="B111" s="10">
        <f t="shared" si="1"/>
        <v>0.011309</v>
      </c>
      <c r="C111" s="20">
        <v>0.01</v>
      </c>
      <c r="D111" s="10">
        <v>4.5E-4</v>
      </c>
      <c r="E111" s="10">
        <v>7.89E-4</v>
      </c>
      <c r="F111" s="10">
        <v>7.000000000000001E-5</v>
      </c>
      <c r="G111" s="10"/>
      <c r="H111" s="10"/>
      <c r="I111" s="10"/>
    </row>
    <row r="112">
      <c r="A112" s="6" t="s">
        <v>254</v>
      </c>
      <c r="B112" s="10">
        <f t="shared" si="1"/>
        <v>0.011508</v>
      </c>
      <c r="C112" s="20">
        <v>0.01</v>
      </c>
      <c r="D112" s="10">
        <v>4.5E-4</v>
      </c>
      <c r="E112" s="10">
        <v>0.0010580000000000001</v>
      </c>
      <c r="F112" s="10">
        <v>0.0</v>
      </c>
      <c r="G112" s="10"/>
      <c r="H112" s="10"/>
      <c r="I112" s="10"/>
    </row>
    <row r="113">
      <c r="A113" s="6" t="s">
        <v>255</v>
      </c>
      <c r="B113" s="10">
        <f t="shared" si="1"/>
        <v>0.010914</v>
      </c>
      <c r="C113" s="20">
        <v>0.01</v>
      </c>
      <c r="D113" s="10">
        <v>1.5E-4</v>
      </c>
      <c r="E113" s="10">
        <v>6.940000000000001E-4</v>
      </c>
      <c r="F113" s="10">
        <v>7.000000000000001E-5</v>
      </c>
      <c r="G113" s="10"/>
      <c r="H113" s="10"/>
      <c r="I113" s="10"/>
    </row>
    <row r="114">
      <c r="A114" s="6" t="s">
        <v>256</v>
      </c>
      <c r="B114" s="10">
        <f t="shared" si="1"/>
        <v>0.010159</v>
      </c>
      <c r="C114" s="20">
        <v>0.01</v>
      </c>
      <c r="D114" s="10">
        <v>0.0</v>
      </c>
      <c r="E114" s="10">
        <v>8.9E-5</v>
      </c>
      <c r="F114" s="10">
        <v>7.000000000000001E-5</v>
      </c>
      <c r="G114" s="10"/>
      <c r="H114" s="10"/>
      <c r="I114" s="10"/>
    </row>
    <row r="115">
      <c r="A115" s="6" t="s">
        <v>259</v>
      </c>
      <c r="B115" s="10">
        <f t="shared" si="1"/>
        <v>0.011128</v>
      </c>
      <c r="C115" s="20">
        <v>0.01</v>
      </c>
      <c r="D115" s="10">
        <v>0.0</v>
      </c>
      <c r="E115" s="10">
        <v>0.0010580000000000001</v>
      </c>
      <c r="F115" s="10">
        <v>7.000000000000001E-5</v>
      </c>
      <c r="G115" s="10"/>
      <c r="H115" s="10"/>
      <c r="I115" s="10"/>
    </row>
    <row r="116">
      <c r="A116" s="6" t="s">
        <v>265</v>
      </c>
      <c r="B116" s="10">
        <f t="shared" si="1"/>
        <v>0.010477</v>
      </c>
      <c r="C116" s="20">
        <v>0.01</v>
      </c>
      <c r="D116" s="10">
        <v>0.0</v>
      </c>
      <c r="E116" s="10">
        <v>4.07E-4</v>
      </c>
      <c r="F116" s="10">
        <v>7.000000000000001E-5</v>
      </c>
      <c r="G116" s="10"/>
      <c r="H116" s="10"/>
      <c r="I116" s="10"/>
    </row>
    <row r="117">
      <c r="A117" s="6" t="s">
        <v>119</v>
      </c>
      <c r="B117" s="10">
        <f t="shared" si="1"/>
        <v>0.010593</v>
      </c>
      <c r="C117" s="20">
        <v>0.01</v>
      </c>
      <c r="D117" s="10">
        <v>0.0</v>
      </c>
      <c r="E117" s="10">
        <v>5.23E-4</v>
      </c>
      <c r="F117" s="10">
        <v>7.000000000000001E-5</v>
      </c>
      <c r="G117" s="10"/>
      <c r="H117" s="10"/>
      <c r="I117" s="10"/>
    </row>
    <row r="118">
      <c r="A118" s="6" t="s">
        <v>266</v>
      </c>
      <c r="B118" s="10">
        <f t="shared" si="1"/>
        <v>0.010599</v>
      </c>
      <c r="C118" s="20">
        <v>0.01</v>
      </c>
      <c r="D118" s="10">
        <v>0.0</v>
      </c>
      <c r="E118" s="10">
        <v>5.290000000000001E-4</v>
      </c>
      <c r="F118" s="10">
        <v>7.000000000000001E-5</v>
      </c>
      <c r="G118" s="10"/>
      <c r="H118" s="10"/>
      <c r="I118" s="10"/>
    </row>
    <row r="119">
      <c r="A119" s="6" t="s">
        <v>267</v>
      </c>
      <c r="B119" s="10">
        <f t="shared" si="1"/>
        <v>0.010084</v>
      </c>
      <c r="C119" s="20">
        <v>0.01</v>
      </c>
      <c r="D119" s="10">
        <v>0.0</v>
      </c>
      <c r="E119" s="10">
        <v>1.4E-5</v>
      </c>
      <c r="F119" s="10">
        <v>7.000000000000001E-5</v>
      </c>
      <c r="G119" s="10"/>
      <c r="H119" s="10"/>
      <c r="I119" s="10"/>
    </row>
    <row r="120">
      <c r="A120" s="6" t="s">
        <v>268</v>
      </c>
      <c r="B120" s="10">
        <f t="shared" si="1"/>
        <v>0.011195</v>
      </c>
      <c r="C120" s="20">
        <v>0.01</v>
      </c>
      <c r="D120" s="10">
        <v>0.0</v>
      </c>
      <c r="E120" s="10">
        <v>0.0011250000000000001</v>
      </c>
      <c r="F120" s="10">
        <v>7.000000000000001E-5</v>
      </c>
      <c r="G120" s="10"/>
      <c r="H120" s="10"/>
      <c r="I120" s="10"/>
    </row>
    <row r="121">
      <c r="A121" s="6" t="s">
        <v>269</v>
      </c>
      <c r="B121" s="10">
        <f t="shared" si="1"/>
        <v>0.011125</v>
      </c>
      <c r="C121" s="20">
        <v>0.01</v>
      </c>
      <c r="D121" s="10">
        <v>0.0</v>
      </c>
      <c r="E121" s="10">
        <v>0.001055</v>
      </c>
      <c r="F121" s="10">
        <v>7.000000000000001E-5</v>
      </c>
      <c r="G121" s="10"/>
      <c r="H121" s="10"/>
      <c r="I121" s="10"/>
    </row>
    <row r="122">
      <c r="A122" s="6" t="s">
        <v>270</v>
      </c>
      <c r="B122" s="10">
        <f t="shared" si="1"/>
        <v>0.010915</v>
      </c>
      <c r="C122" s="20">
        <v>0.01</v>
      </c>
      <c r="D122" s="10">
        <v>0.0</v>
      </c>
      <c r="E122" s="10">
        <v>8.45E-4</v>
      </c>
      <c r="F122" s="10">
        <v>7.000000000000001E-5</v>
      </c>
      <c r="G122" s="10"/>
      <c r="H122" s="10"/>
      <c r="I122" s="10"/>
    </row>
    <row r="123">
      <c r="A123" s="6" t="s">
        <v>271</v>
      </c>
      <c r="B123" s="10">
        <f t="shared" si="1"/>
        <v>0.011372</v>
      </c>
      <c r="C123" s="20">
        <v>0.01</v>
      </c>
      <c r="D123" s="10">
        <v>0.0</v>
      </c>
      <c r="E123" s="10">
        <v>0.0013020000000000002</v>
      </c>
      <c r="F123" s="10">
        <v>7.000000000000001E-5</v>
      </c>
      <c r="G123" s="10"/>
      <c r="H123" s="10"/>
      <c r="I123" s="10"/>
    </row>
    <row r="124">
      <c r="A124" s="6" t="s">
        <v>272</v>
      </c>
      <c r="B124" s="10">
        <f t="shared" si="1"/>
        <v>0.010477</v>
      </c>
      <c r="C124" s="20">
        <v>0.01</v>
      </c>
      <c r="D124" s="10">
        <v>0.0</v>
      </c>
      <c r="E124" s="10">
        <v>4.07E-4</v>
      </c>
      <c r="F124" s="10">
        <v>7.000000000000001E-5</v>
      </c>
      <c r="G124" s="10"/>
      <c r="H124" s="10"/>
      <c r="I124" s="10"/>
    </row>
    <row r="125">
      <c r="A125" s="6" t="s">
        <v>273</v>
      </c>
      <c r="B125" s="10">
        <f t="shared" si="1"/>
        <v>0.011162</v>
      </c>
      <c r="C125" s="20">
        <v>0.01</v>
      </c>
      <c r="D125" s="10">
        <v>0.0</v>
      </c>
      <c r="E125" s="10">
        <v>0.001092</v>
      </c>
      <c r="F125" s="10">
        <v>7.000000000000001E-5</v>
      </c>
      <c r="G125" s="10"/>
      <c r="H125" s="10"/>
      <c r="I125" s="10"/>
    </row>
    <row r="126">
      <c r="A126" s="6" t="s">
        <v>274</v>
      </c>
      <c r="B126" s="10">
        <f t="shared" si="1"/>
        <v>0.011333</v>
      </c>
      <c r="C126" s="20">
        <v>0.01</v>
      </c>
      <c r="D126" s="10">
        <v>0.0</v>
      </c>
      <c r="E126" s="10">
        <v>0.001263</v>
      </c>
      <c r="F126" s="10">
        <v>7.000000000000001E-5</v>
      </c>
      <c r="G126" s="10"/>
      <c r="H126" s="10"/>
      <c r="I126" s="10"/>
    </row>
    <row r="127">
      <c r="A127" s="6" t="s">
        <v>275</v>
      </c>
      <c r="B127" s="10">
        <f t="shared" si="1"/>
        <v>0.011369</v>
      </c>
      <c r="C127" s="20">
        <v>0.01</v>
      </c>
      <c r="D127" s="10">
        <v>0.0</v>
      </c>
      <c r="E127" s="10">
        <v>0.0012989999999999998</v>
      </c>
      <c r="F127" s="10">
        <v>7.000000000000001E-5</v>
      </c>
      <c r="G127" s="10"/>
      <c r="H127" s="10"/>
      <c r="I127" s="10"/>
    </row>
    <row r="128">
      <c r="A128" s="6" t="s">
        <v>276</v>
      </c>
      <c r="B128" s="10">
        <f t="shared" si="1"/>
        <v>0.011132</v>
      </c>
      <c r="C128" s="20">
        <v>0.01</v>
      </c>
      <c r="D128" s="10">
        <v>0.0</v>
      </c>
      <c r="E128" s="10">
        <v>0.001062</v>
      </c>
      <c r="F128" s="10">
        <v>7.000000000000001E-5</v>
      </c>
      <c r="G128" s="10"/>
      <c r="H128" s="10"/>
      <c r="I128" s="10"/>
    </row>
    <row r="129">
      <c r="A129" s="6" t="s">
        <v>281</v>
      </c>
      <c r="B129" s="10">
        <f t="shared" si="1"/>
        <v>0.010953</v>
      </c>
      <c r="C129" s="20">
        <v>0.01</v>
      </c>
      <c r="D129" s="10">
        <v>0.0</v>
      </c>
      <c r="E129" s="10">
        <v>8.83E-4</v>
      </c>
      <c r="F129" s="10">
        <v>7.000000000000001E-5</v>
      </c>
      <c r="G129" s="10"/>
      <c r="H129" s="10"/>
      <c r="I129" s="10"/>
    </row>
    <row r="130">
      <c r="A130" s="6" t="s">
        <v>283</v>
      </c>
      <c r="B130" s="10">
        <f t="shared" si="1"/>
        <v>0.010883</v>
      </c>
      <c r="C130" s="20">
        <v>0.01</v>
      </c>
      <c r="D130" s="10">
        <v>0.0</v>
      </c>
      <c r="E130" s="10">
        <v>8.129999999999999E-4</v>
      </c>
      <c r="F130" s="10">
        <v>7.000000000000001E-5</v>
      </c>
      <c r="G130" s="10"/>
      <c r="H130" s="10"/>
      <c r="I130" s="10"/>
    </row>
    <row r="131">
      <c r="A131" s="6" t="s">
        <v>284</v>
      </c>
      <c r="B131" s="10">
        <f t="shared" si="1"/>
        <v>0.011132</v>
      </c>
      <c r="C131" s="20">
        <v>0.01</v>
      </c>
      <c r="D131" s="10">
        <v>0.0</v>
      </c>
      <c r="E131" s="10">
        <v>0.001062</v>
      </c>
      <c r="F131" s="10">
        <v>7.000000000000001E-5</v>
      </c>
      <c r="G131" s="10"/>
      <c r="H131" s="10"/>
      <c r="I131" s="10"/>
    </row>
    <row r="132">
      <c r="A132" s="6" t="s">
        <v>286</v>
      </c>
      <c r="B132" s="10">
        <f t="shared" si="1"/>
        <v>0.010248</v>
      </c>
      <c r="C132" s="20">
        <v>0.01</v>
      </c>
      <c r="D132" s="10">
        <v>1.64E-4</v>
      </c>
      <c r="E132" s="10">
        <v>1.4E-5</v>
      </c>
      <c r="F132" s="10">
        <v>7.000000000000001E-5</v>
      </c>
      <c r="G132" s="10"/>
      <c r="H132" s="10"/>
      <c r="I132" s="10"/>
    </row>
    <row r="133">
      <c r="A133" s="6" t="s">
        <v>287</v>
      </c>
      <c r="B133" s="10">
        <f t="shared" si="1"/>
        <v>0.010593</v>
      </c>
      <c r="C133" s="20">
        <v>0.01</v>
      </c>
      <c r="D133" s="10">
        <v>0.0</v>
      </c>
      <c r="E133" s="10">
        <v>5.23E-4</v>
      </c>
      <c r="F133" s="10">
        <v>7.000000000000001E-5</v>
      </c>
      <c r="G133" s="10"/>
      <c r="H133" s="10"/>
      <c r="I133" s="10"/>
    </row>
    <row r="134">
      <c r="A134" s="6" t="s">
        <v>291</v>
      </c>
      <c r="B134" s="10">
        <f t="shared" si="1"/>
        <v>0.010599</v>
      </c>
      <c r="C134" s="20">
        <v>0.01</v>
      </c>
      <c r="D134" s="10">
        <v>0.0</v>
      </c>
      <c r="E134" s="10">
        <v>5.290000000000001E-4</v>
      </c>
      <c r="F134" s="10">
        <v>7.000000000000001E-5</v>
      </c>
      <c r="G134" s="10"/>
      <c r="H134" s="10"/>
      <c r="I134" s="10"/>
    </row>
    <row r="135">
      <c r="A135" s="6" t="s">
        <v>292</v>
      </c>
      <c r="B135" s="10">
        <f t="shared" si="1"/>
        <v>0.010599</v>
      </c>
      <c r="C135" s="20">
        <v>0.01</v>
      </c>
      <c r="D135" s="10">
        <v>0.0</v>
      </c>
      <c r="E135" s="10">
        <v>5.290000000000001E-4</v>
      </c>
      <c r="F135" s="10">
        <v>7.000000000000001E-5</v>
      </c>
      <c r="G135" s="10"/>
      <c r="H135" s="10"/>
      <c r="I135" s="10"/>
    </row>
    <row r="136">
      <c r="A136" s="6" t="s">
        <v>293</v>
      </c>
      <c r="B136" s="10">
        <f t="shared" si="1"/>
        <v>0.010265</v>
      </c>
      <c r="C136" s="20">
        <v>0.01</v>
      </c>
      <c r="D136" s="10">
        <v>0.0</v>
      </c>
      <c r="E136" s="10">
        <v>1.95E-4</v>
      </c>
      <c r="F136" s="10">
        <v>7.000000000000001E-5</v>
      </c>
      <c r="G136" s="10"/>
      <c r="H136" s="10"/>
      <c r="I136" s="10"/>
    </row>
    <row r="137">
      <c r="A137" s="6" t="s">
        <v>294</v>
      </c>
      <c r="B137" s="10">
        <f t="shared" si="1"/>
        <v>0.010265</v>
      </c>
      <c r="C137" s="20">
        <v>0.01</v>
      </c>
      <c r="D137" s="10">
        <v>0.0</v>
      </c>
      <c r="E137" s="10">
        <v>1.95E-4</v>
      </c>
      <c r="F137" s="10">
        <v>7.000000000000001E-5</v>
      </c>
      <c r="G137" s="10"/>
      <c r="H137" s="10"/>
      <c r="I137" s="10"/>
    </row>
    <row r="138">
      <c r="A138" s="6" t="s">
        <v>295</v>
      </c>
      <c r="B138" s="10">
        <f t="shared" si="1"/>
        <v>0.010265</v>
      </c>
      <c r="C138" s="20">
        <v>0.01</v>
      </c>
      <c r="D138" s="10">
        <v>0.0</v>
      </c>
      <c r="E138" s="10">
        <v>1.95E-4</v>
      </c>
      <c r="F138" s="10">
        <v>7.000000000000001E-5</v>
      </c>
      <c r="G138" s="10"/>
      <c r="H138" s="10"/>
      <c r="I138" s="10"/>
    </row>
    <row r="139">
      <c r="A139" s="6" t="s">
        <v>298</v>
      </c>
      <c r="B139" s="10">
        <f t="shared" si="1"/>
        <v>0.010084</v>
      </c>
      <c r="C139" s="20">
        <v>0.01</v>
      </c>
      <c r="D139" s="10">
        <v>0.0</v>
      </c>
      <c r="E139" s="10">
        <v>1.4E-5</v>
      </c>
      <c r="F139" s="10">
        <v>7.000000000000001E-5</v>
      </c>
      <c r="G139" s="10"/>
      <c r="H139" s="10"/>
      <c r="I139" s="10"/>
    </row>
    <row r="140">
      <c r="A140" s="6" t="s">
        <v>302</v>
      </c>
      <c r="B140" s="10">
        <f t="shared" si="1"/>
        <v>0.010265</v>
      </c>
      <c r="C140" s="20">
        <v>0.01</v>
      </c>
      <c r="D140" s="10">
        <v>0.0</v>
      </c>
      <c r="E140" s="10">
        <v>1.95E-4</v>
      </c>
      <c r="F140" s="10">
        <v>7.000000000000001E-5</v>
      </c>
      <c r="G140" s="10"/>
      <c r="H140" s="10"/>
      <c r="I140" s="10"/>
    </row>
    <row r="141">
      <c r="A141" s="6" t="s">
        <v>303</v>
      </c>
      <c r="B141" s="10">
        <f t="shared" si="1"/>
        <v>0.010265</v>
      </c>
      <c r="C141" s="20">
        <v>0.01</v>
      </c>
      <c r="D141" s="10">
        <v>0.0</v>
      </c>
      <c r="E141" s="10">
        <v>1.95E-4</v>
      </c>
      <c r="F141" s="10">
        <v>7.000000000000001E-5</v>
      </c>
      <c r="G141" s="10"/>
      <c r="H141" s="10"/>
      <c r="I141" s="10"/>
    </row>
    <row r="142">
      <c r="A142" s="6" t="s">
        <v>304</v>
      </c>
      <c r="B142" s="10">
        <f t="shared" si="1"/>
        <v>0.010084</v>
      </c>
      <c r="C142" s="20">
        <v>0.01</v>
      </c>
      <c r="D142" s="10">
        <v>0.0</v>
      </c>
      <c r="E142" s="10">
        <v>1.4E-5</v>
      </c>
      <c r="F142" s="10">
        <v>7.000000000000001E-5</v>
      </c>
      <c r="G142" s="10"/>
      <c r="H142" s="10"/>
      <c r="I142" s="10"/>
    </row>
    <row r="143">
      <c r="A143" s="6" t="s">
        <v>305</v>
      </c>
      <c r="B143" s="10">
        <f t="shared" si="1"/>
        <v>0.010265</v>
      </c>
      <c r="C143" s="20">
        <v>0.01</v>
      </c>
      <c r="D143" s="10">
        <v>0.0</v>
      </c>
      <c r="E143" s="10">
        <v>1.95E-4</v>
      </c>
      <c r="F143" s="10">
        <v>7.000000000000001E-5</v>
      </c>
      <c r="G143" s="10"/>
      <c r="H143" s="10"/>
      <c r="I143" s="10"/>
    </row>
    <row r="144">
      <c r="A144" s="6" t="s">
        <v>306</v>
      </c>
      <c r="B144" s="10">
        <f t="shared" si="1"/>
        <v>0.010644</v>
      </c>
      <c r="C144" s="20">
        <v>0.01</v>
      </c>
      <c r="D144" s="10">
        <v>0.0</v>
      </c>
      <c r="E144" s="10">
        <v>6.44E-4</v>
      </c>
      <c r="F144" s="10">
        <v>0.0</v>
      </c>
      <c r="G144" s="10"/>
      <c r="H144" s="10"/>
      <c r="I144" s="10"/>
    </row>
    <row r="145">
      <c r="A145" s="6" t="s">
        <v>120</v>
      </c>
      <c r="B145" s="10">
        <f t="shared" si="1"/>
        <v>0.011454</v>
      </c>
      <c r="C145" s="20">
        <v>0.01</v>
      </c>
      <c r="D145" s="10">
        <v>0.0</v>
      </c>
      <c r="E145" s="10">
        <v>0.001454</v>
      </c>
      <c r="F145" s="10">
        <v>0.0</v>
      </c>
      <c r="G145" s="10"/>
      <c r="H145" s="10"/>
      <c r="I145" s="10"/>
    </row>
    <row r="146">
      <c r="A146" s="6" t="s">
        <v>307</v>
      </c>
      <c r="B146" s="10">
        <f t="shared" si="1"/>
        <v>0.010719</v>
      </c>
      <c r="C146" s="20">
        <v>0.01</v>
      </c>
      <c r="D146" s="10">
        <v>0.0</v>
      </c>
      <c r="E146" s="10">
        <v>7.19E-4</v>
      </c>
      <c r="F146" s="10">
        <v>0.0</v>
      </c>
      <c r="G146" s="10"/>
      <c r="H146" s="10"/>
      <c r="I146" s="10"/>
    </row>
    <row r="147">
      <c r="A147" s="6" t="s">
        <v>309</v>
      </c>
      <c r="B147" s="10">
        <f t="shared" si="1"/>
        <v>0.010823</v>
      </c>
      <c r="C147" s="20">
        <v>0.01</v>
      </c>
      <c r="D147" s="10">
        <v>0.0</v>
      </c>
      <c r="E147" s="10">
        <v>8.23E-4</v>
      </c>
      <c r="F147" s="10">
        <v>0.0</v>
      </c>
      <c r="G147" s="10"/>
      <c r="H147" s="10"/>
      <c r="I147" s="10"/>
    </row>
    <row r="148">
      <c r="A148" s="6" t="s">
        <v>312</v>
      </c>
      <c r="B148" s="10">
        <f t="shared" si="1"/>
        <v>0.011775</v>
      </c>
      <c r="C148" s="20">
        <v>0.01</v>
      </c>
      <c r="D148" s="10">
        <v>0.0</v>
      </c>
      <c r="E148" s="10">
        <v>0.0017749999999999999</v>
      </c>
      <c r="F148" s="10">
        <v>0.0</v>
      </c>
      <c r="G148" s="10"/>
      <c r="H148" s="10"/>
      <c r="I148" s="10"/>
    </row>
    <row r="149">
      <c r="A149" s="6" t="s">
        <v>313</v>
      </c>
      <c r="B149" s="10">
        <f t="shared" si="1"/>
        <v>0.010457</v>
      </c>
      <c r="C149" s="20">
        <v>0.01</v>
      </c>
      <c r="D149" s="10">
        <v>0.0</v>
      </c>
      <c r="E149" s="10">
        <v>4.57E-4</v>
      </c>
      <c r="F149" s="10">
        <v>0.0</v>
      </c>
      <c r="G149" s="10"/>
      <c r="H149" s="10"/>
      <c r="I149" s="10"/>
    </row>
    <row r="150">
      <c r="A150" s="6" t="s">
        <v>314</v>
      </c>
      <c r="B150" s="10">
        <f t="shared" si="1"/>
        <v>0.010719</v>
      </c>
      <c r="C150" s="20">
        <v>0.01</v>
      </c>
      <c r="D150" s="10">
        <v>0.0</v>
      </c>
      <c r="E150" s="10">
        <v>7.19E-4</v>
      </c>
      <c r="F150" s="10">
        <v>0.0</v>
      </c>
      <c r="G150" s="10"/>
      <c r="H150" s="10"/>
      <c r="I150" s="10"/>
    </row>
    <row r="151">
      <c r="A151" s="6" t="s">
        <v>315</v>
      </c>
      <c r="B151" s="10">
        <f t="shared" si="1"/>
        <v>0.01118</v>
      </c>
      <c r="C151" s="20">
        <v>0.01</v>
      </c>
      <c r="D151" s="10">
        <v>0.0</v>
      </c>
      <c r="E151" s="10">
        <v>0.001</v>
      </c>
      <c r="F151" s="10">
        <v>1.7999999999999998E-4</v>
      </c>
      <c r="G151" s="10"/>
      <c r="H151" s="10"/>
      <c r="I151" s="10"/>
    </row>
    <row r="152">
      <c r="A152" s="6" t="s">
        <v>316</v>
      </c>
      <c r="B152" s="10">
        <f t="shared" si="1"/>
        <v>0.011084</v>
      </c>
      <c r="C152" s="20">
        <v>0.01</v>
      </c>
      <c r="D152" s="10">
        <v>4.6E-5</v>
      </c>
      <c r="E152" s="10">
        <v>8.58E-4</v>
      </c>
      <c r="F152" s="10">
        <v>1.7999999999999998E-4</v>
      </c>
      <c r="G152" s="10"/>
      <c r="H152" s="10"/>
      <c r="I152" s="10"/>
    </row>
    <row r="153">
      <c r="A153" s="6" t="s">
        <v>317</v>
      </c>
      <c r="B153" s="10">
        <f t="shared" si="1"/>
        <v>0.010992</v>
      </c>
      <c r="C153" s="20">
        <v>0.01</v>
      </c>
      <c r="D153" s="10">
        <v>0.0</v>
      </c>
      <c r="E153" s="10">
        <v>8.119999999999999E-4</v>
      </c>
      <c r="F153" s="10">
        <v>1.7999999999999998E-4</v>
      </c>
      <c r="G153" s="10"/>
      <c r="H153" s="10"/>
      <c r="I153" s="10"/>
    </row>
    <row r="154">
      <c r="A154" s="6" t="s">
        <v>320</v>
      </c>
      <c r="B154" s="10">
        <f t="shared" si="1"/>
        <v>0.010992</v>
      </c>
      <c r="C154" s="20">
        <v>0.01</v>
      </c>
      <c r="D154" s="10">
        <v>0.0</v>
      </c>
      <c r="E154" s="10">
        <v>8.119999999999999E-4</v>
      </c>
      <c r="F154" s="10">
        <v>1.7999999999999998E-4</v>
      </c>
      <c r="G154" s="10"/>
      <c r="H154" s="10"/>
      <c r="I154" s="10"/>
    </row>
    <row r="155">
      <c r="A155" s="6" t="s">
        <v>322</v>
      </c>
      <c r="B155" s="10">
        <f t="shared" si="1"/>
        <v>0.010824</v>
      </c>
      <c r="C155" s="20">
        <v>0.01</v>
      </c>
      <c r="D155" s="10">
        <v>0.0</v>
      </c>
      <c r="E155" s="10">
        <v>6.44E-4</v>
      </c>
      <c r="F155" s="10">
        <v>1.7999999999999998E-4</v>
      </c>
      <c r="G155" s="10"/>
      <c r="H155" s="10"/>
      <c r="I155" s="10"/>
    </row>
    <row r="156">
      <c r="A156" s="6" t="s">
        <v>324</v>
      </c>
      <c r="B156" s="10">
        <f t="shared" si="1"/>
        <v>0.012792</v>
      </c>
      <c r="C156" s="20">
        <v>0.01</v>
      </c>
      <c r="D156" s="10">
        <v>0.0</v>
      </c>
      <c r="E156" s="10">
        <v>0.0026119999999999997</v>
      </c>
      <c r="F156" s="10">
        <v>1.7999999999999998E-4</v>
      </c>
      <c r="G156" s="10"/>
      <c r="H156" s="10"/>
      <c r="I156" s="10"/>
    </row>
    <row r="157">
      <c r="A157" s="6" t="s">
        <v>329</v>
      </c>
      <c r="B157" s="10">
        <f t="shared" si="1"/>
        <v>0.012792</v>
      </c>
      <c r="C157" s="20">
        <v>0.01</v>
      </c>
      <c r="D157" s="10">
        <v>0.0</v>
      </c>
      <c r="E157" s="10">
        <v>0.0026119999999999997</v>
      </c>
      <c r="F157" s="10">
        <v>1.7999999999999998E-4</v>
      </c>
      <c r="G157" s="10"/>
      <c r="H157" s="10"/>
      <c r="I157" s="10"/>
    </row>
    <row r="158">
      <c r="A158" s="6" t="s">
        <v>330</v>
      </c>
      <c r="B158" s="10">
        <f t="shared" si="1"/>
        <v>0.010886</v>
      </c>
      <c r="C158" s="20">
        <v>0.01</v>
      </c>
      <c r="D158" s="10">
        <v>4.0E-5</v>
      </c>
      <c r="E158" s="10">
        <v>6.66E-4</v>
      </c>
      <c r="F158" s="10">
        <v>1.7999999999999998E-4</v>
      </c>
      <c r="G158" s="10"/>
      <c r="H158" s="10"/>
      <c r="I158" s="10"/>
    </row>
    <row r="159">
      <c r="A159" s="6" t="s">
        <v>332</v>
      </c>
      <c r="B159" s="10">
        <f t="shared" si="1"/>
        <v>0.011407</v>
      </c>
      <c r="C159" s="20">
        <v>0.01</v>
      </c>
      <c r="D159" s="10">
        <v>0.0</v>
      </c>
      <c r="E159" s="10">
        <v>0.001044</v>
      </c>
      <c r="F159" s="10">
        <v>3.63E-4</v>
      </c>
      <c r="G159" s="10"/>
      <c r="H159" s="10"/>
      <c r="I159" s="10"/>
    </row>
    <row r="160">
      <c r="A160" s="6" t="s">
        <v>333</v>
      </c>
      <c r="B160" s="10">
        <f t="shared" si="1"/>
        <v>0.011139</v>
      </c>
      <c r="C160" s="20">
        <v>0.01</v>
      </c>
      <c r="D160" s="10">
        <v>0.0</v>
      </c>
      <c r="E160" s="10">
        <v>9.59E-4</v>
      </c>
      <c r="F160" s="10">
        <v>1.7999999999999998E-4</v>
      </c>
      <c r="G160" s="10"/>
      <c r="H160" s="10"/>
      <c r="I160" s="10"/>
    </row>
    <row r="161">
      <c r="A161" s="6" t="s">
        <v>336</v>
      </c>
      <c r="B161" s="10">
        <f t="shared" si="1"/>
        <v>0.010898</v>
      </c>
      <c r="C161" s="20">
        <v>0.01</v>
      </c>
      <c r="D161" s="10">
        <v>0.0</v>
      </c>
      <c r="E161" s="10">
        <v>7.18E-4</v>
      </c>
      <c r="F161" s="10">
        <v>1.7999999999999998E-4</v>
      </c>
      <c r="G161" s="10"/>
      <c r="H161" s="10"/>
      <c r="I161" s="10"/>
    </row>
    <row r="162">
      <c r="A162" s="6" t="s">
        <v>338</v>
      </c>
      <c r="B162" s="10">
        <f t="shared" si="1"/>
        <v>0.011432</v>
      </c>
      <c r="C162" s="20">
        <v>0.01</v>
      </c>
      <c r="D162" s="10">
        <v>0.0</v>
      </c>
      <c r="E162" s="10">
        <v>9.55E-4</v>
      </c>
      <c r="F162" s="10">
        <v>4.77E-4</v>
      </c>
      <c r="G162" s="10"/>
      <c r="H162" s="10"/>
      <c r="I162" s="10"/>
    </row>
    <row r="163">
      <c r="A163" s="6" t="s">
        <v>339</v>
      </c>
      <c r="B163" s="10">
        <f t="shared" si="1"/>
        <v>0.012792</v>
      </c>
      <c r="C163" s="20">
        <v>0.01</v>
      </c>
      <c r="D163" s="10">
        <v>0.0</v>
      </c>
      <c r="E163" s="10">
        <v>0.0026119999999999997</v>
      </c>
      <c r="F163" s="10">
        <v>1.7999999999999998E-4</v>
      </c>
      <c r="G163" s="10"/>
      <c r="H163" s="10"/>
      <c r="I163" s="10"/>
    </row>
    <row r="164">
      <c r="A164" s="6" t="s">
        <v>340</v>
      </c>
      <c r="B164" s="10">
        <f t="shared" si="1"/>
        <v>0.011114</v>
      </c>
      <c r="C164" s="20">
        <v>0.01</v>
      </c>
      <c r="D164" s="10">
        <v>0.0</v>
      </c>
      <c r="E164" s="10">
        <v>9.339999999999999E-4</v>
      </c>
      <c r="F164" s="10">
        <v>1.7999999999999998E-4</v>
      </c>
      <c r="G164" s="10"/>
      <c r="H164" s="10"/>
      <c r="I164" s="10"/>
    </row>
    <row r="165">
      <c r="A165" s="6" t="s">
        <v>344</v>
      </c>
      <c r="B165" s="10">
        <f t="shared" si="1"/>
        <v>0.011131</v>
      </c>
      <c r="C165" s="20">
        <v>0.01</v>
      </c>
      <c r="D165" s="10">
        <v>0.0</v>
      </c>
      <c r="E165" s="10">
        <v>8.119999999999999E-4</v>
      </c>
      <c r="F165" s="10">
        <v>3.19E-4</v>
      </c>
      <c r="G165" s="10"/>
      <c r="H165" s="10"/>
      <c r="I165" s="10"/>
    </row>
    <row r="166">
      <c r="A166" s="6" t="s">
        <v>346</v>
      </c>
      <c r="B166" s="10">
        <f t="shared" si="1"/>
        <v>0.014192</v>
      </c>
      <c r="C166" s="20">
        <v>0.01</v>
      </c>
      <c r="D166" s="10">
        <v>0.0014000000000000002</v>
      </c>
      <c r="E166" s="10">
        <v>0.0026119999999999997</v>
      </c>
      <c r="F166" s="10">
        <v>1.7999999999999998E-4</v>
      </c>
      <c r="G166" s="10"/>
      <c r="H166" s="10"/>
      <c r="I166" s="10"/>
    </row>
    <row r="167">
      <c r="A167" s="6" t="s">
        <v>347</v>
      </c>
      <c r="B167" s="10">
        <f t="shared" si="1"/>
        <v>0.012792</v>
      </c>
      <c r="C167" s="20">
        <v>0.01</v>
      </c>
      <c r="D167" s="10">
        <v>0.0</v>
      </c>
      <c r="E167" s="10">
        <v>0.0026119999999999997</v>
      </c>
      <c r="F167" s="10">
        <v>1.7999999999999998E-4</v>
      </c>
      <c r="G167" s="10"/>
      <c r="H167" s="10"/>
      <c r="I167" s="10"/>
    </row>
    <row r="168">
      <c r="A168" s="6" t="s">
        <v>348</v>
      </c>
      <c r="B168" s="10">
        <f t="shared" si="1"/>
        <v>0.010824</v>
      </c>
      <c r="C168" s="20">
        <v>0.01</v>
      </c>
      <c r="D168" s="10">
        <v>0.0</v>
      </c>
      <c r="E168" s="10">
        <v>6.44E-4</v>
      </c>
      <c r="F168" s="10">
        <v>1.7999999999999998E-4</v>
      </c>
      <c r="G168" s="10"/>
      <c r="H168" s="10"/>
      <c r="I168" s="10"/>
    </row>
    <row r="169">
      <c r="A169" s="6" t="s">
        <v>349</v>
      </c>
      <c r="B169" s="10">
        <f t="shared" si="1"/>
        <v>0.011015</v>
      </c>
      <c r="C169" s="20">
        <v>0.01</v>
      </c>
      <c r="D169" s="10">
        <v>0.0</v>
      </c>
      <c r="E169" s="10">
        <v>8.35E-4</v>
      </c>
      <c r="F169" s="10">
        <v>1.7999999999999998E-4</v>
      </c>
      <c r="G169" s="10"/>
      <c r="H169" s="10"/>
      <c r="I169" s="10"/>
    </row>
    <row r="170">
      <c r="A170" s="6" t="s">
        <v>350</v>
      </c>
      <c r="B170" s="10">
        <f t="shared" si="1"/>
        <v>0.011873</v>
      </c>
      <c r="C170" s="20">
        <v>0.01</v>
      </c>
      <c r="D170" s="10">
        <v>0.0</v>
      </c>
      <c r="E170" s="10">
        <v>0.0017749999999999999</v>
      </c>
      <c r="F170" s="10">
        <v>9.8E-5</v>
      </c>
      <c r="G170" s="10"/>
      <c r="H170" s="10"/>
      <c r="I170" s="10"/>
    </row>
    <row r="171">
      <c r="A171" s="6" t="s">
        <v>351</v>
      </c>
      <c r="B171" s="10">
        <f t="shared" si="1"/>
        <v>0.011873</v>
      </c>
      <c r="C171" s="20">
        <v>0.01</v>
      </c>
      <c r="D171" s="10">
        <v>0.0</v>
      </c>
      <c r="E171" s="10">
        <v>0.0017749999999999999</v>
      </c>
      <c r="F171" s="10">
        <v>9.8E-5</v>
      </c>
      <c r="G171" s="10"/>
      <c r="H171" s="10"/>
      <c r="I171" s="10"/>
    </row>
    <row r="172">
      <c r="A172" s="6" t="s">
        <v>352</v>
      </c>
      <c r="B172" s="10">
        <f t="shared" si="1"/>
        <v>0.011873</v>
      </c>
      <c r="C172" s="20">
        <v>0.01</v>
      </c>
      <c r="D172" s="10">
        <v>0.0</v>
      </c>
      <c r="E172" s="10">
        <v>0.0017749999999999999</v>
      </c>
      <c r="F172" s="10">
        <v>9.8E-5</v>
      </c>
      <c r="G172" s="10"/>
      <c r="H172" s="10"/>
      <c r="I172" s="10"/>
    </row>
    <row r="173">
      <c r="A173" s="6" t="s">
        <v>355</v>
      </c>
      <c r="B173" s="10">
        <f t="shared" si="1"/>
        <v>0.011873</v>
      </c>
      <c r="C173" s="20">
        <v>0.01</v>
      </c>
      <c r="D173" s="10">
        <v>0.0</v>
      </c>
      <c r="E173" s="10">
        <v>0.0017749999999999999</v>
      </c>
      <c r="F173" s="10">
        <v>9.8E-5</v>
      </c>
      <c r="G173" s="10"/>
      <c r="H173" s="10"/>
      <c r="I173" s="10"/>
    </row>
    <row r="174">
      <c r="A174" s="6" t="s">
        <v>356</v>
      </c>
      <c r="B174" s="10">
        <f t="shared" si="1"/>
        <v>0.011785</v>
      </c>
      <c r="C174" s="20">
        <v>0.01</v>
      </c>
      <c r="D174" s="10">
        <v>0.0</v>
      </c>
      <c r="E174" s="10">
        <v>0.001687</v>
      </c>
      <c r="F174" s="10">
        <v>9.8E-5</v>
      </c>
      <c r="G174" s="10"/>
      <c r="H174" s="10"/>
      <c r="I174" s="10"/>
    </row>
    <row r="175">
      <c r="A175" s="6" t="s">
        <v>357</v>
      </c>
      <c r="B175" s="10">
        <f t="shared" si="1"/>
        <v>0.011785</v>
      </c>
      <c r="C175" s="20">
        <v>0.01</v>
      </c>
      <c r="D175" s="10">
        <v>0.0</v>
      </c>
      <c r="E175" s="10">
        <v>0.001687</v>
      </c>
      <c r="F175" s="10">
        <v>9.8E-5</v>
      </c>
      <c r="G175" s="10"/>
      <c r="H175" s="10"/>
      <c r="I175" s="10"/>
    </row>
    <row r="176">
      <c r="A176" s="6" t="s">
        <v>359</v>
      </c>
      <c r="B176" s="10">
        <f t="shared" si="1"/>
        <v>0.011785</v>
      </c>
      <c r="C176" s="20">
        <v>0.01</v>
      </c>
      <c r="D176" s="10">
        <v>0.0</v>
      </c>
      <c r="E176" s="10">
        <v>0.001687</v>
      </c>
      <c r="F176" s="10">
        <v>9.8E-5</v>
      </c>
      <c r="G176" s="10"/>
      <c r="H176" s="10"/>
      <c r="I176" s="10"/>
    </row>
    <row r="177">
      <c r="A177" s="6" t="s">
        <v>362</v>
      </c>
      <c r="B177" s="10">
        <f t="shared" si="1"/>
        <v>0.011454</v>
      </c>
      <c r="C177" s="20">
        <v>0.01</v>
      </c>
      <c r="D177" s="10">
        <v>0.0</v>
      </c>
      <c r="E177" s="10">
        <v>0.001454</v>
      </c>
      <c r="F177" s="10">
        <v>0.0</v>
      </c>
      <c r="G177" s="10"/>
      <c r="H177" s="10"/>
      <c r="I177" s="10"/>
    </row>
    <row r="178">
      <c r="A178" s="6" t="s">
        <v>363</v>
      </c>
      <c r="B178" s="10">
        <f t="shared" si="1"/>
        <v>0.011424</v>
      </c>
      <c r="C178" s="20">
        <v>0.01</v>
      </c>
      <c r="D178" s="10">
        <v>0.0</v>
      </c>
      <c r="E178" s="10">
        <v>0.001424</v>
      </c>
      <c r="F178" s="10">
        <v>0.0</v>
      </c>
      <c r="G178" s="10"/>
      <c r="H178" s="10"/>
      <c r="I178" s="10"/>
    </row>
    <row r="179">
      <c r="A179" s="6" t="s">
        <v>364</v>
      </c>
      <c r="B179" s="10">
        <f t="shared" si="1"/>
        <v>0.010457</v>
      </c>
      <c r="C179" s="20">
        <v>0.01</v>
      </c>
      <c r="D179" s="10">
        <v>0.0</v>
      </c>
      <c r="E179" s="10">
        <v>4.57E-4</v>
      </c>
      <c r="F179" s="10">
        <v>0.0</v>
      </c>
      <c r="G179" s="10"/>
      <c r="H179" s="10"/>
      <c r="I179" s="10"/>
    </row>
    <row r="180">
      <c r="A180" s="6" t="s">
        <v>365</v>
      </c>
      <c r="B180" s="10">
        <f t="shared" si="1"/>
        <v>0.010457</v>
      </c>
      <c r="C180" s="20">
        <v>0.01</v>
      </c>
      <c r="D180" s="10">
        <v>0.0</v>
      </c>
      <c r="E180" s="10">
        <v>4.57E-4</v>
      </c>
      <c r="F180" s="10">
        <v>0.0</v>
      </c>
      <c r="G180" s="10"/>
      <c r="H180" s="10"/>
      <c r="I180" s="10"/>
    </row>
    <row r="181">
      <c r="A181" s="6" t="s">
        <v>366</v>
      </c>
      <c r="B181" s="10">
        <f t="shared" si="1"/>
        <v>0.012792</v>
      </c>
      <c r="C181" s="20">
        <v>0.01</v>
      </c>
      <c r="D181" s="10">
        <v>0.0</v>
      </c>
      <c r="E181" s="10">
        <v>0.0026119999999999997</v>
      </c>
      <c r="F181" s="10">
        <v>1.7999999999999998E-4</v>
      </c>
      <c r="G181" s="10"/>
      <c r="H181" s="10"/>
      <c r="I181" s="10"/>
    </row>
    <row r="182">
      <c r="A182" s="6" t="s">
        <v>368</v>
      </c>
      <c r="B182" s="10">
        <f t="shared" si="1"/>
        <v>0.011183</v>
      </c>
      <c r="C182" s="20">
        <v>0.01</v>
      </c>
      <c r="D182" s="10">
        <v>0.0</v>
      </c>
      <c r="E182" s="10">
        <v>0.001003</v>
      </c>
      <c r="F182" s="10">
        <v>1.7999999999999998E-4</v>
      </c>
      <c r="G182" s="10"/>
      <c r="H182" s="10"/>
      <c r="I182" s="10"/>
    </row>
    <row r="183">
      <c r="A183" s="6" t="s">
        <v>372</v>
      </c>
      <c r="B183" s="10">
        <f t="shared" si="1"/>
        <v>0.011183</v>
      </c>
      <c r="C183" s="20">
        <v>0.01</v>
      </c>
      <c r="D183" s="10">
        <v>0.0</v>
      </c>
      <c r="E183" s="10">
        <v>0.001003</v>
      </c>
      <c r="F183" s="10">
        <v>1.7999999999999998E-4</v>
      </c>
      <c r="G183" s="10"/>
      <c r="H183" s="10"/>
      <c r="I183" s="10"/>
    </row>
    <row r="184">
      <c r="A184" s="6" t="s">
        <v>373</v>
      </c>
      <c r="B184" s="10">
        <f t="shared" si="1"/>
        <v>0.010824</v>
      </c>
      <c r="C184" s="20">
        <v>0.01</v>
      </c>
      <c r="D184" s="10">
        <v>0.0</v>
      </c>
      <c r="E184" s="10">
        <v>6.44E-4</v>
      </c>
      <c r="F184" s="10">
        <v>1.7999999999999998E-4</v>
      </c>
      <c r="G184" s="10"/>
      <c r="H184" s="10"/>
      <c r="I184" s="10"/>
    </row>
    <row r="185">
      <c r="A185" s="6" t="s">
        <v>374</v>
      </c>
      <c r="B185" s="10">
        <f t="shared" si="1"/>
        <v>0.010824</v>
      </c>
      <c r="C185" s="20">
        <v>0.01</v>
      </c>
      <c r="D185" s="10">
        <v>0.0</v>
      </c>
      <c r="E185" s="10">
        <v>6.44E-4</v>
      </c>
      <c r="F185" s="10">
        <v>1.7999999999999998E-4</v>
      </c>
      <c r="G185" s="10"/>
      <c r="H185" s="10"/>
      <c r="I185" s="10"/>
    </row>
    <row r="186">
      <c r="A186" s="6" t="s">
        <v>375</v>
      </c>
      <c r="B186" s="10">
        <f t="shared" si="1"/>
        <v>0.010818</v>
      </c>
      <c r="C186" s="20">
        <v>0.01</v>
      </c>
      <c r="D186" s="10">
        <v>0.0</v>
      </c>
      <c r="E186" s="10">
        <v>6.38E-4</v>
      </c>
      <c r="F186" s="10">
        <v>1.7999999999999998E-4</v>
      </c>
      <c r="G186" s="10"/>
      <c r="H186" s="10"/>
      <c r="I186" s="10"/>
    </row>
    <row r="187">
      <c r="A187" s="6" t="s">
        <v>376</v>
      </c>
      <c r="B187" s="10">
        <f t="shared" si="1"/>
        <v>0.010818</v>
      </c>
      <c r="C187" s="20">
        <v>0.01</v>
      </c>
      <c r="D187" s="10">
        <v>0.0</v>
      </c>
      <c r="E187" s="10">
        <v>6.38E-4</v>
      </c>
      <c r="F187" s="10">
        <v>1.7999999999999998E-4</v>
      </c>
      <c r="G187" s="10"/>
      <c r="H187" s="10"/>
      <c r="I187" s="10"/>
    </row>
    <row r="188">
      <c r="A188" s="6" t="s">
        <v>377</v>
      </c>
      <c r="B188" s="10">
        <f t="shared" si="1"/>
        <v>0.010575</v>
      </c>
      <c r="C188" s="20">
        <v>0.01</v>
      </c>
      <c r="D188" s="10">
        <v>0.0</v>
      </c>
      <c r="E188" s="10">
        <v>3.95E-4</v>
      </c>
      <c r="F188" s="10">
        <v>1.7999999999999998E-4</v>
      </c>
      <c r="G188" s="10"/>
      <c r="H188" s="10"/>
      <c r="I188" s="10"/>
    </row>
    <row r="189">
      <c r="A189" s="6" t="s">
        <v>378</v>
      </c>
      <c r="B189" s="10">
        <f t="shared" si="1"/>
        <v>0.010992</v>
      </c>
      <c r="C189" s="20">
        <v>0.01</v>
      </c>
      <c r="D189" s="10">
        <v>0.0</v>
      </c>
      <c r="E189" s="10">
        <v>8.119999999999999E-4</v>
      </c>
      <c r="F189" s="10">
        <v>1.7999999999999998E-4</v>
      </c>
      <c r="G189" s="10"/>
      <c r="H189" s="10"/>
      <c r="I189" s="10"/>
    </row>
    <row r="190">
      <c r="A190" s="6" t="s">
        <v>379</v>
      </c>
      <c r="B190" s="20">
        <v>0.0115</v>
      </c>
      <c r="C190" s="20">
        <v>0.01</v>
      </c>
      <c r="D190" s="10">
        <f>0.000388+0.000056</f>
        <v>0.000444</v>
      </c>
      <c r="E190" s="10">
        <f>0.000232+0.000089+0.000202+0.000052+0.000135+0.000211</f>
        <v>0.000921</v>
      </c>
      <c r="F190" s="10">
        <f>0.00002+0.000014</f>
        <v>0.000034</v>
      </c>
    </row>
    <row r="191">
      <c r="F191" s="10"/>
    </row>
    <row r="192">
      <c r="F192" s="10"/>
    </row>
    <row r="193">
      <c r="F193" s="10"/>
    </row>
    <row r="194">
      <c r="F194" s="10"/>
    </row>
    <row r="195">
      <c r="F195" s="10"/>
    </row>
    <row r="196">
      <c r="F196" s="10"/>
    </row>
    <row r="197">
      <c r="F197" s="10"/>
    </row>
    <row r="198">
      <c r="F198" s="10"/>
    </row>
    <row r="199">
      <c r="F199" s="10"/>
    </row>
    <row r="200">
      <c r="F200" s="10"/>
    </row>
    <row r="201">
      <c r="F201" s="10"/>
    </row>
    <row r="202">
      <c r="F202" s="10"/>
    </row>
    <row r="203">
      <c r="F203" s="10"/>
    </row>
    <row r="204">
      <c r="F204" s="10"/>
    </row>
    <row r="205">
      <c r="F205" s="10"/>
    </row>
    <row r="206">
      <c r="F206" s="10"/>
    </row>
    <row r="207">
      <c r="F207" s="10"/>
    </row>
    <row r="208">
      <c r="F208" s="10"/>
    </row>
    <row r="209">
      <c r="F209" s="10"/>
    </row>
    <row r="210">
      <c r="F210" s="10"/>
    </row>
    <row r="211">
      <c r="F211" s="10"/>
    </row>
    <row r="212">
      <c r="F212" s="10"/>
    </row>
    <row r="213">
      <c r="F213" s="10"/>
    </row>
    <row r="214">
      <c r="F214" s="10"/>
    </row>
    <row r="215">
      <c r="F215" s="10"/>
    </row>
    <row r="216">
      <c r="F216" s="10"/>
    </row>
    <row r="217">
      <c r="F217" s="10"/>
    </row>
    <row r="218">
      <c r="F218" s="10"/>
    </row>
    <row r="219">
      <c r="F219" s="10"/>
    </row>
    <row r="220">
      <c r="F220" s="10"/>
    </row>
    <row r="221">
      <c r="F221" s="10"/>
    </row>
    <row r="222">
      <c r="F222" s="10"/>
    </row>
    <row r="223">
      <c r="F223" s="10"/>
    </row>
    <row r="224">
      <c r="F224" s="10"/>
    </row>
    <row r="225">
      <c r="F225" s="10"/>
    </row>
    <row r="226">
      <c r="F226" s="10"/>
    </row>
    <row r="227">
      <c r="F227" s="10"/>
    </row>
    <row r="228">
      <c r="F228" s="10"/>
    </row>
    <row r="229">
      <c r="F229" s="10"/>
    </row>
    <row r="230">
      <c r="F230" s="10"/>
    </row>
    <row r="231">
      <c r="F231" s="10"/>
    </row>
    <row r="232">
      <c r="F232" s="10"/>
    </row>
    <row r="233">
      <c r="F233" s="10"/>
    </row>
    <row r="234">
      <c r="F234" s="10"/>
    </row>
    <row r="235">
      <c r="F235" s="10"/>
    </row>
    <row r="236">
      <c r="F236" s="10"/>
    </row>
    <row r="237">
      <c r="F237" s="10"/>
    </row>
    <row r="238">
      <c r="F238" s="10"/>
    </row>
    <row r="239">
      <c r="F239" s="10"/>
    </row>
    <row r="240">
      <c r="F240" s="10"/>
    </row>
    <row r="241">
      <c r="F241" s="10"/>
    </row>
    <row r="242">
      <c r="F242" s="10"/>
    </row>
    <row r="243">
      <c r="F243" s="10"/>
    </row>
    <row r="244">
      <c r="F244" s="10"/>
    </row>
    <row r="245">
      <c r="F245" s="10"/>
    </row>
    <row r="246">
      <c r="F246" s="10"/>
    </row>
    <row r="247">
      <c r="F247" s="10"/>
    </row>
    <row r="248">
      <c r="F248" s="10"/>
    </row>
    <row r="249">
      <c r="F249" s="10"/>
    </row>
    <row r="250">
      <c r="F250" s="10"/>
    </row>
    <row r="251">
      <c r="F251" s="10"/>
    </row>
    <row r="252">
      <c r="F252" s="10"/>
    </row>
    <row r="253">
      <c r="F253" s="10"/>
    </row>
    <row r="254">
      <c r="F254" s="10"/>
    </row>
    <row r="255">
      <c r="F255" s="10"/>
    </row>
    <row r="256">
      <c r="F256" s="10"/>
    </row>
    <row r="257">
      <c r="F257" s="10"/>
    </row>
    <row r="258">
      <c r="F258" s="10"/>
    </row>
    <row r="259">
      <c r="F259" s="10"/>
    </row>
    <row r="260">
      <c r="F260" s="10"/>
    </row>
    <row r="261">
      <c r="F261" s="10"/>
    </row>
    <row r="262">
      <c r="F262" s="10"/>
    </row>
    <row r="263">
      <c r="F263" s="10"/>
    </row>
    <row r="264">
      <c r="F264" s="10"/>
    </row>
    <row r="265">
      <c r="F265" s="10"/>
    </row>
    <row r="266">
      <c r="F266" s="10"/>
    </row>
    <row r="267">
      <c r="F267" s="10"/>
    </row>
    <row r="268">
      <c r="F268" s="10"/>
    </row>
    <row r="269">
      <c r="F269" s="10"/>
    </row>
    <row r="270">
      <c r="F270" s="10"/>
    </row>
    <row r="271">
      <c r="F271" s="10"/>
    </row>
    <row r="272">
      <c r="F272" s="10"/>
    </row>
    <row r="273">
      <c r="F273" s="10"/>
    </row>
    <row r="274">
      <c r="F274" s="10"/>
    </row>
    <row r="275">
      <c r="F275" s="10"/>
    </row>
    <row r="276">
      <c r="F276" s="10"/>
    </row>
    <row r="277">
      <c r="F277" s="10"/>
    </row>
    <row r="278">
      <c r="F278" s="10"/>
    </row>
    <row r="279">
      <c r="F279" s="10"/>
    </row>
    <row r="280">
      <c r="F280" s="10"/>
    </row>
    <row r="281">
      <c r="F281" s="10"/>
    </row>
    <row r="282">
      <c r="F282" s="10"/>
    </row>
    <row r="283">
      <c r="F283" s="10"/>
    </row>
    <row r="284">
      <c r="F284" s="10"/>
    </row>
    <row r="285">
      <c r="F285" s="10"/>
    </row>
    <row r="286">
      <c r="F286" s="10"/>
    </row>
    <row r="287">
      <c r="F287" s="10"/>
    </row>
    <row r="288">
      <c r="F288" s="10"/>
    </row>
    <row r="289">
      <c r="F289" s="10"/>
    </row>
    <row r="290">
      <c r="F290" s="10"/>
    </row>
    <row r="291">
      <c r="F291" s="10"/>
    </row>
    <row r="292">
      <c r="F292" s="10"/>
    </row>
    <row r="293">
      <c r="F293" s="10"/>
    </row>
    <row r="294">
      <c r="F294" s="10"/>
    </row>
    <row r="295">
      <c r="F295" s="10"/>
    </row>
    <row r="296">
      <c r="F296" s="10"/>
    </row>
    <row r="297">
      <c r="F297" s="10"/>
    </row>
    <row r="298">
      <c r="F298" s="10"/>
    </row>
    <row r="299">
      <c r="F299" s="10"/>
    </row>
    <row r="300">
      <c r="F300" s="10"/>
    </row>
    <row r="301">
      <c r="F301" s="10"/>
    </row>
    <row r="302">
      <c r="F302" s="10"/>
    </row>
    <row r="303">
      <c r="F303" s="10"/>
    </row>
    <row r="304">
      <c r="F304" s="10"/>
    </row>
    <row r="305">
      <c r="F305" s="10"/>
    </row>
    <row r="306">
      <c r="F306" s="10"/>
    </row>
    <row r="307">
      <c r="F307" s="10"/>
    </row>
    <row r="308">
      <c r="F308" s="10"/>
    </row>
    <row r="309">
      <c r="F309" s="10"/>
    </row>
    <row r="310">
      <c r="F310" s="10"/>
    </row>
    <row r="311">
      <c r="F311" s="10"/>
    </row>
    <row r="312">
      <c r="F312" s="10"/>
    </row>
    <row r="313">
      <c r="F313" s="10"/>
    </row>
    <row r="314">
      <c r="F314" s="10"/>
    </row>
    <row r="315">
      <c r="F315" s="10"/>
    </row>
    <row r="316">
      <c r="F316" s="10"/>
    </row>
    <row r="317">
      <c r="F317" s="10"/>
    </row>
    <row r="318">
      <c r="F318" s="10"/>
    </row>
    <row r="319">
      <c r="F319" s="10"/>
    </row>
    <row r="320">
      <c r="F320" s="10"/>
    </row>
    <row r="321">
      <c r="F321" s="10"/>
    </row>
    <row r="322">
      <c r="F322" s="10"/>
    </row>
    <row r="323">
      <c r="F323" s="10"/>
    </row>
    <row r="324">
      <c r="F324" s="10"/>
    </row>
    <row r="325">
      <c r="F325" s="10"/>
    </row>
    <row r="326">
      <c r="F326" s="10"/>
    </row>
    <row r="327">
      <c r="F327" s="10"/>
    </row>
    <row r="328">
      <c r="F328" s="10"/>
    </row>
    <row r="329">
      <c r="F329" s="10"/>
    </row>
    <row r="330">
      <c r="F330" s="10"/>
    </row>
    <row r="331">
      <c r="F331" s="10"/>
    </row>
    <row r="332">
      <c r="F332" s="10"/>
    </row>
    <row r="333">
      <c r="F333" s="10"/>
    </row>
    <row r="334">
      <c r="F334" s="10"/>
    </row>
    <row r="335">
      <c r="F335" s="10"/>
    </row>
    <row r="336">
      <c r="F336" s="10"/>
    </row>
    <row r="337">
      <c r="F337" s="10"/>
    </row>
    <row r="338">
      <c r="F338" s="10"/>
    </row>
    <row r="339">
      <c r="F339" s="10"/>
    </row>
    <row r="340">
      <c r="F340" s="10"/>
    </row>
    <row r="341">
      <c r="F341" s="10"/>
    </row>
    <row r="342">
      <c r="F342" s="10"/>
    </row>
    <row r="343">
      <c r="F343" s="10"/>
    </row>
    <row r="344">
      <c r="F344" s="10"/>
    </row>
    <row r="345">
      <c r="F345" s="10"/>
    </row>
    <row r="346">
      <c r="F346" s="10"/>
    </row>
    <row r="347">
      <c r="F347" s="10"/>
    </row>
    <row r="348">
      <c r="F348" s="10"/>
    </row>
    <row r="349">
      <c r="F349" s="10"/>
    </row>
    <row r="350">
      <c r="F350" s="10"/>
    </row>
    <row r="351">
      <c r="F351" s="10"/>
    </row>
    <row r="352">
      <c r="F352" s="10"/>
    </row>
    <row r="353">
      <c r="F353" s="10"/>
    </row>
    <row r="354">
      <c r="F354" s="10"/>
    </row>
    <row r="355">
      <c r="F355" s="10"/>
    </row>
    <row r="356">
      <c r="F356" s="10"/>
    </row>
    <row r="357">
      <c r="F357" s="10"/>
    </row>
    <row r="358">
      <c r="F358" s="10"/>
    </row>
    <row r="359">
      <c r="F359" s="10"/>
    </row>
    <row r="360">
      <c r="F360" s="10"/>
    </row>
    <row r="361">
      <c r="F361" s="10"/>
    </row>
    <row r="362">
      <c r="F362" s="10"/>
    </row>
    <row r="363">
      <c r="F363" s="10"/>
    </row>
    <row r="364">
      <c r="F364" s="10"/>
    </row>
    <row r="365">
      <c r="F365" s="10"/>
    </row>
    <row r="366">
      <c r="F366" s="10"/>
    </row>
    <row r="367">
      <c r="F367" s="10"/>
    </row>
    <row r="368">
      <c r="F368" s="10"/>
    </row>
    <row r="369">
      <c r="F369" s="10"/>
    </row>
    <row r="370">
      <c r="F370" s="10"/>
    </row>
    <row r="371">
      <c r="F371" s="10"/>
    </row>
    <row r="372">
      <c r="F372" s="10"/>
    </row>
    <row r="373">
      <c r="F373" s="10"/>
    </row>
    <row r="374">
      <c r="F374" s="10"/>
    </row>
    <row r="375">
      <c r="F375" s="10"/>
    </row>
    <row r="376">
      <c r="F376" s="10"/>
    </row>
    <row r="377">
      <c r="F377" s="10"/>
    </row>
    <row r="378">
      <c r="F378" s="10"/>
    </row>
    <row r="379">
      <c r="F379" s="10"/>
    </row>
    <row r="380">
      <c r="F380" s="10"/>
    </row>
    <row r="381">
      <c r="F381" s="10"/>
    </row>
    <row r="382">
      <c r="F382" s="10"/>
    </row>
    <row r="383">
      <c r="F383" s="10"/>
    </row>
    <row r="384">
      <c r="F384" s="10"/>
    </row>
    <row r="385">
      <c r="F385" s="10"/>
    </row>
    <row r="386">
      <c r="F386" s="10"/>
    </row>
    <row r="387">
      <c r="F387" s="10"/>
    </row>
    <row r="388">
      <c r="F388" s="10"/>
    </row>
    <row r="389">
      <c r="F389" s="10"/>
    </row>
    <row r="390">
      <c r="F390" s="10"/>
    </row>
    <row r="391">
      <c r="F391" s="10"/>
    </row>
    <row r="392">
      <c r="F392" s="10"/>
    </row>
    <row r="393">
      <c r="F393" s="10"/>
    </row>
    <row r="394">
      <c r="F394" s="10"/>
    </row>
    <row r="395">
      <c r="F395" s="10"/>
    </row>
    <row r="396">
      <c r="F396" s="10"/>
    </row>
    <row r="397">
      <c r="F397" s="10"/>
    </row>
    <row r="398">
      <c r="F398" s="10"/>
    </row>
    <row r="399">
      <c r="F399" s="10"/>
    </row>
    <row r="400">
      <c r="F400" s="10"/>
    </row>
    <row r="401">
      <c r="F401" s="10"/>
    </row>
    <row r="402">
      <c r="F402" s="10"/>
    </row>
    <row r="403">
      <c r="F403" s="10"/>
    </row>
    <row r="404">
      <c r="F404" s="10"/>
    </row>
    <row r="405">
      <c r="F405" s="10"/>
    </row>
    <row r="406">
      <c r="F406" s="10"/>
    </row>
    <row r="407">
      <c r="F407" s="10"/>
    </row>
    <row r="408">
      <c r="F408" s="10"/>
    </row>
    <row r="409">
      <c r="F409" s="10"/>
    </row>
    <row r="410">
      <c r="F410" s="10"/>
    </row>
    <row r="411">
      <c r="F411" s="10"/>
    </row>
    <row r="412">
      <c r="F412" s="10"/>
    </row>
    <row r="413">
      <c r="F413" s="10"/>
    </row>
    <row r="414">
      <c r="F414" s="10"/>
    </row>
    <row r="415">
      <c r="F415" s="10"/>
    </row>
    <row r="416">
      <c r="F416" s="10"/>
    </row>
    <row r="417">
      <c r="F417" s="10"/>
    </row>
    <row r="418">
      <c r="F418" s="10"/>
    </row>
    <row r="419">
      <c r="F419" s="10"/>
    </row>
    <row r="420">
      <c r="F420" s="10"/>
    </row>
    <row r="421">
      <c r="F421" s="10"/>
    </row>
    <row r="422">
      <c r="F422" s="10"/>
    </row>
    <row r="423">
      <c r="F423" s="10"/>
    </row>
    <row r="424">
      <c r="F424" s="10"/>
    </row>
    <row r="425">
      <c r="F425" s="10"/>
    </row>
    <row r="426">
      <c r="F426" s="10"/>
    </row>
    <row r="427">
      <c r="F427" s="10"/>
    </row>
    <row r="428">
      <c r="F428" s="10"/>
    </row>
    <row r="429">
      <c r="F429" s="10"/>
    </row>
    <row r="430">
      <c r="F430" s="10"/>
    </row>
    <row r="431">
      <c r="F431" s="10"/>
    </row>
    <row r="432">
      <c r="F432" s="10"/>
    </row>
    <row r="433">
      <c r="F433" s="10"/>
    </row>
    <row r="434">
      <c r="F434" s="10"/>
    </row>
    <row r="435">
      <c r="F435" s="10"/>
    </row>
    <row r="436">
      <c r="F436" s="10"/>
    </row>
    <row r="437">
      <c r="F437" s="10"/>
    </row>
    <row r="438">
      <c r="F438" s="10"/>
    </row>
    <row r="439">
      <c r="F439" s="10"/>
    </row>
    <row r="440">
      <c r="F440" s="10"/>
    </row>
    <row r="441">
      <c r="F441" s="10"/>
    </row>
    <row r="442">
      <c r="F442" s="10"/>
    </row>
    <row r="443">
      <c r="F443" s="10"/>
    </row>
    <row r="444">
      <c r="F444" s="10"/>
    </row>
    <row r="445">
      <c r="F445" s="10"/>
    </row>
    <row r="446">
      <c r="F446" s="10"/>
    </row>
    <row r="447">
      <c r="F447" s="10"/>
    </row>
    <row r="448">
      <c r="F448" s="10"/>
    </row>
    <row r="449">
      <c r="F449" s="10"/>
    </row>
    <row r="450">
      <c r="F450" s="10"/>
    </row>
    <row r="451">
      <c r="F451" s="10"/>
    </row>
    <row r="452">
      <c r="F452" s="10"/>
    </row>
    <row r="453">
      <c r="F453" s="10"/>
    </row>
    <row r="454">
      <c r="F454" s="10"/>
    </row>
    <row r="455">
      <c r="F455" s="10"/>
    </row>
    <row r="456">
      <c r="F456" s="10"/>
    </row>
    <row r="457">
      <c r="F457" s="10"/>
    </row>
    <row r="458">
      <c r="F458" s="10"/>
    </row>
    <row r="459">
      <c r="F459" s="10"/>
    </row>
    <row r="460">
      <c r="F460" s="10"/>
    </row>
    <row r="461">
      <c r="F461" s="10"/>
    </row>
    <row r="462">
      <c r="F462" s="10"/>
    </row>
    <row r="463">
      <c r="F463" s="10"/>
    </row>
    <row r="464">
      <c r="F464" s="10"/>
    </row>
    <row r="465">
      <c r="F465" s="10"/>
    </row>
    <row r="466">
      <c r="F466" s="10"/>
    </row>
    <row r="467">
      <c r="F467" s="10"/>
    </row>
    <row r="468">
      <c r="F468" s="10"/>
    </row>
    <row r="469">
      <c r="F469" s="10"/>
    </row>
    <row r="470">
      <c r="F470" s="10"/>
    </row>
    <row r="471">
      <c r="F471" s="10"/>
    </row>
    <row r="472">
      <c r="F472" s="10"/>
    </row>
    <row r="473">
      <c r="F473" s="10"/>
    </row>
    <row r="474">
      <c r="F474" s="10"/>
    </row>
    <row r="475">
      <c r="F475" s="10"/>
    </row>
    <row r="476">
      <c r="F476" s="10"/>
    </row>
    <row r="477">
      <c r="F477" s="10"/>
    </row>
    <row r="478">
      <c r="F478" s="10"/>
    </row>
    <row r="479">
      <c r="F479" s="10"/>
    </row>
    <row r="480">
      <c r="F480" s="10"/>
    </row>
    <row r="481">
      <c r="F481" s="10"/>
    </row>
    <row r="482">
      <c r="F482" s="10"/>
    </row>
    <row r="483">
      <c r="F483" s="10"/>
    </row>
    <row r="484">
      <c r="F484" s="10"/>
    </row>
    <row r="485">
      <c r="F485" s="10"/>
    </row>
    <row r="486">
      <c r="F486" s="10"/>
    </row>
    <row r="487">
      <c r="F487" s="10"/>
    </row>
    <row r="488">
      <c r="F488" s="10"/>
    </row>
    <row r="489">
      <c r="F489" s="10"/>
    </row>
    <row r="490">
      <c r="F490" s="10"/>
    </row>
    <row r="491">
      <c r="F491" s="10"/>
    </row>
    <row r="492">
      <c r="F492" s="10"/>
    </row>
    <row r="493">
      <c r="F493" s="10"/>
    </row>
    <row r="494">
      <c r="F494" s="10"/>
    </row>
    <row r="495">
      <c r="F495" s="10"/>
    </row>
    <row r="496">
      <c r="F496" s="10"/>
    </row>
    <row r="497">
      <c r="F497" s="10"/>
    </row>
    <row r="498">
      <c r="F498" s="10"/>
    </row>
    <row r="499">
      <c r="F499" s="10"/>
    </row>
    <row r="500">
      <c r="F500" s="10"/>
    </row>
    <row r="501">
      <c r="F501" s="10"/>
    </row>
    <row r="502">
      <c r="F502" s="10"/>
    </row>
    <row r="503">
      <c r="F503" s="10"/>
    </row>
    <row r="504">
      <c r="F504" s="10"/>
    </row>
    <row r="505">
      <c r="F505" s="10"/>
    </row>
    <row r="506">
      <c r="F506" s="10"/>
    </row>
    <row r="507">
      <c r="F507" s="10"/>
    </row>
    <row r="508">
      <c r="F508" s="10"/>
    </row>
    <row r="509">
      <c r="F509" s="10"/>
    </row>
    <row r="510">
      <c r="F510" s="10"/>
    </row>
    <row r="511">
      <c r="F511" s="10"/>
    </row>
    <row r="512">
      <c r="F512" s="10"/>
    </row>
    <row r="513">
      <c r="F513" s="10"/>
    </row>
    <row r="514">
      <c r="F514" s="10"/>
    </row>
    <row r="515">
      <c r="F515" s="10"/>
    </row>
    <row r="516">
      <c r="F516" s="10"/>
    </row>
    <row r="517">
      <c r="F517" s="10"/>
    </row>
    <row r="518">
      <c r="F518" s="10"/>
    </row>
    <row r="519">
      <c r="F519" s="10"/>
    </row>
    <row r="520">
      <c r="F520" s="10"/>
    </row>
    <row r="521">
      <c r="F521" s="10"/>
    </row>
    <row r="522">
      <c r="F522" s="10"/>
    </row>
    <row r="523">
      <c r="F523" s="10"/>
    </row>
    <row r="524">
      <c r="F524" s="10"/>
    </row>
    <row r="525">
      <c r="F525" s="10"/>
    </row>
    <row r="526">
      <c r="F526" s="10"/>
    </row>
    <row r="527">
      <c r="F527" s="10"/>
    </row>
    <row r="528">
      <c r="F528" s="10"/>
    </row>
    <row r="529">
      <c r="F529" s="10"/>
    </row>
    <row r="530">
      <c r="F530" s="10"/>
    </row>
    <row r="531">
      <c r="F531" s="10"/>
    </row>
    <row r="532">
      <c r="F532" s="10"/>
    </row>
    <row r="533">
      <c r="F533" s="10"/>
    </row>
    <row r="534">
      <c r="F534" s="10"/>
    </row>
    <row r="535">
      <c r="F535" s="10"/>
    </row>
    <row r="536">
      <c r="F536" s="10"/>
    </row>
    <row r="537">
      <c r="F537" s="10"/>
    </row>
    <row r="538">
      <c r="F538" s="10"/>
    </row>
    <row r="539">
      <c r="F539" s="10"/>
    </row>
    <row r="540">
      <c r="F540" s="10"/>
    </row>
    <row r="541">
      <c r="F541" s="10"/>
    </row>
    <row r="542">
      <c r="F542" s="10"/>
    </row>
    <row r="543">
      <c r="F543" s="10"/>
    </row>
    <row r="544">
      <c r="F544" s="10"/>
    </row>
    <row r="545">
      <c r="F545" s="10"/>
    </row>
    <row r="546">
      <c r="F546" s="10"/>
    </row>
    <row r="547">
      <c r="F547" s="10"/>
    </row>
    <row r="548">
      <c r="F548" s="10"/>
    </row>
    <row r="549">
      <c r="F549" s="10"/>
    </row>
    <row r="550">
      <c r="F550" s="10"/>
    </row>
    <row r="551">
      <c r="F551" s="10"/>
    </row>
    <row r="552">
      <c r="F552" s="10"/>
    </row>
    <row r="553">
      <c r="F553" s="10"/>
    </row>
    <row r="554">
      <c r="F554" s="10"/>
    </row>
    <row r="555">
      <c r="F555" s="10"/>
    </row>
    <row r="556">
      <c r="F556" s="10"/>
    </row>
    <row r="557">
      <c r="F557" s="10"/>
    </row>
    <row r="558">
      <c r="F558" s="10"/>
    </row>
    <row r="559">
      <c r="F559" s="10"/>
    </row>
    <row r="560">
      <c r="F560" s="10"/>
    </row>
    <row r="561">
      <c r="F561" s="10"/>
    </row>
    <row r="562">
      <c r="F562" s="10"/>
    </row>
    <row r="563">
      <c r="F563" s="10"/>
    </row>
    <row r="564">
      <c r="F564" s="10"/>
    </row>
    <row r="565">
      <c r="F565" s="10"/>
    </row>
    <row r="566">
      <c r="F566" s="10"/>
    </row>
    <row r="567">
      <c r="F567" s="10"/>
    </row>
    <row r="568">
      <c r="F568" s="10"/>
    </row>
    <row r="569">
      <c r="F569" s="10"/>
    </row>
    <row r="570">
      <c r="F570" s="10"/>
    </row>
    <row r="571">
      <c r="F571" s="10"/>
    </row>
    <row r="572">
      <c r="F572" s="10"/>
    </row>
    <row r="573">
      <c r="F573" s="10"/>
    </row>
    <row r="574">
      <c r="F574" s="10"/>
    </row>
    <row r="575">
      <c r="F575" s="10"/>
    </row>
    <row r="576">
      <c r="F576" s="10"/>
    </row>
    <row r="577">
      <c r="F577" s="10"/>
    </row>
    <row r="578">
      <c r="F578" s="10"/>
    </row>
    <row r="579">
      <c r="F579" s="10"/>
    </row>
    <row r="580">
      <c r="F580" s="10"/>
    </row>
    <row r="581">
      <c r="F581" s="10"/>
    </row>
    <row r="582">
      <c r="F582" s="10"/>
    </row>
    <row r="583">
      <c r="F583" s="10"/>
    </row>
    <row r="584">
      <c r="F584" s="10"/>
    </row>
    <row r="585">
      <c r="F585" s="10"/>
    </row>
    <row r="586">
      <c r="F586" s="10"/>
    </row>
    <row r="587">
      <c r="F587" s="10"/>
    </row>
    <row r="588">
      <c r="F588" s="10"/>
    </row>
    <row r="589">
      <c r="F589" s="10"/>
    </row>
    <row r="590">
      <c r="F590" s="10"/>
    </row>
    <row r="591">
      <c r="F591" s="10"/>
    </row>
    <row r="592">
      <c r="F592" s="10"/>
    </row>
    <row r="593">
      <c r="F593" s="10"/>
    </row>
    <row r="594">
      <c r="F594" s="10"/>
    </row>
    <row r="595">
      <c r="F595" s="10"/>
    </row>
    <row r="596">
      <c r="F596" s="10"/>
    </row>
    <row r="597">
      <c r="F597" s="10"/>
    </row>
    <row r="598">
      <c r="F598" s="10"/>
    </row>
    <row r="599">
      <c r="F599" s="10"/>
    </row>
    <row r="600">
      <c r="F600" s="10"/>
    </row>
    <row r="601">
      <c r="F601" s="10"/>
    </row>
    <row r="602">
      <c r="F602" s="10"/>
    </row>
    <row r="603">
      <c r="F603" s="10"/>
    </row>
    <row r="604">
      <c r="F604" s="10"/>
    </row>
    <row r="605">
      <c r="F605" s="10"/>
    </row>
    <row r="606">
      <c r="F606" s="10"/>
    </row>
    <row r="607">
      <c r="F607" s="10"/>
    </row>
    <row r="608">
      <c r="F608" s="10"/>
    </row>
    <row r="609">
      <c r="F609" s="10"/>
    </row>
    <row r="610">
      <c r="F610" s="10"/>
    </row>
    <row r="611">
      <c r="F611" s="10"/>
    </row>
    <row r="612">
      <c r="F612" s="10"/>
    </row>
    <row r="613">
      <c r="F613" s="10"/>
    </row>
    <row r="614">
      <c r="F614" s="10"/>
    </row>
    <row r="615">
      <c r="F615" s="10"/>
    </row>
    <row r="616">
      <c r="F616" s="10"/>
    </row>
    <row r="617">
      <c r="F617" s="10"/>
    </row>
    <row r="618">
      <c r="F618" s="10"/>
    </row>
    <row r="619">
      <c r="F619" s="10"/>
    </row>
    <row r="620">
      <c r="F620" s="10"/>
    </row>
    <row r="621">
      <c r="F621" s="10"/>
    </row>
    <row r="622">
      <c r="F622" s="10"/>
    </row>
    <row r="623">
      <c r="F623" s="10"/>
    </row>
    <row r="624">
      <c r="F624" s="10"/>
    </row>
    <row r="625">
      <c r="F625" s="10"/>
    </row>
    <row r="626">
      <c r="F626" s="10"/>
    </row>
    <row r="627">
      <c r="F627" s="10"/>
    </row>
    <row r="628">
      <c r="F628" s="10"/>
    </row>
    <row r="629">
      <c r="F629" s="10"/>
    </row>
    <row r="630">
      <c r="F630" s="10"/>
    </row>
    <row r="631">
      <c r="F631" s="10"/>
    </row>
    <row r="632">
      <c r="F632" s="10"/>
    </row>
    <row r="633">
      <c r="F633" s="10"/>
    </row>
    <row r="634">
      <c r="F634" s="10"/>
    </row>
    <row r="635">
      <c r="F635" s="10"/>
    </row>
    <row r="636">
      <c r="F636" s="10"/>
    </row>
    <row r="637">
      <c r="F637" s="10"/>
    </row>
    <row r="638">
      <c r="F638" s="10"/>
    </row>
    <row r="639">
      <c r="F639" s="10"/>
    </row>
    <row r="640">
      <c r="F640" s="10"/>
    </row>
    <row r="641">
      <c r="F641" s="10"/>
    </row>
    <row r="642">
      <c r="F642" s="10"/>
    </row>
    <row r="643">
      <c r="F643" s="10"/>
    </row>
    <row r="644">
      <c r="F644" s="10"/>
    </row>
    <row r="645">
      <c r="F645" s="10"/>
    </row>
    <row r="646">
      <c r="F646" s="10"/>
    </row>
    <row r="647">
      <c r="F647" s="10"/>
    </row>
    <row r="648">
      <c r="F648" s="10"/>
    </row>
    <row r="649">
      <c r="F649" s="10"/>
    </row>
    <row r="650">
      <c r="F650" s="10"/>
    </row>
    <row r="651">
      <c r="F651" s="10"/>
    </row>
    <row r="652">
      <c r="F652" s="10"/>
    </row>
    <row r="653">
      <c r="F653" s="10"/>
    </row>
    <row r="654">
      <c r="F654" s="10"/>
    </row>
    <row r="655">
      <c r="F655" s="10"/>
    </row>
    <row r="656">
      <c r="F656" s="10"/>
    </row>
    <row r="657">
      <c r="F657" s="10"/>
    </row>
    <row r="658">
      <c r="F658" s="10"/>
    </row>
    <row r="659">
      <c r="F659" s="10"/>
    </row>
    <row r="660">
      <c r="F660" s="10"/>
    </row>
    <row r="661">
      <c r="F661" s="10"/>
    </row>
    <row r="662">
      <c r="F662" s="10"/>
    </row>
    <row r="663">
      <c r="F663" s="10"/>
    </row>
    <row r="664">
      <c r="F664" s="10"/>
    </row>
    <row r="665">
      <c r="F665" s="10"/>
    </row>
    <row r="666">
      <c r="F666" s="10"/>
    </row>
    <row r="667">
      <c r="F667" s="10"/>
    </row>
    <row r="668">
      <c r="F668" s="10"/>
    </row>
    <row r="669">
      <c r="F669" s="10"/>
    </row>
    <row r="670">
      <c r="F670" s="10"/>
    </row>
    <row r="671">
      <c r="F671" s="10"/>
    </row>
    <row r="672">
      <c r="F672" s="10"/>
    </row>
    <row r="673">
      <c r="F673" s="10"/>
    </row>
    <row r="674">
      <c r="F674" s="10"/>
    </row>
    <row r="675">
      <c r="F675" s="10"/>
    </row>
    <row r="676">
      <c r="F676" s="10"/>
    </row>
    <row r="677">
      <c r="F677" s="10"/>
    </row>
    <row r="678">
      <c r="F678" s="10"/>
    </row>
    <row r="679">
      <c r="F679" s="10"/>
    </row>
    <row r="680">
      <c r="F680" s="10"/>
    </row>
    <row r="681">
      <c r="F681" s="10"/>
    </row>
    <row r="682">
      <c r="F682" s="10"/>
    </row>
    <row r="683">
      <c r="F683" s="10"/>
    </row>
    <row r="684">
      <c r="F684" s="10"/>
    </row>
    <row r="685">
      <c r="F685" s="10"/>
    </row>
    <row r="686">
      <c r="F686" s="10"/>
    </row>
    <row r="687">
      <c r="F687" s="10"/>
    </row>
    <row r="688">
      <c r="F688" s="10"/>
    </row>
    <row r="689">
      <c r="F689" s="10"/>
    </row>
    <row r="690">
      <c r="F690" s="10"/>
    </row>
    <row r="691">
      <c r="F691" s="10"/>
    </row>
    <row r="692">
      <c r="F692" s="10"/>
    </row>
    <row r="693">
      <c r="F693" s="10"/>
    </row>
    <row r="694">
      <c r="F694" s="10"/>
    </row>
    <row r="695">
      <c r="F695" s="10"/>
    </row>
    <row r="696">
      <c r="F696" s="10"/>
    </row>
    <row r="697">
      <c r="F697" s="10"/>
    </row>
    <row r="698">
      <c r="F698" s="10"/>
    </row>
    <row r="699">
      <c r="F699" s="10"/>
    </row>
    <row r="700">
      <c r="F700" s="10"/>
    </row>
    <row r="701">
      <c r="F701" s="10"/>
    </row>
    <row r="702">
      <c r="F702" s="10"/>
    </row>
    <row r="703">
      <c r="F703" s="10"/>
    </row>
    <row r="704">
      <c r="F704" s="10"/>
    </row>
    <row r="705">
      <c r="F705" s="10"/>
    </row>
    <row r="706">
      <c r="F706" s="10"/>
    </row>
    <row r="707">
      <c r="F707" s="10"/>
    </row>
    <row r="708">
      <c r="F708" s="10"/>
    </row>
    <row r="709">
      <c r="F709" s="10"/>
    </row>
    <row r="710">
      <c r="F710" s="10"/>
    </row>
    <row r="711">
      <c r="F711" s="10"/>
    </row>
    <row r="712">
      <c r="F712" s="10"/>
    </row>
    <row r="713">
      <c r="F713" s="10"/>
    </row>
    <row r="714">
      <c r="F714" s="10"/>
    </row>
    <row r="715">
      <c r="F715" s="10"/>
    </row>
    <row r="716">
      <c r="F716" s="10"/>
    </row>
    <row r="717">
      <c r="F717" s="10"/>
    </row>
    <row r="718">
      <c r="F718" s="10"/>
    </row>
    <row r="719">
      <c r="F719" s="10"/>
    </row>
    <row r="720">
      <c r="F720" s="10"/>
    </row>
    <row r="721">
      <c r="F721" s="10"/>
    </row>
    <row r="722">
      <c r="F722" s="10"/>
    </row>
    <row r="723">
      <c r="F723" s="10"/>
    </row>
    <row r="724">
      <c r="F724" s="10"/>
    </row>
    <row r="725">
      <c r="F725" s="10"/>
    </row>
    <row r="726">
      <c r="F726" s="10"/>
    </row>
    <row r="727">
      <c r="F727" s="10"/>
    </row>
    <row r="728">
      <c r="F728" s="10"/>
    </row>
    <row r="729">
      <c r="F729" s="10"/>
    </row>
    <row r="730">
      <c r="F730" s="10"/>
    </row>
    <row r="731">
      <c r="F731" s="10"/>
    </row>
    <row r="732">
      <c r="F732" s="10"/>
    </row>
    <row r="733">
      <c r="F733" s="10"/>
    </row>
    <row r="734">
      <c r="F734" s="10"/>
    </row>
    <row r="735">
      <c r="F735" s="10"/>
    </row>
    <row r="736">
      <c r="F736" s="10"/>
    </row>
    <row r="737">
      <c r="F737" s="10"/>
    </row>
    <row r="738">
      <c r="F738" s="10"/>
    </row>
    <row r="739">
      <c r="F739" s="10"/>
    </row>
    <row r="740">
      <c r="F740" s="10"/>
    </row>
    <row r="741">
      <c r="F741" s="10"/>
    </row>
    <row r="742">
      <c r="F742" s="10"/>
    </row>
    <row r="743">
      <c r="F743" s="10"/>
    </row>
    <row r="744">
      <c r="F744" s="10"/>
    </row>
    <row r="745">
      <c r="F745" s="10"/>
    </row>
    <row r="746">
      <c r="F746" s="10"/>
    </row>
    <row r="747">
      <c r="F747" s="10"/>
    </row>
    <row r="748">
      <c r="F748" s="10"/>
    </row>
    <row r="749">
      <c r="F749" s="10"/>
    </row>
    <row r="750">
      <c r="F750" s="10"/>
    </row>
    <row r="751">
      <c r="F751" s="10"/>
    </row>
    <row r="752">
      <c r="F752" s="10"/>
    </row>
    <row r="753">
      <c r="F753" s="10"/>
    </row>
    <row r="754">
      <c r="F754" s="10"/>
    </row>
    <row r="755">
      <c r="F755" s="10"/>
    </row>
    <row r="756">
      <c r="F756" s="10"/>
    </row>
    <row r="757">
      <c r="F757" s="10"/>
    </row>
    <row r="758">
      <c r="F758" s="10"/>
    </row>
    <row r="759">
      <c r="F759" s="10"/>
    </row>
    <row r="760">
      <c r="F760" s="10"/>
    </row>
    <row r="761">
      <c r="F761" s="10"/>
    </row>
    <row r="762">
      <c r="F762" s="10"/>
    </row>
    <row r="763">
      <c r="F763" s="10"/>
    </row>
    <row r="764">
      <c r="F764" s="10"/>
    </row>
    <row r="765">
      <c r="F765" s="10"/>
    </row>
    <row r="766">
      <c r="F766" s="10"/>
    </row>
    <row r="767">
      <c r="F767" s="10"/>
    </row>
    <row r="768">
      <c r="F768" s="10"/>
    </row>
    <row r="769">
      <c r="F769" s="10"/>
    </row>
    <row r="770">
      <c r="F770" s="10"/>
    </row>
    <row r="771">
      <c r="F771" s="10"/>
    </row>
    <row r="772">
      <c r="F772" s="10"/>
    </row>
    <row r="773">
      <c r="F773" s="10"/>
    </row>
    <row r="774">
      <c r="F774" s="10"/>
    </row>
    <row r="775">
      <c r="F775" s="10"/>
    </row>
    <row r="776">
      <c r="F776" s="10"/>
    </row>
    <row r="777">
      <c r="F777" s="10"/>
    </row>
    <row r="778">
      <c r="F778" s="10"/>
    </row>
    <row r="779">
      <c r="F779" s="10"/>
    </row>
    <row r="780">
      <c r="F780" s="10"/>
    </row>
    <row r="781">
      <c r="F781" s="10"/>
    </row>
    <row r="782">
      <c r="F782" s="10"/>
    </row>
    <row r="783">
      <c r="F783" s="10"/>
    </row>
    <row r="784">
      <c r="F784" s="10"/>
    </row>
    <row r="785">
      <c r="F785" s="10"/>
    </row>
    <row r="786">
      <c r="F786" s="10"/>
    </row>
    <row r="787">
      <c r="F787" s="10"/>
    </row>
    <row r="788">
      <c r="F788" s="10"/>
    </row>
    <row r="789">
      <c r="F789" s="10"/>
    </row>
    <row r="790">
      <c r="F790" s="10"/>
    </row>
    <row r="791">
      <c r="F791" s="10"/>
    </row>
    <row r="792">
      <c r="F792" s="10"/>
    </row>
    <row r="793">
      <c r="F793" s="10"/>
    </row>
    <row r="794">
      <c r="F794" s="10"/>
    </row>
    <row r="795">
      <c r="F795" s="10"/>
    </row>
    <row r="796">
      <c r="F796" s="10"/>
    </row>
    <row r="797">
      <c r="F797" s="10"/>
    </row>
    <row r="798">
      <c r="F798" s="10"/>
    </row>
    <row r="799">
      <c r="F799" s="10"/>
    </row>
    <row r="800">
      <c r="F800" s="10"/>
    </row>
    <row r="801">
      <c r="F801" s="10"/>
    </row>
    <row r="802">
      <c r="F802" s="10"/>
    </row>
    <row r="803">
      <c r="F803" s="10"/>
    </row>
    <row r="804">
      <c r="F804" s="10"/>
    </row>
    <row r="805">
      <c r="F805" s="10"/>
    </row>
    <row r="806">
      <c r="F806" s="10"/>
    </row>
    <row r="807">
      <c r="F807" s="10"/>
    </row>
    <row r="808">
      <c r="F808" s="10"/>
    </row>
    <row r="809">
      <c r="F809" s="10"/>
    </row>
    <row r="810">
      <c r="F810" s="10"/>
    </row>
    <row r="811">
      <c r="F811" s="10"/>
    </row>
    <row r="812">
      <c r="F812" s="10"/>
    </row>
    <row r="813">
      <c r="F813" s="10"/>
    </row>
    <row r="814">
      <c r="F814" s="10"/>
    </row>
    <row r="815">
      <c r="F815" s="10"/>
    </row>
    <row r="816">
      <c r="F816" s="10"/>
    </row>
    <row r="817">
      <c r="F817" s="10"/>
    </row>
    <row r="818">
      <c r="F818" s="10"/>
    </row>
    <row r="819">
      <c r="F819" s="10"/>
    </row>
    <row r="820">
      <c r="F820" s="10"/>
    </row>
    <row r="821">
      <c r="F821" s="10"/>
    </row>
    <row r="822">
      <c r="F822" s="10"/>
    </row>
    <row r="823">
      <c r="F823" s="10"/>
    </row>
    <row r="824">
      <c r="F824" s="10"/>
    </row>
    <row r="825">
      <c r="F825" s="10"/>
    </row>
    <row r="826">
      <c r="F826" s="10"/>
    </row>
    <row r="827">
      <c r="F827" s="10"/>
    </row>
    <row r="828">
      <c r="F828" s="10"/>
    </row>
    <row r="829">
      <c r="F829" s="10"/>
    </row>
    <row r="830">
      <c r="F830" s="10"/>
    </row>
    <row r="831">
      <c r="F831" s="10"/>
    </row>
    <row r="832">
      <c r="F832" s="10"/>
    </row>
    <row r="833">
      <c r="F833" s="10"/>
    </row>
    <row r="834">
      <c r="F834" s="10"/>
    </row>
    <row r="835">
      <c r="F835" s="10"/>
    </row>
    <row r="836">
      <c r="F836" s="10"/>
    </row>
    <row r="837">
      <c r="F837" s="10"/>
    </row>
    <row r="838">
      <c r="F838" s="10"/>
    </row>
    <row r="839">
      <c r="F839" s="10"/>
    </row>
    <row r="840">
      <c r="F840" s="10"/>
    </row>
    <row r="841">
      <c r="F841" s="10"/>
    </row>
    <row r="842">
      <c r="F842" s="10"/>
    </row>
    <row r="843">
      <c r="F843" s="10"/>
    </row>
    <row r="844">
      <c r="F844" s="10"/>
    </row>
    <row r="845">
      <c r="F845" s="10"/>
    </row>
    <row r="846">
      <c r="F846" s="10"/>
    </row>
    <row r="847">
      <c r="F847" s="10"/>
    </row>
    <row r="848">
      <c r="F848" s="10"/>
    </row>
    <row r="849">
      <c r="F849" s="10"/>
    </row>
    <row r="850">
      <c r="F850" s="10"/>
    </row>
    <row r="851">
      <c r="F851" s="10"/>
    </row>
    <row r="852">
      <c r="F852" s="10"/>
    </row>
    <row r="853">
      <c r="F853" s="10"/>
    </row>
    <row r="854">
      <c r="F854" s="10"/>
    </row>
    <row r="855">
      <c r="F855" s="10"/>
    </row>
    <row r="856">
      <c r="F856" s="10"/>
    </row>
    <row r="857">
      <c r="F857" s="10"/>
    </row>
    <row r="858">
      <c r="F858" s="10"/>
    </row>
    <row r="859">
      <c r="F859" s="10"/>
    </row>
    <row r="860">
      <c r="F860" s="10"/>
    </row>
    <row r="861">
      <c r="F861" s="10"/>
    </row>
    <row r="862">
      <c r="F862" s="10"/>
    </row>
    <row r="863">
      <c r="F863" s="10"/>
    </row>
    <row r="864">
      <c r="F864" s="10"/>
    </row>
    <row r="865">
      <c r="F865" s="10"/>
    </row>
    <row r="866">
      <c r="F866" s="10"/>
    </row>
    <row r="867">
      <c r="F867" s="10"/>
    </row>
    <row r="868">
      <c r="F868" s="10"/>
    </row>
    <row r="869">
      <c r="F869" s="10"/>
    </row>
    <row r="870">
      <c r="F870" s="10"/>
    </row>
    <row r="871">
      <c r="F871" s="10"/>
    </row>
    <row r="872">
      <c r="F872" s="10"/>
    </row>
    <row r="873">
      <c r="F873" s="10"/>
    </row>
    <row r="874">
      <c r="F874" s="10"/>
    </row>
    <row r="875">
      <c r="F875" s="10"/>
    </row>
    <row r="876">
      <c r="F876" s="10"/>
    </row>
    <row r="877">
      <c r="F877" s="10"/>
    </row>
    <row r="878">
      <c r="F878" s="10"/>
    </row>
    <row r="879">
      <c r="F879" s="10"/>
    </row>
    <row r="880">
      <c r="F880" s="10"/>
    </row>
    <row r="881">
      <c r="F881" s="10"/>
    </row>
    <row r="882">
      <c r="F882" s="10"/>
    </row>
    <row r="883">
      <c r="F883" s="10"/>
    </row>
    <row r="884">
      <c r="F884" s="10"/>
    </row>
    <row r="885">
      <c r="F885" s="10"/>
    </row>
    <row r="886">
      <c r="F886" s="10"/>
    </row>
    <row r="887">
      <c r="F887" s="10"/>
    </row>
    <row r="888">
      <c r="F888" s="10"/>
    </row>
    <row r="889">
      <c r="F889" s="10"/>
    </row>
    <row r="890">
      <c r="F890" s="10"/>
    </row>
    <row r="891">
      <c r="F891" s="10"/>
    </row>
    <row r="892">
      <c r="F892" s="10"/>
    </row>
    <row r="893">
      <c r="F893" s="10"/>
    </row>
    <row r="894">
      <c r="F894" s="10"/>
    </row>
    <row r="895">
      <c r="F895" s="10"/>
    </row>
    <row r="896">
      <c r="F896" s="10"/>
    </row>
    <row r="897">
      <c r="F897" s="10"/>
    </row>
    <row r="898">
      <c r="F898" s="10"/>
    </row>
    <row r="899">
      <c r="F899" s="10"/>
    </row>
    <row r="900">
      <c r="F900" s="10"/>
    </row>
    <row r="901">
      <c r="F901" s="10"/>
    </row>
    <row r="902">
      <c r="F902" s="10"/>
    </row>
    <row r="903">
      <c r="F903" s="10"/>
    </row>
    <row r="904">
      <c r="F904" s="10"/>
    </row>
    <row r="905">
      <c r="F905" s="10"/>
    </row>
    <row r="906">
      <c r="F906" s="10"/>
    </row>
    <row r="907">
      <c r="F907" s="10"/>
    </row>
    <row r="908">
      <c r="F908" s="10"/>
    </row>
    <row r="909">
      <c r="F909" s="10"/>
    </row>
    <row r="910">
      <c r="F910" s="10"/>
    </row>
    <row r="911">
      <c r="F911" s="10"/>
    </row>
    <row r="912">
      <c r="F912" s="10"/>
    </row>
    <row r="913">
      <c r="F913" s="10"/>
    </row>
    <row r="914">
      <c r="F914" s="10"/>
    </row>
    <row r="915">
      <c r="F915" s="10"/>
    </row>
    <row r="916">
      <c r="F916" s="10"/>
    </row>
    <row r="917">
      <c r="F917" s="10"/>
    </row>
    <row r="918">
      <c r="F918" s="10"/>
    </row>
    <row r="919">
      <c r="F919" s="10"/>
    </row>
    <row r="920">
      <c r="F920" s="10"/>
    </row>
    <row r="921">
      <c r="F921" s="10"/>
    </row>
    <row r="922">
      <c r="F922" s="10"/>
    </row>
    <row r="923">
      <c r="F923" s="10"/>
    </row>
    <row r="924">
      <c r="F924" s="10"/>
    </row>
    <row r="925">
      <c r="F925" s="10"/>
    </row>
    <row r="926">
      <c r="F926" s="10"/>
    </row>
    <row r="927">
      <c r="F927" s="10"/>
    </row>
    <row r="928">
      <c r="F928" s="10"/>
    </row>
    <row r="929">
      <c r="F929" s="10"/>
    </row>
    <row r="930">
      <c r="F930" s="10"/>
    </row>
    <row r="931">
      <c r="F931" s="10"/>
    </row>
    <row r="932">
      <c r="F932" s="10"/>
    </row>
    <row r="933">
      <c r="F933" s="10"/>
    </row>
    <row r="934">
      <c r="F934" s="10"/>
    </row>
    <row r="935">
      <c r="F935" s="10"/>
    </row>
    <row r="936">
      <c r="F936" s="10"/>
    </row>
    <row r="937">
      <c r="F937" s="10"/>
    </row>
    <row r="938">
      <c r="F938" s="10"/>
    </row>
    <row r="939">
      <c r="F939" s="10"/>
    </row>
    <row r="940">
      <c r="F940" s="10"/>
    </row>
    <row r="941">
      <c r="F941" s="10"/>
    </row>
    <row r="942">
      <c r="F942" s="10"/>
    </row>
    <row r="943">
      <c r="F943" s="10"/>
    </row>
    <row r="944">
      <c r="F944" s="10"/>
    </row>
    <row r="945">
      <c r="F945" s="10"/>
    </row>
    <row r="946">
      <c r="F946" s="10"/>
    </row>
    <row r="947">
      <c r="F947" s="10"/>
    </row>
    <row r="948">
      <c r="F948" s="10"/>
    </row>
    <row r="949">
      <c r="F949" s="10"/>
    </row>
    <row r="950">
      <c r="F950" s="10"/>
    </row>
    <row r="951">
      <c r="F951" s="10"/>
    </row>
    <row r="952">
      <c r="F952" s="10"/>
    </row>
    <row r="953">
      <c r="F953" s="10"/>
    </row>
    <row r="954">
      <c r="F954" s="10"/>
    </row>
    <row r="955">
      <c r="F955" s="10"/>
    </row>
    <row r="956">
      <c r="F956" s="10"/>
    </row>
    <row r="957">
      <c r="F957" s="10"/>
    </row>
    <row r="958">
      <c r="F958" s="10"/>
    </row>
    <row r="959">
      <c r="F959" s="10"/>
    </row>
    <row r="960">
      <c r="F960" s="10"/>
    </row>
    <row r="961">
      <c r="F961" s="10"/>
    </row>
    <row r="962">
      <c r="F962" s="10"/>
    </row>
    <row r="963">
      <c r="F963" s="10"/>
    </row>
    <row r="964">
      <c r="F964" s="10"/>
    </row>
    <row r="965">
      <c r="F965" s="10"/>
    </row>
    <row r="966">
      <c r="F966" s="10"/>
    </row>
    <row r="967">
      <c r="F967" s="10"/>
    </row>
    <row r="968">
      <c r="F968" s="10"/>
    </row>
    <row r="969">
      <c r="F969" s="10"/>
    </row>
    <row r="970">
      <c r="F970" s="10"/>
    </row>
    <row r="971">
      <c r="F971" s="10"/>
    </row>
    <row r="972">
      <c r="F972" s="10"/>
    </row>
    <row r="973">
      <c r="F973" s="10"/>
    </row>
    <row r="974">
      <c r="F974" s="10"/>
    </row>
    <row r="975">
      <c r="F975" s="10"/>
    </row>
    <row r="976">
      <c r="F976" s="10"/>
    </row>
    <row r="977">
      <c r="F977" s="10"/>
    </row>
    <row r="978">
      <c r="F978" s="10"/>
    </row>
    <row r="979">
      <c r="F979" s="10"/>
    </row>
    <row r="980">
      <c r="F980" s="10"/>
    </row>
    <row r="981">
      <c r="F981" s="10"/>
    </row>
    <row r="982">
      <c r="F982" s="10"/>
    </row>
    <row r="983">
      <c r="F983" s="10"/>
    </row>
    <row r="984">
      <c r="F984" s="10"/>
    </row>
    <row r="985">
      <c r="F985" s="10"/>
    </row>
    <row r="986">
      <c r="F986" s="10"/>
    </row>
    <row r="987">
      <c r="F987" s="10"/>
    </row>
    <row r="988">
      <c r="F988" s="10"/>
    </row>
    <row r="989">
      <c r="F989" s="10"/>
    </row>
    <row r="990">
      <c r="F990" s="10"/>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7.0"/>
    <col customWidth="1" min="3" max="3" width="33.38"/>
    <col customWidth="1" min="4" max="4" width="39.0"/>
    <col customWidth="1" min="5" max="5" width="23.63"/>
    <col customWidth="1" min="6" max="6" width="22.13"/>
  </cols>
  <sheetData>
    <row r="1">
      <c r="A1" s="16" t="s">
        <v>11</v>
      </c>
      <c r="B1" s="16" t="s">
        <v>93</v>
      </c>
      <c r="C1" s="16" t="s">
        <v>94</v>
      </c>
      <c r="D1" s="16" t="s">
        <v>95</v>
      </c>
      <c r="E1" s="16" t="s">
        <v>96</v>
      </c>
      <c r="F1" s="16" t="s">
        <v>97</v>
      </c>
      <c r="G1" s="16" t="s">
        <v>98</v>
      </c>
      <c r="H1" s="16" t="s">
        <v>99</v>
      </c>
      <c r="I1" s="16" t="s">
        <v>100</v>
      </c>
      <c r="J1" s="16" t="s">
        <v>101</v>
      </c>
      <c r="K1" s="16" t="s">
        <v>102</v>
      </c>
    </row>
    <row r="2">
      <c r="A2" s="16" t="s">
        <v>86</v>
      </c>
      <c r="B2" s="16">
        <v>10.0</v>
      </c>
      <c r="C2" s="16">
        <v>90601.70431</v>
      </c>
      <c r="D2" s="16">
        <v>2.08652218855869E8</v>
      </c>
      <c r="E2" s="16">
        <v>1766608.0312027074</v>
      </c>
      <c r="F2" s="14">
        <v>110250.0</v>
      </c>
      <c r="G2" s="16">
        <v>985.0</v>
      </c>
      <c r="H2" s="16">
        <v>1154.0</v>
      </c>
      <c r="I2" s="14">
        <v>631400.0</v>
      </c>
      <c r="J2" s="16" t="e">
        <v>#VALUE!</v>
      </c>
      <c r="K2" s="16">
        <v>5.0</v>
      </c>
    </row>
    <row r="3">
      <c r="A3" s="16" t="s">
        <v>111</v>
      </c>
      <c r="B3" s="16">
        <v>5.0</v>
      </c>
      <c r="C3" s="17">
        <v>0.0</v>
      </c>
      <c r="D3" s="17">
        <v>2.965718181E8</v>
      </c>
      <c r="E3" s="17">
        <v>3401030.6650656</v>
      </c>
      <c r="F3" s="14">
        <v>142350.0</v>
      </c>
      <c r="G3" s="16">
        <v>1303.0</v>
      </c>
      <c r="H3" s="16">
        <v>1494.0</v>
      </c>
      <c r="I3" s="14">
        <v>896400.0</v>
      </c>
      <c r="J3" s="14">
        <v>162150.0</v>
      </c>
      <c r="K3" s="16">
        <v>3.0</v>
      </c>
    </row>
    <row r="4">
      <c r="A4" s="16" t="s">
        <v>113</v>
      </c>
      <c r="B4" s="16">
        <v>1.0</v>
      </c>
      <c r="C4" s="17">
        <v>0.0</v>
      </c>
      <c r="D4" s="17">
        <v>2.72972745E7</v>
      </c>
      <c r="E4" s="17">
        <v>341215.93125</v>
      </c>
      <c r="F4" s="14">
        <v>41700.0</v>
      </c>
      <c r="G4" s="16">
        <v>278.0</v>
      </c>
      <c r="H4" s="16">
        <v>278.0</v>
      </c>
      <c r="I4" s="14">
        <v>166800.0</v>
      </c>
      <c r="J4" s="14">
        <v>0.0</v>
      </c>
      <c r="K4" s="16">
        <v>0.0</v>
      </c>
    </row>
    <row r="5">
      <c r="A5" s="16" t="s">
        <v>114</v>
      </c>
      <c r="B5" s="16">
        <v>134.0</v>
      </c>
      <c r="C5" s="17">
        <v>3113243.1202248097</v>
      </c>
      <c r="D5" s="17">
        <v>8.596100491675031E8</v>
      </c>
      <c r="E5" s="17">
        <v>1.0260260524546884E7</v>
      </c>
      <c r="F5" s="14">
        <v>1219625.0</v>
      </c>
      <c r="G5" s="16">
        <v>9403.0</v>
      </c>
      <c r="H5" s="16">
        <v>10916.0</v>
      </c>
      <c r="I5" s="14">
        <v>5952400.0</v>
      </c>
      <c r="J5" s="14">
        <v>689150.0</v>
      </c>
      <c r="K5" s="16">
        <v>38.0</v>
      </c>
    </row>
    <row r="6">
      <c r="A6" s="16" t="s">
        <v>118</v>
      </c>
      <c r="B6" s="16">
        <v>1.0</v>
      </c>
      <c r="C6" s="17">
        <v>0.0</v>
      </c>
      <c r="D6" s="17">
        <v>4.20239196E7</v>
      </c>
      <c r="E6" s="17">
        <v>459909.7761024</v>
      </c>
      <c r="F6" s="14">
        <v>22200.0</v>
      </c>
      <c r="G6" s="16">
        <v>148.0</v>
      </c>
      <c r="H6" s="16">
        <v>148.0</v>
      </c>
      <c r="I6" s="14">
        <v>88800.0</v>
      </c>
      <c r="J6" s="14">
        <v>0.0</v>
      </c>
      <c r="K6" s="16">
        <v>0.0</v>
      </c>
    </row>
    <row r="7">
      <c r="A7" s="16" t="s">
        <v>119</v>
      </c>
      <c r="B7" s="16">
        <v>7.0</v>
      </c>
      <c r="C7" s="17">
        <v>596976.453498</v>
      </c>
      <c r="D7" s="17">
        <v>4.0303018157337284E8</v>
      </c>
      <c r="E7" s="17">
        <v>2559237.860841195</v>
      </c>
      <c r="F7" s="14">
        <v>187250.0</v>
      </c>
      <c r="G7" s="16">
        <v>1413.0</v>
      </c>
      <c r="H7" s="16">
        <v>1837.0</v>
      </c>
      <c r="I7" s="14">
        <v>1071600.0</v>
      </c>
      <c r="J7" s="16" t="e">
        <v>#VALUE!</v>
      </c>
      <c r="K7" s="16">
        <v>6.0</v>
      </c>
    </row>
    <row r="8">
      <c r="A8" s="16" t="s">
        <v>120</v>
      </c>
      <c r="B8" s="16">
        <v>6.0</v>
      </c>
      <c r="C8" s="17">
        <v>273172.38738000003</v>
      </c>
      <c r="D8" s="17">
        <v>1.167242604E8</v>
      </c>
      <c r="E8" s="17">
        <v>802146.5785878</v>
      </c>
      <c r="F8" s="14">
        <v>109800.0</v>
      </c>
      <c r="G8" s="16">
        <v>1017.0</v>
      </c>
      <c r="H8" s="16">
        <v>1128.0</v>
      </c>
      <c r="I8" s="14">
        <v>585800.0</v>
      </c>
      <c r="J8" s="14">
        <v>15600.0</v>
      </c>
      <c r="K8" s="16">
        <v>2.0</v>
      </c>
    </row>
    <row r="9">
      <c r="A9" s="16" t="s">
        <v>121</v>
      </c>
      <c r="B9" s="16">
        <v>1.0</v>
      </c>
      <c r="C9" s="17">
        <v>46968.45</v>
      </c>
      <c r="D9" s="17">
        <v>4156500.0</v>
      </c>
      <c r="E9" s="17">
        <v>46968.45</v>
      </c>
      <c r="F9" s="14">
        <v>10650.0</v>
      </c>
      <c r="G9" s="16">
        <v>70.0</v>
      </c>
      <c r="H9" s="16">
        <v>71.0</v>
      </c>
      <c r="I9" s="14">
        <v>42600.0</v>
      </c>
      <c r="J9" s="14">
        <v>21300.0</v>
      </c>
      <c r="K9" s="16">
        <v>1.0</v>
      </c>
    </row>
    <row r="10">
      <c r="A10" s="16" t="s">
        <v>122</v>
      </c>
      <c r="B10" s="16">
        <v>12.0</v>
      </c>
      <c r="C10" s="17">
        <v>0.0</v>
      </c>
      <c r="D10" s="17">
        <v>2.7885004914374477E8</v>
      </c>
      <c r="E10" s="16">
        <v>2726277.744154576</v>
      </c>
      <c r="F10" s="14">
        <v>240716.0</v>
      </c>
      <c r="G10" s="16">
        <v>2202.0</v>
      </c>
      <c r="H10" s="16">
        <v>2393.0</v>
      </c>
      <c r="I10" s="14">
        <v>1296900.0</v>
      </c>
      <c r="J10" s="16" t="e">
        <v>#VALUE!</v>
      </c>
      <c r="K10" s="16">
        <v>7.0</v>
      </c>
    </row>
    <row r="11">
      <c r="A11" s="16" t="s">
        <v>123</v>
      </c>
      <c r="B11" s="16">
        <v>2.0</v>
      </c>
      <c r="C11" s="17">
        <v>0.0</v>
      </c>
      <c r="D11" s="17">
        <v>1.0461208409067358E8</v>
      </c>
      <c r="E11" s="17">
        <v>1255345.0090880832</v>
      </c>
      <c r="F11" s="14">
        <v>35400.0</v>
      </c>
      <c r="G11" s="16">
        <v>236.0</v>
      </c>
      <c r="H11" s="16">
        <v>329.0</v>
      </c>
      <c r="I11" s="14">
        <v>197400.0</v>
      </c>
      <c r="J11" s="14">
        <v>20400.0</v>
      </c>
      <c r="K11" s="16">
        <v>1.0</v>
      </c>
    </row>
    <row r="12">
      <c r="A12" s="16" t="s">
        <v>124</v>
      </c>
      <c r="B12" s="16">
        <v>4.0</v>
      </c>
      <c r="C12" s="16">
        <v>0.0</v>
      </c>
      <c r="D12" s="17">
        <v>9.536572527302904E7</v>
      </c>
      <c r="E12" s="17">
        <v>1043403.6802122109</v>
      </c>
      <c r="F12" s="14">
        <v>142275.0</v>
      </c>
      <c r="G12" s="16">
        <v>1025.0</v>
      </c>
      <c r="H12" s="16">
        <v>1413.0</v>
      </c>
      <c r="I12" s="14">
        <v>847800.0</v>
      </c>
      <c r="J12" s="14">
        <v>139650.0</v>
      </c>
      <c r="K12" s="16">
        <v>1.0</v>
      </c>
    </row>
    <row r="13">
      <c r="A13" s="16" t="s">
        <v>126</v>
      </c>
      <c r="B13" s="16">
        <v>1.0</v>
      </c>
      <c r="C13" s="17">
        <v>0.0</v>
      </c>
      <c r="D13" s="17">
        <v>2.04552E7</v>
      </c>
      <c r="E13" s="17">
        <v>214206.85439999998</v>
      </c>
      <c r="F13" s="14">
        <v>57000.0</v>
      </c>
      <c r="G13" s="16">
        <v>460.0</v>
      </c>
      <c r="H13" s="16">
        <v>460.0</v>
      </c>
      <c r="I13" s="14">
        <v>276000.0</v>
      </c>
      <c r="J13" s="14">
        <v>0.0</v>
      </c>
      <c r="K13" s="16">
        <v>0.0</v>
      </c>
    </row>
    <row r="14">
      <c r="A14" s="16" t="s">
        <v>129</v>
      </c>
      <c r="B14" s="16">
        <v>10.0</v>
      </c>
      <c r="C14" s="17">
        <v>421190.756246</v>
      </c>
      <c r="D14" s="17">
        <v>5.764545288194897E8</v>
      </c>
      <c r="E14" s="17">
        <v>6625114.551730764</v>
      </c>
      <c r="F14" s="14">
        <v>250200.0</v>
      </c>
      <c r="G14" s="16">
        <v>2329.0</v>
      </c>
      <c r="H14" s="16">
        <v>3003.0</v>
      </c>
      <c r="I14" s="14">
        <v>1599200.0</v>
      </c>
      <c r="J14" s="14">
        <v>43350.0</v>
      </c>
      <c r="K14" s="16">
        <v>5.0</v>
      </c>
    </row>
    <row r="15">
      <c r="A15" s="16" t="s">
        <v>133</v>
      </c>
      <c r="B15" s="16">
        <v>1.0</v>
      </c>
      <c r="C15" s="17">
        <v>0.0</v>
      </c>
      <c r="D15" s="17">
        <v>0.0</v>
      </c>
      <c r="E15" s="16">
        <v>0.0</v>
      </c>
      <c r="F15" s="14">
        <v>22500.0</v>
      </c>
      <c r="G15" s="16">
        <v>150.0</v>
      </c>
      <c r="H15" s="16">
        <v>150.0</v>
      </c>
      <c r="I15" s="14">
        <v>90000.0</v>
      </c>
      <c r="J15" s="14">
        <v>0.0</v>
      </c>
      <c r="K15" s="16">
        <v>0.0</v>
      </c>
    </row>
    <row r="16">
      <c r="A16" s="16" t="s">
        <v>138</v>
      </c>
      <c r="B16" s="16">
        <v>2.0</v>
      </c>
      <c r="C16" s="17">
        <v>0.0</v>
      </c>
      <c r="D16" s="17">
        <v>411869.4284023669</v>
      </c>
      <c r="E16" s="17">
        <v>4820.2314814214205</v>
      </c>
      <c r="F16" s="14">
        <v>28500.0</v>
      </c>
      <c r="G16" s="16">
        <v>190.0</v>
      </c>
      <c r="H16" s="16">
        <v>301.0</v>
      </c>
      <c r="I16" s="14">
        <v>180600.0</v>
      </c>
      <c r="J16" s="14">
        <v>0.0</v>
      </c>
      <c r="K16" s="16">
        <v>0.0</v>
      </c>
    </row>
    <row r="17">
      <c r="A17" s="16" t="s">
        <v>140</v>
      </c>
      <c r="B17" s="16">
        <v>1.0</v>
      </c>
      <c r="C17" s="17">
        <v>0.0</v>
      </c>
      <c r="D17" s="17">
        <v>9126085.5</v>
      </c>
      <c r="E17" s="17">
        <v>104949.98325</v>
      </c>
      <c r="F17" s="14">
        <v>5550.0</v>
      </c>
      <c r="G17" s="16">
        <v>37.0</v>
      </c>
      <c r="H17" s="16">
        <v>37.0</v>
      </c>
      <c r="I17" s="14">
        <v>22200.0</v>
      </c>
      <c r="J17" s="14">
        <v>0.0</v>
      </c>
      <c r="K17" s="16">
        <v>0.0</v>
      </c>
    </row>
    <row r="18">
      <c r="A18" s="16" t="s">
        <v>141</v>
      </c>
      <c r="B18" s="16">
        <v>198.0</v>
      </c>
      <c r="C18" s="16">
        <v>4542152.8716588095</v>
      </c>
      <c r="D18" s="16">
        <v>3.0433417644520845E9</v>
      </c>
      <c r="E18" s="16">
        <v>3.1611495871913638E7</v>
      </c>
      <c r="F18" s="14">
        <v>2625966.0</v>
      </c>
      <c r="G18" s="16">
        <v>21246.0</v>
      </c>
      <c r="H18" s="16">
        <v>25112.0</v>
      </c>
      <c r="I18" s="14">
        <v>1.39459E7</v>
      </c>
      <c r="J18" s="16" t="e">
        <v>#VALUE!</v>
      </c>
      <c r="K18" s="16">
        <v>69.0</v>
      </c>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8.13"/>
    <col customWidth="1" min="3" max="3" width="25.75"/>
    <col customWidth="1" min="4" max="4" width="38.25"/>
  </cols>
  <sheetData>
    <row r="1">
      <c r="A1" s="2" t="s">
        <v>597</v>
      </c>
      <c r="B1" s="2" t="s">
        <v>598</v>
      </c>
      <c r="C1" s="2" t="s">
        <v>35</v>
      </c>
      <c r="D1" s="2" t="s">
        <v>599</v>
      </c>
      <c r="E1" s="2" t="s">
        <v>600</v>
      </c>
      <c r="F1" s="1"/>
      <c r="G1" s="1"/>
      <c r="H1" s="1"/>
      <c r="I1" s="1"/>
      <c r="J1" s="1"/>
      <c r="K1" s="1"/>
      <c r="L1" s="1"/>
      <c r="M1" s="1"/>
      <c r="N1" s="1"/>
      <c r="O1" s="1"/>
      <c r="P1" s="1"/>
      <c r="Q1" s="1"/>
      <c r="R1" s="1"/>
      <c r="S1" s="1"/>
      <c r="T1" s="1"/>
      <c r="U1" s="1"/>
      <c r="V1" s="1"/>
      <c r="W1" s="1"/>
      <c r="X1" s="1"/>
      <c r="Y1" s="1"/>
      <c r="Z1" s="1"/>
      <c r="AA1" s="4"/>
      <c r="AB1" s="9"/>
      <c r="AC1" s="1"/>
      <c r="AD1" s="1"/>
      <c r="AE1" s="1"/>
      <c r="AF1" s="1"/>
      <c r="AG1" s="1"/>
      <c r="AH1" s="4"/>
    </row>
    <row r="2">
      <c r="A2" s="6" t="s">
        <v>605</v>
      </c>
      <c r="B2" s="6" t="s">
        <v>606</v>
      </c>
      <c r="C2" s="6" t="s">
        <v>607</v>
      </c>
      <c r="D2" s="6" t="s">
        <v>608</v>
      </c>
      <c r="E2" s="6">
        <v>23.0</v>
      </c>
    </row>
    <row r="3">
      <c r="A3" s="6" t="s">
        <v>605</v>
      </c>
      <c r="B3" s="6" t="s">
        <v>609</v>
      </c>
      <c r="C3" s="6" t="s">
        <v>610</v>
      </c>
      <c r="D3" s="6" t="s">
        <v>210</v>
      </c>
      <c r="E3" s="6">
        <v>5.0</v>
      </c>
    </row>
    <row r="4">
      <c r="A4" s="6" t="s">
        <v>605</v>
      </c>
      <c r="B4" s="6" t="s">
        <v>611</v>
      </c>
      <c r="C4" s="6" t="s">
        <v>612</v>
      </c>
      <c r="D4" s="6" t="s">
        <v>210</v>
      </c>
      <c r="E4" s="6">
        <v>5.0</v>
      </c>
    </row>
    <row r="5">
      <c r="A5" s="6" t="s">
        <v>605</v>
      </c>
      <c r="B5" s="6" t="s">
        <v>613</v>
      </c>
      <c r="C5" s="6" t="s">
        <v>614</v>
      </c>
      <c r="D5" s="6" t="s">
        <v>188</v>
      </c>
      <c r="E5" s="6">
        <v>12.0</v>
      </c>
    </row>
    <row r="6">
      <c r="A6" s="6" t="s">
        <v>605</v>
      </c>
      <c r="B6" s="6" t="s">
        <v>615</v>
      </c>
      <c r="C6" s="6" t="s">
        <v>616</v>
      </c>
      <c r="D6" s="6" t="s">
        <v>224</v>
      </c>
      <c r="E6" s="6">
        <v>99.0</v>
      </c>
    </row>
    <row r="7">
      <c r="A7" s="6" t="s">
        <v>605</v>
      </c>
      <c r="B7" s="6" t="s">
        <v>619</v>
      </c>
      <c r="C7" s="6" t="s">
        <v>620</v>
      </c>
      <c r="D7" s="6" t="s">
        <v>155</v>
      </c>
      <c r="E7" s="6">
        <v>330.0</v>
      </c>
    </row>
    <row r="8">
      <c r="A8" s="6" t="s">
        <v>605</v>
      </c>
      <c r="B8" s="6" t="s">
        <v>623</v>
      </c>
      <c r="C8" s="6" t="s">
        <v>624</v>
      </c>
      <c r="D8" s="6" t="s">
        <v>625</v>
      </c>
      <c r="E8" s="6">
        <v>313.0</v>
      </c>
    </row>
    <row r="9">
      <c r="A9" s="6" t="s">
        <v>627</v>
      </c>
      <c r="B9" s="6" t="s">
        <v>628</v>
      </c>
      <c r="C9" s="6" t="s">
        <v>629</v>
      </c>
      <c r="D9" s="6" t="s">
        <v>123</v>
      </c>
      <c r="E9" s="6">
        <v>16.0</v>
      </c>
    </row>
    <row r="10">
      <c r="A10" s="6" t="s">
        <v>627</v>
      </c>
      <c r="B10" s="6" t="s">
        <v>632</v>
      </c>
      <c r="C10" s="6" t="s">
        <v>633</v>
      </c>
      <c r="D10" s="6" t="s">
        <v>155</v>
      </c>
      <c r="E10" s="6">
        <v>17.0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25"/>
    <col customWidth="1" min="2" max="2" width="9.13"/>
    <col customWidth="1" min="4" max="4" width="9.88"/>
    <col customWidth="1" min="8" max="8" width="9.38"/>
    <col customWidth="1" min="9" max="9" width="8.0"/>
    <col customWidth="1" min="10" max="21" width="8.63"/>
    <col customWidth="1" min="22" max="33" width="8.0"/>
  </cols>
  <sheetData>
    <row r="1">
      <c r="A1" s="48"/>
      <c r="B1" s="48" t="s">
        <v>727</v>
      </c>
      <c r="C1" s="2"/>
      <c r="D1" s="2"/>
      <c r="E1" s="2"/>
      <c r="F1" s="2"/>
      <c r="G1" s="2"/>
      <c r="H1" s="2"/>
      <c r="I1" s="2"/>
      <c r="J1" s="49"/>
      <c r="K1" s="49"/>
      <c r="L1" s="49"/>
      <c r="M1" s="49"/>
      <c r="N1" s="49"/>
      <c r="O1" s="49"/>
      <c r="P1" s="49"/>
      <c r="Q1" s="49"/>
      <c r="R1" s="49"/>
      <c r="S1" s="49"/>
      <c r="T1" s="49"/>
      <c r="U1" s="49"/>
      <c r="V1" s="50"/>
      <c r="W1" s="50"/>
      <c r="X1" s="50"/>
      <c r="Y1" s="50"/>
      <c r="Z1" s="2"/>
      <c r="AA1" s="2"/>
      <c r="AB1" s="2"/>
      <c r="AC1" s="2"/>
      <c r="AD1" s="2"/>
      <c r="AE1" s="2"/>
      <c r="AF1" s="2"/>
      <c r="AG1" s="2"/>
    </row>
    <row r="2">
      <c r="A2" s="48"/>
      <c r="B2" s="48"/>
      <c r="C2" s="2"/>
      <c r="D2" s="2"/>
      <c r="E2" s="2"/>
      <c r="F2" s="2"/>
      <c r="G2" s="2"/>
      <c r="H2" s="2"/>
      <c r="I2" s="2"/>
      <c r="J2" s="49"/>
      <c r="K2" s="49"/>
      <c r="L2" s="49"/>
      <c r="M2" s="49"/>
      <c r="N2" s="49"/>
      <c r="O2" s="49"/>
      <c r="P2" s="49"/>
      <c r="Q2" s="49"/>
      <c r="R2" s="49"/>
      <c r="S2" s="49"/>
      <c r="T2" s="49"/>
      <c r="U2" s="49"/>
      <c r="V2" s="50"/>
      <c r="W2" s="50"/>
      <c r="X2" s="50"/>
      <c r="Y2" s="50"/>
      <c r="Z2" s="2"/>
      <c r="AA2" s="2"/>
      <c r="AB2" s="2"/>
      <c r="AC2" s="2"/>
      <c r="AD2" s="2"/>
      <c r="AE2" s="2"/>
      <c r="AF2" s="2"/>
      <c r="AG2" s="2"/>
    </row>
    <row r="3">
      <c r="A3" s="2"/>
      <c r="B3" s="52" t="s">
        <v>735</v>
      </c>
      <c r="C3" s="53"/>
      <c r="D3" s="53"/>
      <c r="E3" s="53"/>
      <c r="F3" s="53"/>
      <c r="G3" s="53"/>
      <c r="H3" s="53"/>
      <c r="I3" s="54"/>
      <c r="J3" s="55" t="s">
        <v>736</v>
      </c>
      <c r="K3" s="53"/>
      <c r="L3" s="53"/>
      <c r="M3" s="54"/>
      <c r="N3" s="55" t="s">
        <v>737</v>
      </c>
      <c r="O3" s="53"/>
      <c r="P3" s="53"/>
      <c r="Q3" s="54"/>
      <c r="R3" s="55" t="s">
        <v>738</v>
      </c>
      <c r="S3" s="53"/>
      <c r="T3" s="53"/>
      <c r="U3" s="54"/>
      <c r="V3" s="56" t="s">
        <v>740</v>
      </c>
      <c r="W3" s="53"/>
      <c r="X3" s="53"/>
      <c r="Y3" s="54"/>
      <c r="Z3" s="52" t="s">
        <v>747</v>
      </c>
      <c r="AA3" s="53"/>
      <c r="AB3" s="53"/>
      <c r="AC3" s="54"/>
      <c r="AD3" s="52" t="s">
        <v>748</v>
      </c>
      <c r="AE3" s="53"/>
      <c r="AF3" s="53"/>
      <c r="AG3" s="54"/>
    </row>
    <row r="4">
      <c r="A4" s="2"/>
      <c r="B4" s="57" t="s">
        <v>1</v>
      </c>
      <c r="C4" s="58" t="s">
        <v>8</v>
      </c>
      <c r="D4" s="59" t="s">
        <v>750</v>
      </c>
      <c r="E4" s="58" t="s">
        <v>751</v>
      </c>
      <c r="F4" s="58" t="s">
        <v>11</v>
      </c>
      <c r="G4" s="58" t="s">
        <v>752</v>
      </c>
      <c r="H4" s="58" t="s">
        <v>753</v>
      </c>
      <c r="I4" s="60" t="s">
        <v>754</v>
      </c>
      <c r="J4" s="61" t="s">
        <v>755</v>
      </c>
      <c r="K4" s="62" t="s">
        <v>756</v>
      </c>
      <c r="L4" s="62" t="s">
        <v>757</v>
      </c>
      <c r="M4" s="63" t="s">
        <v>758</v>
      </c>
      <c r="N4" s="61" t="s">
        <v>755</v>
      </c>
      <c r="O4" s="62" t="s">
        <v>756</v>
      </c>
      <c r="P4" s="62" t="s">
        <v>757</v>
      </c>
      <c r="Q4" s="63" t="s">
        <v>758</v>
      </c>
      <c r="R4" s="61" t="s">
        <v>755</v>
      </c>
      <c r="S4" s="62" t="s">
        <v>756</v>
      </c>
      <c r="T4" s="62" t="s">
        <v>757</v>
      </c>
      <c r="U4" s="63" t="s">
        <v>758</v>
      </c>
      <c r="V4" s="64" t="s">
        <v>755</v>
      </c>
      <c r="W4" s="65" t="s">
        <v>756</v>
      </c>
      <c r="X4" s="65" t="s">
        <v>757</v>
      </c>
      <c r="Y4" s="66" t="s">
        <v>758</v>
      </c>
      <c r="Z4" s="64" t="s">
        <v>755</v>
      </c>
      <c r="AA4" s="65" t="s">
        <v>756</v>
      </c>
      <c r="AB4" s="65" t="s">
        <v>757</v>
      </c>
      <c r="AC4" s="66" t="s">
        <v>758</v>
      </c>
      <c r="AD4" s="64" t="s">
        <v>755</v>
      </c>
      <c r="AE4" s="65" t="s">
        <v>756</v>
      </c>
      <c r="AF4" s="65" t="s">
        <v>757</v>
      </c>
      <c r="AG4" s="66" t="s">
        <v>758</v>
      </c>
    </row>
    <row r="5">
      <c r="B5" s="67">
        <v>89.0</v>
      </c>
      <c r="C5" s="6" t="s">
        <v>766</v>
      </c>
      <c r="D5" s="68">
        <f t="array" ref="D5">_xlfn.xlookup(B5,'CMFA-CSCDA Grants'!A:A,'CMFA-CSCDA Grants'!I:I)</f>
        <v>45856</v>
      </c>
      <c r="E5" s="69" t="b">
        <f t="array" ref="E5">_xlfn.xlookup(B5,'CMFA-CSCDA Grants'!A:A,'CMFA-CSCDA Grants'!U:U)</f>
        <v>0</v>
      </c>
      <c r="F5" s="6" t="str">
        <f t="array" ref="F5">_xlfn.xlookup(B5,'CMFA-CSCDA Grants'!A:A,'CMFA-CSCDA Grants'!E:E)</f>
        <v>Santa Clara</v>
      </c>
      <c r="G5" s="70" t="s">
        <v>770</v>
      </c>
      <c r="I5" s="71">
        <v>46029.0</v>
      </c>
      <c r="J5" s="72">
        <v>2473.0</v>
      </c>
      <c r="K5" s="73">
        <v>2861.0</v>
      </c>
      <c r="L5" s="73">
        <v>3339.0</v>
      </c>
      <c r="M5" s="74" t="s">
        <v>146</v>
      </c>
      <c r="N5" s="72">
        <v>2215.0</v>
      </c>
      <c r="O5" s="73">
        <v>2412.0</v>
      </c>
      <c r="P5" s="73">
        <v>2817.0</v>
      </c>
      <c r="Q5" s="74">
        <v>2603.0</v>
      </c>
      <c r="R5" s="75">
        <f t="array" ref="R5">_xlfn.xlookup(F5,'TCAC 2025 Limits'!A:A,'TCAC 2025 Limits'!G:G)</f>
        <v>2814</v>
      </c>
      <c r="S5" s="76">
        <f t="array" ref="S5">_xlfn.xlookup($F5,'TCAC 2025 Limits'!A:A,'TCAC 2025 Limits'!B:B)</f>
        <v>3015</v>
      </c>
      <c r="T5" s="76">
        <f t="array" ref="T5">_xlfn.xlookup($F5,'TCAC 2025 Limits'!A:A,'TCAC 2025 Limits'!C:C)</f>
        <v>3618</v>
      </c>
      <c r="U5" s="77">
        <f t="array" ref="U5">_xlfn.xlookup($F5,'TCAC 2025 Limits'!A:A,'TCAC 2025 Limits'!D:D)</f>
        <v>4179</v>
      </c>
      <c r="V5" s="75">
        <f t="shared" ref="V5:Y5" si="1">if(J5="-","-",(J5-R5))</f>
        <v>-341</v>
      </c>
      <c r="W5" s="76">
        <f t="shared" si="1"/>
        <v>-154</v>
      </c>
      <c r="X5" s="76">
        <f t="shared" si="1"/>
        <v>-279</v>
      </c>
      <c r="Y5" s="78" t="str">
        <f t="shared" si="1"/>
        <v>-</v>
      </c>
      <c r="Z5" s="79">
        <f t="shared" ref="Z5:AC5" si="2">if(V5="-","-",V5/R5)</f>
        <v>-0.1211798152</v>
      </c>
      <c r="AA5" s="80">
        <f t="shared" si="2"/>
        <v>-0.05107794362</v>
      </c>
      <c r="AB5" s="80">
        <f t="shared" si="2"/>
        <v>-0.07711442786</v>
      </c>
      <c r="AC5" s="81" t="str">
        <f t="shared" si="2"/>
        <v>-</v>
      </c>
      <c r="AD5" s="75">
        <f t="shared" ref="AD5:AG5" si="3">if(J5="-","-",(J5-N5))</f>
        <v>258</v>
      </c>
      <c r="AE5" s="76">
        <f t="shared" si="3"/>
        <v>449</v>
      </c>
      <c r="AF5" s="76">
        <f t="shared" si="3"/>
        <v>522</v>
      </c>
      <c r="AG5" s="78" t="str">
        <f t="shared" si="3"/>
        <v>-</v>
      </c>
    </row>
    <row r="6">
      <c r="B6" s="67">
        <v>48.0</v>
      </c>
      <c r="C6" s="6" t="s">
        <v>791</v>
      </c>
      <c r="D6" s="68">
        <f t="array" ref="D6">_xlfn.xlookup(B6,'CMFA-CSCDA Grants'!A:A,'CMFA-CSCDA Grants'!I:I)</f>
        <v>45576</v>
      </c>
      <c r="E6" s="69" t="b">
        <f t="array" ref="E6">_xlfn.xlookup(B6,'CMFA-CSCDA Grants'!A:A,'CMFA-CSCDA Grants'!U:U)</f>
        <v>1</v>
      </c>
      <c r="F6" s="6" t="str">
        <f t="array" ref="F6">_xlfn.xlookup(B6,'CMFA-CSCDA Grants'!A:A,'CMFA-CSCDA Grants'!E:E)</f>
        <v>San Mateo</v>
      </c>
      <c r="G6" s="82" t="s">
        <v>794</v>
      </c>
      <c r="I6" s="71">
        <v>46029.0</v>
      </c>
      <c r="J6" s="72">
        <v>2358.0</v>
      </c>
      <c r="K6" s="73">
        <v>2761.0</v>
      </c>
      <c r="L6" s="73">
        <v>3232.0</v>
      </c>
      <c r="M6" s="74">
        <v>4733.0</v>
      </c>
      <c r="N6" s="72">
        <v>2255.0</v>
      </c>
      <c r="O6" s="73">
        <v>2621.0</v>
      </c>
      <c r="P6" s="73">
        <v>3364.0</v>
      </c>
      <c r="Q6" s="74">
        <v>4407.0</v>
      </c>
      <c r="R6" s="75">
        <f t="array" ref="R6">_xlfn.xlookup(F6,'TCAC 2025 Limits'!A:A,'TCAC 2025 Limits'!G:G)</f>
        <v>2708</v>
      </c>
      <c r="S6" s="76">
        <f t="array" ref="S6">_xlfn.xlookup($F6,'TCAC 2025 Limits'!A:A,'TCAC 2025 Limits'!B:B)</f>
        <v>2902</v>
      </c>
      <c r="T6" s="76">
        <f t="array" ref="T6">_xlfn.xlookup($F6,'TCAC 2025 Limits'!A:A,'TCAC 2025 Limits'!C:C)</f>
        <v>3482</v>
      </c>
      <c r="U6" s="77">
        <f t="array" ref="U6">_xlfn.xlookup($F6,'TCAC 2025 Limits'!A:A,'TCAC 2025 Limits'!D:D)</f>
        <v>4023</v>
      </c>
      <c r="V6" s="75">
        <f t="shared" ref="V6:Y6" si="4">if(J6="-","-",(J6-R6))</f>
        <v>-350</v>
      </c>
      <c r="W6" s="76">
        <f t="shared" si="4"/>
        <v>-141</v>
      </c>
      <c r="X6" s="76">
        <f t="shared" si="4"/>
        <v>-250</v>
      </c>
      <c r="Y6" s="77">
        <f t="shared" si="4"/>
        <v>710</v>
      </c>
      <c r="Z6" s="79">
        <f t="shared" ref="Z6:AC6" si="5">if(V6="-","-",V6/R6)</f>
        <v>-0.1292466765</v>
      </c>
      <c r="AA6" s="80">
        <f t="shared" si="5"/>
        <v>-0.04858718125</v>
      </c>
      <c r="AB6" s="80">
        <f t="shared" si="5"/>
        <v>-0.07179781735</v>
      </c>
      <c r="AC6" s="81">
        <f t="shared" si="5"/>
        <v>0.17648521</v>
      </c>
      <c r="AD6" s="75">
        <f t="shared" ref="AD6:AG6" si="6">if(J6="-","-",(J6-N6))</f>
        <v>103</v>
      </c>
      <c r="AE6" s="76">
        <f t="shared" si="6"/>
        <v>140</v>
      </c>
      <c r="AF6" s="76">
        <f t="shared" si="6"/>
        <v>-132</v>
      </c>
      <c r="AG6" s="77">
        <f t="shared" si="6"/>
        <v>326</v>
      </c>
    </row>
    <row r="7">
      <c r="B7" s="67">
        <v>72.0</v>
      </c>
      <c r="C7" s="6" t="s">
        <v>805</v>
      </c>
      <c r="D7" s="68">
        <f t="array" ref="D7">_xlfn.xlookup(B7,'CMFA-CSCDA Grants'!A:A,'CMFA-CSCDA Grants'!I:I)</f>
        <v>45772</v>
      </c>
      <c r="E7" s="69" t="b">
        <f t="array" ref="E7">_xlfn.xlookup(B7,'CMFA-CSCDA Grants'!A:A,'CMFA-CSCDA Grants'!U:U)</f>
        <v>0</v>
      </c>
      <c r="F7" s="6" t="str">
        <f t="array" ref="F7">_xlfn.xlookup(B7,'CMFA-CSCDA Grants'!A:A,'CMFA-CSCDA Grants'!E:E)</f>
        <v>San Francisco</v>
      </c>
      <c r="G7" s="83" t="s">
        <v>809</v>
      </c>
      <c r="I7" s="71">
        <v>46029.0</v>
      </c>
      <c r="J7" s="72" t="s">
        <v>146</v>
      </c>
      <c r="K7" s="73">
        <v>3409.0</v>
      </c>
      <c r="L7" s="73">
        <v>3725.0</v>
      </c>
      <c r="M7" s="74" t="s">
        <v>146</v>
      </c>
      <c r="N7" s="72">
        <v>2768.0</v>
      </c>
      <c r="O7" s="73">
        <v>3449.0</v>
      </c>
      <c r="P7" s="73">
        <v>4023.0</v>
      </c>
      <c r="Q7" s="74">
        <v>5463.0</v>
      </c>
      <c r="R7" s="75">
        <f t="array" ref="R7">_xlfn.xlookup(F7,'TCAC 2025 Limits'!A:A,'TCAC 2025 Limits'!G:G)</f>
        <v>2708</v>
      </c>
      <c r="S7" s="76">
        <f t="array" ref="S7">_xlfn.xlookup($F7,'TCAC 2025 Limits'!A:A,'TCAC 2025 Limits'!B:B)</f>
        <v>2902</v>
      </c>
      <c r="T7" s="76">
        <f t="array" ref="T7">_xlfn.xlookup($F7,'TCAC 2025 Limits'!A:A,'TCAC 2025 Limits'!C:C)</f>
        <v>3482</v>
      </c>
      <c r="U7" s="77">
        <f t="array" ref="U7">_xlfn.xlookup($F7,'TCAC 2025 Limits'!A:A,'TCAC 2025 Limits'!D:D)</f>
        <v>4023</v>
      </c>
      <c r="V7" s="84" t="str">
        <f t="shared" ref="V7:Y7" si="7">if(J7="-","-",(J7-R7))</f>
        <v>-</v>
      </c>
      <c r="W7" s="76">
        <f t="shared" si="7"/>
        <v>507</v>
      </c>
      <c r="X7" s="76">
        <f t="shared" si="7"/>
        <v>243</v>
      </c>
      <c r="Y7" s="78" t="str">
        <f t="shared" si="7"/>
        <v>-</v>
      </c>
      <c r="Z7" s="79" t="str">
        <f t="shared" ref="Z7:AC7" si="8">if(V7="-","-",V7/R7)</f>
        <v>-</v>
      </c>
      <c r="AA7" s="80">
        <f t="shared" si="8"/>
        <v>0.1747070986</v>
      </c>
      <c r="AB7" s="80">
        <f t="shared" si="8"/>
        <v>0.06978747846</v>
      </c>
      <c r="AC7" s="81" t="str">
        <f t="shared" si="8"/>
        <v>-</v>
      </c>
      <c r="AD7" s="84" t="str">
        <f t="shared" ref="AD7:AG7" si="9">if(J7="-","-",(J7-N7))</f>
        <v>-</v>
      </c>
      <c r="AE7" s="76">
        <f t="shared" si="9"/>
        <v>-40</v>
      </c>
      <c r="AF7" s="76">
        <f t="shared" si="9"/>
        <v>-298</v>
      </c>
      <c r="AG7" s="78" t="str">
        <f t="shared" si="9"/>
        <v>-</v>
      </c>
    </row>
    <row r="8">
      <c r="B8" s="67">
        <v>59.0</v>
      </c>
      <c r="C8" s="19" t="s">
        <v>819</v>
      </c>
      <c r="D8" s="68">
        <f t="array" ref="D8">_xlfn.xlookup(B8,'CMFA-CSCDA Grants'!A:A,'CMFA-CSCDA Grants'!I:I)</f>
        <v>45639</v>
      </c>
      <c r="E8" s="69" t="b">
        <f t="array" ref="E8">_xlfn.xlookup(B8,'CMFA-CSCDA Grants'!A:A,'CMFA-CSCDA Grants'!U:U)</f>
        <v>0</v>
      </c>
      <c r="F8" s="6" t="str">
        <f t="array" ref="F8">_xlfn.xlookup(B8,'CMFA-CSCDA Grants'!A:A,'CMFA-CSCDA Grants'!E:E)</f>
        <v>San Francisco</v>
      </c>
      <c r="G8" s="82" t="s">
        <v>820</v>
      </c>
      <c r="I8" s="71">
        <v>46029.0</v>
      </c>
      <c r="J8" s="72">
        <v>2732.0</v>
      </c>
      <c r="K8" s="73">
        <v>3359.0</v>
      </c>
      <c r="L8" s="73">
        <v>4192.0</v>
      </c>
      <c r="M8" s="74">
        <v>5463.0</v>
      </c>
      <c r="N8" s="72">
        <v>2768.0</v>
      </c>
      <c r="O8" s="73">
        <v>3449.0</v>
      </c>
      <c r="P8" s="73">
        <v>4023.0</v>
      </c>
      <c r="Q8" s="74">
        <v>5463.0</v>
      </c>
      <c r="R8" s="75">
        <f t="array" ref="R8">_xlfn.xlookup(F8,'TCAC 2025 Limits'!A:A,'TCAC 2025 Limits'!G:G)</f>
        <v>2708</v>
      </c>
      <c r="S8" s="76">
        <f t="array" ref="S8">_xlfn.xlookup($F8,'TCAC 2025 Limits'!A:A,'TCAC 2025 Limits'!B:B)</f>
        <v>2902</v>
      </c>
      <c r="T8" s="76">
        <f t="array" ref="T8">_xlfn.xlookup($F8,'TCAC 2025 Limits'!A:A,'TCAC 2025 Limits'!C:C)</f>
        <v>3482</v>
      </c>
      <c r="U8" s="77">
        <f t="array" ref="U8">_xlfn.xlookup($F8,'TCAC 2025 Limits'!A:A,'TCAC 2025 Limits'!D:D)</f>
        <v>4023</v>
      </c>
      <c r="V8" s="75">
        <f t="shared" ref="V8:Y8" si="10">if(J8="-","-",(J8-R8))</f>
        <v>24</v>
      </c>
      <c r="W8" s="76">
        <f t="shared" si="10"/>
        <v>457</v>
      </c>
      <c r="X8" s="76">
        <f t="shared" si="10"/>
        <v>710</v>
      </c>
      <c r="Y8" s="77">
        <f t="shared" si="10"/>
        <v>1440</v>
      </c>
      <c r="Z8" s="79">
        <f t="shared" ref="Z8:AC8" si="11">if(V8="-","-",V8/R8)</f>
        <v>0.008862629247</v>
      </c>
      <c r="AA8" s="80">
        <f t="shared" si="11"/>
        <v>0.1574776017</v>
      </c>
      <c r="AB8" s="80">
        <f t="shared" si="11"/>
        <v>0.2039058013</v>
      </c>
      <c r="AC8" s="81">
        <f t="shared" si="11"/>
        <v>0.3579418345</v>
      </c>
      <c r="AD8" s="75">
        <f t="shared" ref="AD8:AG8" si="12">if(J8="-","-",(J8-N8))</f>
        <v>-36</v>
      </c>
      <c r="AE8" s="76">
        <f t="shared" si="12"/>
        <v>-90</v>
      </c>
      <c r="AF8" s="76">
        <f t="shared" si="12"/>
        <v>169</v>
      </c>
      <c r="AG8" s="77">
        <f t="shared" si="12"/>
        <v>0</v>
      </c>
    </row>
    <row r="9">
      <c r="B9" s="67">
        <v>94.0</v>
      </c>
      <c r="C9" s="6" t="s">
        <v>837</v>
      </c>
      <c r="D9" s="68">
        <f t="array" ref="D9">_xlfn.xlookup(B9,'CMFA-CSCDA Grants'!A:A,'CMFA-CSCDA Grants'!I:I)</f>
        <v>45877</v>
      </c>
      <c r="E9" s="69" t="b">
        <f t="array" ref="E9">_xlfn.xlookup(B9,'CMFA-CSCDA Grants'!A:A,'CMFA-CSCDA Grants'!U:U)</f>
        <v>0</v>
      </c>
      <c r="F9" s="6" t="str">
        <f t="array" ref="F9">_xlfn.xlookup(B9,'CMFA-CSCDA Grants'!A:A,'CMFA-CSCDA Grants'!E:E)</f>
        <v>San Diego</v>
      </c>
      <c r="G9" s="83" t="s">
        <v>839</v>
      </c>
      <c r="H9" s="6" t="s">
        <v>839</v>
      </c>
      <c r="I9" s="71">
        <v>46029.0</v>
      </c>
      <c r="J9" s="72" t="s">
        <v>146</v>
      </c>
      <c r="K9" s="73">
        <v>2269.0</v>
      </c>
      <c r="L9" s="73">
        <v>2567.0</v>
      </c>
      <c r="M9" s="74">
        <v>3087.0</v>
      </c>
      <c r="N9" s="72">
        <v>1699.0</v>
      </c>
      <c r="O9" s="73">
        <v>2083.0</v>
      </c>
      <c r="P9" s="73">
        <v>2533.0</v>
      </c>
      <c r="Q9" s="74">
        <v>3410.0</v>
      </c>
      <c r="R9" s="75">
        <f t="array" ref="R9">_xlfn.xlookup(F9,'TCAC 2025 Limits'!A:A,'TCAC 2025 Limits'!G:G)</f>
        <v>2316</v>
      </c>
      <c r="S9" s="76">
        <f t="array" ref="S9">_xlfn.xlookup($F9,'TCAC 2025 Limits'!A:A,'TCAC 2025 Limits'!B:B)</f>
        <v>2481</v>
      </c>
      <c r="T9" s="76">
        <f t="array" ref="T9">_xlfn.xlookup($F9,'TCAC 2025 Limits'!A:A,'TCAC 2025 Limits'!C:C)</f>
        <v>2978</v>
      </c>
      <c r="U9" s="77">
        <f t="array" ref="U9">_xlfn.xlookup($F9,'TCAC 2025 Limits'!A:A,'TCAC 2025 Limits'!D:D)</f>
        <v>3441</v>
      </c>
      <c r="V9" s="84" t="str">
        <f t="shared" ref="V9:Y9" si="13">if(J9="-","-",(J9-R9))</f>
        <v>-</v>
      </c>
      <c r="W9" s="76">
        <f t="shared" si="13"/>
        <v>-212</v>
      </c>
      <c r="X9" s="76">
        <f t="shared" si="13"/>
        <v>-411</v>
      </c>
      <c r="Y9" s="77">
        <f t="shared" si="13"/>
        <v>-354</v>
      </c>
      <c r="Z9" s="79" t="str">
        <f t="shared" ref="Z9:AC9" si="14">if(V9="-","-",V9/R9)</f>
        <v>-</v>
      </c>
      <c r="AA9" s="80">
        <f t="shared" si="14"/>
        <v>-0.08544941556</v>
      </c>
      <c r="AB9" s="80">
        <f t="shared" si="14"/>
        <v>-0.1380120887</v>
      </c>
      <c r="AC9" s="81">
        <f t="shared" si="14"/>
        <v>-0.1028770706</v>
      </c>
      <c r="AD9" s="84" t="str">
        <f t="shared" ref="AD9:AG9" si="15">if(J9="-","-",(J9-N9))</f>
        <v>-</v>
      </c>
      <c r="AE9" s="76">
        <f t="shared" si="15"/>
        <v>186</v>
      </c>
      <c r="AF9" s="76">
        <f t="shared" si="15"/>
        <v>34</v>
      </c>
      <c r="AG9" s="77">
        <f t="shared" si="15"/>
        <v>-323</v>
      </c>
    </row>
    <row r="10">
      <c r="B10" s="67">
        <v>123.0</v>
      </c>
      <c r="C10" s="6" t="s">
        <v>857</v>
      </c>
      <c r="D10" s="68">
        <f t="array" ref="D10">_xlfn.xlookup(B10,'CMFA-CSCDA Grants'!A:A,'CMFA-CSCDA Grants'!I:I)</f>
        <v>45940</v>
      </c>
      <c r="E10" s="69" t="b">
        <f t="array" ref="E10">_xlfn.xlookup(B10,'CMFA-CSCDA Grants'!A:A,'CMFA-CSCDA Grants'!U:U)</f>
        <v>0</v>
      </c>
      <c r="F10" s="6" t="str">
        <f t="array" ref="F10">_xlfn.xlookup(B10,'CMFA-CSCDA Grants'!A:A,'CMFA-CSCDA Grants'!E:E)</f>
        <v>Los Angeles</v>
      </c>
      <c r="G10" s="83" t="s">
        <v>860</v>
      </c>
      <c r="H10" s="6"/>
      <c r="I10" s="71">
        <v>46029.0</v>
      </c>
      <c r="J10" s="72">
        <v>1427.0</v>
      </c>
      <c r="K10" s="73">
        <v>1736.0</v>
      </c>
      <c r="L10" s="73" t="s">
        <v>146</v>
      </c>
      <c r="M10" s="74" t="s">
        <v>146</v>
      </c>
      <c r="N10" s="72">
        <v>1382.0</v>
      </c>
      <c r="O10" s="73">
        <v>1672.0</v>
      </c>
      <c r="P10" s="73">
        <v>2174.0</v>
      </c>
      <c r="Q10" s="74">
        <v>2673.0</v>
      </c>
      <c r="R10" s="75">
        <f t="array" ref="R10">_xlfn.xlookup(F10,'TCAC 2025 Limits'!A:A,'TCAC 2025 Limits'!G:G)</f>
        <v>2120</v>
      </c>
      <c r="S10" s="76">
        <f t="array" ref="S10">_xlfn.xlookup($F10,'TCAC 2025 Limits'!A:A,'TCAC 2025 Limits'!B:B)</f>
        <v>2272</v>
      </c>
      <c r="T10" s="76">
        <f t="array" ref="T10">_xlfn.xlookup($F10,'TCAC 2025 Limits'!A:A,'TCAC 2025 Limits'!C:C)</f>
        <v>2726</v>
      </c>
      <c r="U10" s="77">
        <f t="array" ref="U10">_xlfn.xlookup($F10,'TCAC 2025 Limits'!A:A,'TCAC 2025 Limits'!D:D)</f>
        <v>3151</v>
      </c>
      <c r="V10" s="75">
        <f t="shared" ref="V10:Y10" si="16">if(J10="-","-",(J10-R10))</f>
        <v>-693</v>
      </c>
      <c r="W10" s="76">
        <f t="shared" si="16"/>
        <v>-536</v>
      </c>
      <c r="X10" s="85" t="str">
        <f t="shared" si="16"/>
        <v>-</v>
      </c>
      <c r="Y10" s="78" t="str">
        <f t="shared" si="16"/>
        <v>-</v>
      </c>
      <c r="Z10" s="79">
        <f t="shared" ref="Z10:AC10" si="17">if(V10="-","-",V10/R10)</f>
        <v>-0.3268867925</v>
      </c>
      <c r="AA10" s="80">
        <f t="shared" si="17"/>
        <v>-0.235915493</v>
      </c>
      <c r="AB10" s="80" t="str">
        <f t="shared" si="17"/>
        <v>-</v>
      </c>
      <c r="AC10" s="81" t="str">
        <f t="shared" si="17"/>
        <v>-</v>
      </c>
      <c r="AD10" s="75">
        <f t="shared" ref="AD10:AG10" si="18">if(J10="-","-",(J10-N10))</f>
        <v>45</v>
      </c>
      <c r="AE10" s="76">
        <f t="shared" si="18"/>
        <v>64</v>
      </c>
      <c r="AF10" s="85" t="str">
        <f t="shared" si="18"/>
        <v>-</v>
      </c>
      <c r="AG10" s="78" t="str">
        <f t="shared" si="18"/>
        <v>-</v>
      </c>
    </row>
    <row r="11">
      <c r="B11" s="67">
        <v>90.0</v>
      </c>
      <c r="C11" s="6" t="s">
        <v>871</v>
      </c>
      <c r="D11" s="68">
        <f t="array" ref="D11">_xlfn.xlookup(B11,'CMFA-CSCDA Grants'!A:A,'CMFA-CSCDA Grants'!I:I)</f>
        <v>45856</v>
      </c>
      <c r="E11" s="69" t="b">
        <f t="array" ref="E11">_xlfn.xlookup(B11,'CMFA-CSCDA Grants'!A:A,'CMFA-CSCDA Grants'!U:U)</f>
        <v>0</v>
      </c>
      <c r="F11" s="6" t="str">
        <f t="array" ref="F11">_xlfn.xlookup(B11,'CMFA-CSCDA Grants'!A:A,'CMFA-CSCDA Grants'!E:E)</f>
        <v>Los Angeles</v>
      </c>
      <c r="G11" s="70" t="s">
        <v>878</v>
      </c>
      <c r="H11" s="6"/>
      <c r="I11" s="71">
        <v>46029.0</v>
      </c>
      <c r="J11" s="72">
        <v>1184.0</v>
      </c>
      <c r="K11" s="73">
        <v>2111.0</v>
      </c>
      <c r="L11" s="73">
        <v>2385.0</v>
      </c>
      <c r="M11" s="74" t="s">
        <v>146</v>
      </c>
      <c r="N11" s="72">
        <v>1454.0</v>
      </c>
      <c r="O11" s="73">
        <v>1720.0</v>
      </c>
      <c r="P11" s="73">
        <v>2118.0</v>
      </c>
      <c r="Q11" s="74">
        <v>2553.0</v>
      </c>
      <c r="R11" s="75">
        <f t="array" ref="R11">_xlfn.xlookup(F11,'TCAC 2025 Limits'!A:A,'TCAC 2025 Limits'!G:G)</f>
        <v>2120</v>
      </c>
      <c r="S11" s="76">
        <f t="array" ref="S11">_xlfn.xlookup($F11,'TCAC 2025 Limits'!A:A,'TCAC 2025 Limits'!B:B)</f>
        <v>2272</v>
      </c>
      <c r="T11" s="76">
        <f t="array" ref="T11">_xlfn.xlookup($F11,'TCAC 2025 Limits'!A:A,'TCAC 2025 Limits'!C:C)</f>
        <v>2726</v>
      </c>
      <c r="U11" s="77">
        <f t="array" ref="U11">_xlfn.xlookup($F11,'TCAC 2025 Limits'!A:A,'TCAC 2025 Limits'!D:D)</f>
        <v>3151</v>
      </c>
      <c r="V11" s="75">
        <f t="shared" ref="V11:Y11" si="19">if(J11="-","-",(J11-R11))</f>
        <v>-936</v>
      </c>
      <c r="W11" s="76">
        <f t="shared" si="19"/>
        <v>-161</v>
      </c>
      <c r="X11" s="76">
        <f t="shared" si="19"/>
        <v>-341</v>
      </c>
      <c r="Y11" s="78" t="str">
        <f t="shared" si="19"/>
        <v>-</v>
      </c>
      <c r="Z11" s="79">
        <f t="shared" ref="Z11:AC11" si="20">if(V11="-","-",V11/R11)</f>
        <v>-0.441509434</v>
      </c>
      <c r="AA11" s="80">
        <f t="shared" si="20"/>
        <v>-0.07086267606</v>
      </c>
      <c r="AB11" s="80">
        <f t="shared" si="20"/>
        <v>-0.1250917095</v>
      </c>
      <c r="AC11" s="81" t="str">
        <f t="shared" si="20"/>
        <v>-</v>
      </c>
      <c r="AD11" s="75">
        <f t="shared" ref="AD11:AG11" si="21">if(J11="-","-",(J11-N11))</f>
        <v>-270</v>
      </c>
      <c r="AE11" s="76">
        <f t="shared" si="21"/>
        <v>391</v>
      </c>
      <c r="AF11" s="76">
        <f t="shared" si="21"/>
        <v>267</v>
      </c>
      <c r="AG11" s="78" t="str">
        <f t="shared" si="21"/>
        <v>-</v>
      </c>
    </row>
    <row r="12">
      <c r="B12" s="67">
        <v>107.0</v>
      </c>
      <c r="C12" s="6" t="s">
        <v>889</v>
      </c>
      <c r="D12" s="68">
        <f t="array" ref="D12">_xlfn.xlookup(B12,'CMFA-CSCDA Grants'!A:A,'CMFA-CSCDA Grants'!I:I)</f>
        <v>45919</v>
      </c>
      <c r="E12" s="69" t="b">
        <f t="array" ref="E12">_xlfn.xlookup(B12,'CMFA-CSCDA Grants'!A:A,'CMFA-CSCDA Grants'!U:U)</f>
        <v>0</v>
      </c>
      <c r="F12" s="6" t="str">
        <f t="array" ref="F12">_xlfn.xlookup(B12,'CMFA-CSCDA Grants'!A:A,'CMFA-CSCDA Grants'!E:E)</f>
        <v>Los Angeles</v>
      </c>
      <c r="G12" s="70" t="s">
        <v>894</v>
      </c>
      <c r="H12" s="6"/>
      <c r="I12" s="71">
        <v>46029.0</v>
      </c>
      <c r="J12" s="72">
        <v>1403.0</v>
      </c>
      <c r="K12" s="73" t="s">
        <v>146</v>
      </c>
      <c r="L12" s="73" t="s">
        <v>146</v>
      </c>
      <c r="M12" s="74" t="s">
        <v>146</v>
      </c>
      <c r="N12" s="72">
        <v>1382.0</v>
      </c>
      <c r="O12" s="73">
        <v>1672.0</v>
      </c>
      <c r="P12" s="73">
        <v>2174.0</v>
      </c>
      <c r="Q12" s="74">
        <v>2673.0</v>
      </c>
      <c r="R12" s="75">
        <f t="array" ref="R12">_xlfn.xlookup(F12,'TCAC 2025 Limits'!A:A,'TCAC 2025 Limits'!G:G)</f>
        <v>2120</v>
      </c>
      <c r="S12" s="76">
        <f t="array" ref="S12">_xlfn.xlookup($F12,'TCAC 2025 Limits'!A:A,'TCAC 2025 Limits'!B:B)</f>
        <v>2272</v>
      </c>
      <c r="T12" s="76">
        <f t="array" ref="T12">_xlfn.xlookup($F12,'TCAC 2025 Limits'!A:A,'TCAC 2025 Limits'!C:C)</f>
        <v>2726</v>
      </c>
      <c r="U12" s="77">
        <f t="array" ref="U12">_xlfn.xlookup($F12,'TCAC 2025 Limits'!A:A,'TCAC 2025 Limits'!D:D)</f>
        <v>3151</v>
      </c>
      <c r="V12" s="75">
        <f t="shared" ref="V12:Y12" si="22">if(J12="-","-",(J12-R12))</f>
        <v>-717</v>
      </c>
      <c r="W12" s="85" t="str">
        <f t="shared" si="22"/>
        <v>-</v>
      </c>
      <c r="X12" s="85" t="str">
        <f t="shared" si="22"/>
        <v>-</v>
      </c>
      <c r="Y12" s="78" t="str">
        <f t="shared" si="22"/>
        <v>-</v>
      </c>
      <c r="Z12" s="79">
        <f t="shared" ref="Z12:AC12" si="23">if(V12="-","-",V12/R12)</f>
        <v>-0.3382075472</v>
      </c>
      <c r="AA12" s="80" t="str">
        <f t="shared" si="23"/>
        <v>-</v>
      </c>
      <c r="AB12" s="80" t="str">
        <f t="shared" si="23"/>
        <v>-</v>
      </c>
      <c r="AC12" s="81" t="str">
        <f t="shared" si="23"/>
        <v>-</v>
      </c>
      <c r="AD12" s="75">
        <f t="shared" ref="AD12:AG12" si="24">if(J12="-","-",(J12-N12))</f>
        <v>21</v>
      </c>
      <c r="AE12" s="85" t="str">
        <f t="shared" si="24"/>
        <v>-</v>
      </c>
      <c r="AF12" s="85" t="str">
        <f t="shared" si="24"/>
        <v>-</v>
      </c>
      <c r="AG12" s="78" t="str">
        <f t="shared" si="24"/>
        <v>-</v>
      </c>
    </row>
    <row r="13">
      <c r="B13" s="67">
        <v>28.0</v>
      </c>
      <c r="C13" s="6" t="s">
        <v>471</v>
      </c>
      <c r="D13" s="68">
        <f t="array" ref="D13">_xlfn.xlookup(B13,'CMFA-CSCDA Grants'!A:A,'CMFA-CSCDA Grants'!I:I)</f>
        <v>45513</v>
      </c>
      <c r="E13" s="69" t="b">
        <f t="array" ref="E13">_xlfn.xlookup(B13,'CMFA-CSCDA Grants'!A:A,'CMFA-CSCDA Grants'!U:U)</f>
        <v>1</v>
      </c>
      <c r="F13" s="6" t="str">
        <f t="array" ref="F13">_xlfn.xlookup(B13,'CMFA-CSCDA Grants'!A:A,'CMFA-CSCDA Grants'!E:E)</f>
        <v>Los Angeles</v>
      </c>
      <c r="G13" s="70" t="s">
        <v>913</v>
      </c>
      <c r="H13" s="6"/>
      <c r="I13" s="71">
        <v>46029.0</v>
      </c>
      <c r="J13" s="72">
        <v>1888.0</v>
      </c>
      <c r="K13" s="73">
        <v>2112.0</v>
      </c>
      <c r="L13" s="73" t="s">
        <v>146</v>
      </c>
      <c r="M13" s="74" t="s">
        <v>146</v>
      </c>
      <c r="N13" s="72">
        <v>2443.0</v>
      </c>
      <c r="O13" s="73">
        <v>2936.0</v>
      </c>
      <c r="P13" s="73">
        <v>3653.0</v>
      </c>
      <c r="Q13" s="74">
        <v>4842.0</v>
      </c>
      <c r="R13" s="75">
        <f t="array" ref="R13">_xlfn.xlookup(F13,'TCAC 2025 Limits'!A:A,'TCAC 2025 Limits'!G:G)</f>
        <v>2120</v>
      </c>
      <c r="S13" s="76">
        <f t="array" ref="S13">_xlfn.xlookup($F13,'TCAC 2025 Limits'!A:A,'TCAC 2025 Limits'!B:B)</f>
        <v>2272</v>
      </c>
      <c r="T13" s="76">
        <f t="array" ref="T13">_xlfn.xlookup($F13,'TCAC 2025 Limits'!A:A,'TCAC 2025 Limits'!C:C)</f>
        <v>2726</v>
      </c>
      <c r="U13" s="77">
        <f t="array" ref="U13">_xlfn.xlookup($F13,'TCAC 2025 Limits'!A:A,'TCAC 2025 Limits'!D:D)</f>
        <v>3151</v>
      </c>
      <c r="V13" s="75">
        <f t="shared" ref="V13:Y13" si="25">if(J13="-","-",(J13-R13))</f>
        <v>-232</v>
      </c>
      <c r="W13" s="76">
        <f t="shared" si="25"/>
        <v>-160</v>
      </c>
      <c r="X13" s="85" t="str">
        <f t="shared" si="25"/>
        <v>-</v>
      </c>
      <c r="Y13" s="78" t="str">
        <f t="shared" si="25"/>
        <v>-</v>
      </c>
      <c r="Z13" s="79">
        <f t="shared" ref="Z13:AC13" si="26">if(V13="-","-",V13/R13)</f>
        <v>-0.1094339623</v>
      </c>
      <c r="AA13" s="80">
        <f t="shared" si="26"/>
        <v>-0.07042253521</v>
      </c>
      <c r="AB13" s="80" t="str">
        <f t="shared" si="26"/>
        <v>-</v>
      </c>
      <c r="AC13" s="81" t="str">
        <f t="shared" si="26"/>
        <v>-</v>
      </c>
      <c r="AD13" s="75">
        <f t="shared" ref="AD13:AG13" si="27">if(J13="-","-",(J13-N13))</f>
        <v>-555</v>
      </c>
      <c r="AE13" s="76">
        <f t="shared" si="27"/>
        <v>-824</v>
      </c>
      <c r="AF13" s="85" t="str">
        <f t="shared" si="27"/>
        <v>-</v>
      </c>
      <c r="AG13" s="78" t="str">
        <f t="shared" si="27"/>
        <v>-</v>
      </c>
    </row>
    <row r="14">
      <c r="B14" s="67">
        <v>120.0</v>
      </c>
      <c r="C14" s="6" t="s">
        <v>929</v>
      </c>
      <c r="D14" s="68">
        <f t="array" ref="D14">_xlfn.xlookup(B14,'CMFA-CSCDA Grants'!A:A,'CMFA-CSCDA Grants'!I:I)</f>
        <v>45940</v>
      </c>
      <c r="E14" s="69" t="b">
        <f t="array" ref="E14">_xlfn.xlookup(B14,'CMFA-CSCDA Grants'!A:A,'CMFA-CSCDA Grants'!U:U)</f>
        <v>0</v>
      </c>
      <c r="F14" s="6" t="str">
        <f t="array" ref="F14">_xlfn.xlookup(B14,'CMFA-CSCDA Grants'!A:A,'CMFA-CSCDA Grants'!E:E)</f>
        <v>Sacramento</v>
      </c>
      <c r="G14" s="83" t="s">
        <v>933</v>
      </c>
      <c r="H14" s="6" t="s">
        <v>933</v>
      </c>
      <c r="I14" s="71">
        <v>46029.0</v>
      </c>
      <c r="J14" s="72">
        <v>1519.0</v>
      </c>
      <c r="K14" s="73">
        <v>1882.0</v>
      </c>
      <c r="L14" s="73">
        <v>2189.0</v>
      </c>
      <c r="M14" s="74" t="s">
        <v>146</v>
      </c>
      <c r="N14" s="72">
        <v>1287.0</v>
      </c>
      <c r="O14" s="73">
        <v>1383.0</v>
      </c>
      <c r="P14" s="73">
        <v>1624.0</v>
      </c>
      <c r="Q14" s="74">
        <v>2148.0</v>
      </c>
      <c r="R14" s="75">
        <f t="array" ref="R14">_xlfn.xlookup(F14,'TCAC 2025 Limits'!A:A,'TCAC 2025 Limits'!G:G)</f>
        <v>1802</v>
      </c>
      <c r="S14" s="76">
        <f t="array" ref="S14">_xlfn.xlookup($F14,'TCAC 2025 Limits'!A:A,'TCAC 2025 Limits'!B:B)</f>
        <v>1930</v>
      </c>
      <c r="T14" s="76">
        <f t="array" ref="T14">_xlfn.xlookup($F14,'TCAC 2025 Limits'!A:A,'TCAC 2025 Limits'!C:C)</f>
        <v>2316</v>
      </c>
      <c r="U14" s="77">
        <f t="array" ref="U14">_xlfn.xlookup($F14,'TCAC 2025 Limits'!A:A,'TCAC 2025 Limits'!D:D)</f>
        <v>2675</v>
      </c>
      <c r="V14" s="75">
        <f t="shared" ref="V14:Y14" si="28">if(J14="-","-",(J14-R14))</f>
        <v>-283</v>
      </c>
      <c r="W14" s="76">
        <f t="shared" si="28"/>
        <v>-48</v>
      </c>
      <c r="X14" s="76">
        <f t="shared" si="28"/>
        <v>-127</v>
      </c>
      <c r="Y14" s="78" t="str">
        <f t="shared" si="28"/>
        <v>-</v>
      </c>
      <c r="Z14" s="79">
        <f t="shared" ref="Z14:AC14" si="29">if(V14="-","-",V14/R14)</f>
        <v>-0.1570477248</v>
      </c>
      <c r="AA14" s="80">
        <f t="shared" si="29"/>
        <v>-0.02487046632</v>
      </c>
      <c r="AB14" s="80">
        <f t="shared" si="29"/>
        <v>-0.05483592401</v>
      </c>
      <c r="AC14" s="81" t="str">
        <f t="shared" si="29"/>
        <v>-</v>
      </c>
      <c r="AD14" s="75">
        <f t="shared" ref="AD14:AG14" si="30">if(J14="-","-",(J14-N14))</f>
        <v>232</v>
      </c>
      <c r="AE14" s="76">
        <f t="shared" si="30"/>
        <v>499</v>
      </c>
      <c r="AF14" s="76">
        <f t="shared" si="30"/>
        <v>565</v>
      </c>
      <c r="AG14" s="78" t="str">
        <f t="shared" si="30"/>
        <v>-</v>
      </c>
    </row>
    <row r="15">
      <c r="B15" s="67">
        <v>45.0</v>
      </c>
      <c r="C15" s="6" t="s">
        <v>919</v>
      </c>
      <c r="D15" s="68">
        <f t="array" ref="D15">_xlfn.xlookup(B15,'CMFA-CSCDA Grants'!A:A,'CMFA-CSCDA Grants'!I:I)</f>
        <v>45576</v>
      </c>
      <c r="E15" s="69" t="b">
        <f t="array" ref="E15">_xlfn.xlookup(B15,'CMFA-CSCDA Grants'!A:A,'CMFA-CSCDA Grants'!U:U)</f>
        <v>0</v>
      </c>
      <c r="F15" s="6" t="str">
        <f t="array" ref="F15">_xlfn.xlookup(B15,'CMFA-CSCDA Grants'!A:A,'CMFA-CSCDA Grants'!E:E)</f>
        <v>Orange</v>
      </c>
      <c r="G15" s="83" t="s">
        <v>954</v>
      </c>
      <c r="H15" s="6" t="s">
        <v>954</v>
      </c>
      <c r="I15" s="71">
        <v>46029.0</v>
      </c>
      <c r="J15" s="72">
        <v>2137.0</v>
      </c>
      <c r="K15" s="73">
        <v>2351.0</v>
      </c>
      <c r="L15" s="73">
        <v>2924.0</v>
      </c>
      <c r="M15" s="74" t="s">
        <v>146</v>
      </c>
      <c r="N15" s="72">
        <v>2230.0</v>
      </c>
      <c r="O15" s="73">
        <v>2271.0</v>
      </c>
      <c r="P15" s="73">
        <v>2814.0</v>
      </c>
      <c r="Q15" s="74">
        <v>3601.0</v>
      </c>
      <c r="R15" s="75">
        <f t="array" ref="R15">_xlfn.xlookup(F15,'TCAC 2025 Limits'!A:A,'TCAC 2025 Limits'!G:G)</f>
        <v>2370</v>
      </c>
      <c r="S15" s="76">
        <f t="array" ref="S15">_xlfn.xlookup($F15,'TCAC 2025 Limits'!A:A,'TCAC 2025 Limits'!B:B)</f>
        <v>2539</v>
      </c>
      <c r="T15" s="76">
        <f t="array" ref="T15">_xlfn.xlookup($F15,'TCAC 2025 Limits'!A:A,'TCAC 2025 Limits'!C:C)</f>
        <v>3046</v>
      </c>
      <c r="U15" s="77">
        <f t="array" ref="U15">_xlfn.xlookup($F15,'TCAC 2025 Limits'!A:A,'TCAC 2025 Limits'!D:D)</f>
        <v>3520</v>
      </c>
      <c r="V15" s="75">
        <f t="shared" ref="V15:Y15" si="31">if(J15="-","-",(J15-R15))</f>
        <v>-233</v>
      </c>
      <c r="W15" s="76">
        <f t="shared" si="31"/>
        <v>-188</v>
      </c>
      <c r="X15" s="76">
        <f t="shared" si="31"/>
        <v>-122</v>
      </c>
      <c r="Y15" s="78" t="str">
        <f t="shared" si="31"/>
        <v>-</v>
      </c>
      <c r="Z15" s="79">
        <f t="shared" ref="Z15:AC15" si="32">if(V15="-","-",V15/R15)</f>
        <v>-0.09831223629</v>
      </c>
      <c r="AA15" s="80">
        <f t="shared" si="32"/>
        <v>-0.07404489957</v>
      </c>
      <c r="AB15" s="80">
        <f t="shared" si="32"/>
        <v>-0.04005252791</v>
      </c>
      <c r="AC15" s="81" t="str">
        <f t="shared" si="32"/>
        <v>-</v>
      </c>
      <c r="AD15" s="75">
        <f t="shared" ref="AD15:AG15" si="33">if(J15="-","-",(J15-N15))</f>
        <v>-93</v>
      </c>
      <c r="AE15" s="76">
        <f t="shared" si="33"/>
        <v>80</v>
      </c>
      <c r="AF15" s="76">
        <f t="shared" si="33"/>
        <v>110</v>
      </c>
      <c r="AG15" s="78" t="str">
        <f t="shared" si="33"/>
        <v>-</v>
      </c>
    </row>
    <row r="16">
      <c r="B16" s="67">
        <v>19.0</v>
      </c>
      <c r="C16" s="6" t="s">
        <v>617</v>
      </c>
      <c r="D16" s="68">
        <f t="array" ref="D16">_xlfn.xlookup(B16,'CMFA-CSCDA Grants'!A:A,'CMFA-CSCDA Grants'!I:I)</f>
        <v>45450</v>
      </c>
      <c r="E16" s="69" t="b">
        <f t="array" ref="E16">_xlfn.xlookup(B16,'CMFA-CSCDA Grants'!A:A,'CMFA-CSCDA Grants'!U:U)</f>
        <v>0</v>
      </c>
      <c r="F16" s="6" t="str">
        <f t="array" ref="F16">_xlfn.xlookup(B16,'CMFA-CSCDA Grants'!A:A,'CMFA-CSCDA Grants'!E:E)</f>
        <v>Orange</v>
      </c>
      <c r="G16" s="83" t="s">
        <v>974</v>
      </c>
      <c r="H16" s="6" t="s">
        <v>974</v>
      </c>
      <c r="I16" s="71">
        <v>46029.0</v>
      </c>
      <c r="J16" s="72" t="s">
        <v>146</v>
      </c>
      <c r="K16" s="73">
        <v>2165.0</v>
      </c>
      <c r="L16" s="73">
        <v>2982.0</v>
      </c>
      <c r="M16" s="74" t="s">
        <v>146</v>
      </c>
      <c r="N16" s="72">
        <v>2230.0</v>
      </c>
      <c r="O16" s="73">
        <v>2273.0</v>
      </c>
      <c r="P16" s="73">
        <v>2814.0</v>
      </c>
      <c r="Q16" s="74">
        <v>3604.0</v>
      </c>
      <c r="R16" s="75">
        <f t="array" ref="R16">_xlfn.xlookup(F16,'TCAC 2025 Limits'!A:A,'TCAC 2025 Limits'!G:G)</f>
        <v>2370</v>
      </c>
      <c r="S16" s="76">
        <f t="array" ref="S16">_xlfn.xlookup($F16,'TCAC 2025 Limits'!A:A,'TCAC 2025 Limits'!B:B)</f>
        <v>2539</v>
      </c>
      <c r="T16" s="76">
        <f t="array" ref="T16">_xlfn.xlookup($F16,'TCAC 2025 Limits'!A:A,'TCAC 2025 Limits'!C:C)</f>
        <v>3046</v>
      </c>
      <c r="U16" s="77">
        <f t="array" ref="U16">_xlfn.xlookup($F16,'TCAC 2025 Limits'!A:A,'TCAC 2025 Limits'!D:D)</f>
        <v>3520</v>
      </c>
      <c r="V16" s="84" t="str">
        <f t="shared" ref="V16:Y16" si="34">if(J16="-","-",(J16-R16))</f>
        <v>-</v>
      </c>
      <c r="W16" s="76">
        <f t="shared" si="34"/>
        <v>-374</v>
      </c>
      <c r="X16" s="76">
        <f t="shared" si="34"/>
        <v>-64</v>
      </c>
      <c r="Y16" s="78" t="str">
        <f t="shared" si="34"/>
        <v>-</v>
      </c>
      <c r="Z16" s="79" t="str">
        <f t="shared" ref="Z16:AC16" si="35">if(V16="-","-",V16/R16)</f>
        <v>-</v>
      </c>
      <c r="AA16" s="80">
        <f t="shared" si="35"/>
        <v>-0.1473020874</v>
      </c>
      <c r="AB16" s="80">
        <f t="shared" si="35"/>
        <v>-0.02101116218</v>
      </c>
      <c r="AC16" s="81" t="str">
        <f t="shared" si="35"/>
        <v>-</v>
      </c>
      <c r="AD16" s="84" t="str">
        <f t="shared" ref="AD16:AG16" si="36">if(J16="-","-",(J16-N16))</f>
        <v>-</v>
      </c>
      <c r="AE16" s="76">
        <f t="shared" si="36"/>
        <v>-108</v>
      </c>
      <c r="AF16" s="76">
        <f t="shared" si="36"/>
        <v>168</v>
      </c>
      <c r="AG16" s="78" t="str">
        <f t="shared" si="36"/>
        <v>-</v>
      </c>
    </row>
    <row r="17">
      <c r="B17" s="67">
        <v>68.0</v>
      </c>
      <c r="C17" s="6" t="s">
        <v>990</v>
      </c>
      <c r="D17" s="68">
        <f t="array" ref="D17">_xlfn.xlookup(B17,'CMFA-CSCDA Grants'!A:A,'CMFA-CSCDA Grants'!I:I)</f>
        <v>45751</v>
      </c>
      <c r="E17" s="69" t="b">
        <f t="array" ref="E17">_xlfn.xlookup(B17,'CMFA-CSCDA Grants'!A:A,'CMFA-CSCDA Grants'!U:U)</f>
        <v>0</v>
      </c>
      <c r="F17" s="6" t="str">
        <f t="array" ref="F17">_xlfn.xlookup(B17,'CMFA-CSCDA Grants'!A:A,'CMFA-CSCDA Grants'!E:E)</f>
        <v>Los Angeles</v>
      </c>
      <c r="G17" s="83" t="s">
        <v>992</v>
      </c>
      <c r="H17" s="6" t="s">
        <v>992</v>
      </c>
      <c r="I17" s="71">
        <v>46029.0</v>
      </c>
      <c r="J17" s="72">
        <v>1657.0</v>
      </c>
      <c r="K17" s="73">
        <v>2098.0</v>
      </c>
      <c r="L17" s="73">
        <v>2443.0</v>
      </c>
      <c r="M17" s="74" t="s">
        <v>146</v>
      </c>
      <c r="N17" s="72">
        <v>1517.0</v>
      </c>
      <c r="O17" s="73">
        <v>1925.0</v>
      </c>
      <c r="P17" s="73">
        <v>2510.0</v>
      </c>
      <c r="Q17" s="74">
        <v>3209.0</v>
      </c>
      <c r="R17" s="75">
        <f t="array" ref="R17">_xlfn.xlookup(F17,'TCAC 2025 Limits'!A:A,'TCAC 2025 Limits'!G:G)</f>
        <v>2120</v>
      </c>
      <c r="S17" s="76">
        <f t="array" ref="S17">_xlfn.xlookup($F17,'TCAC 2025 Limits'!A:A,'TCAC 2025 Limits'!B:B)</f>
        <v>2272</v>
      </c>
      <c r="T17" s="76">
        <f t="array" ref="T17">_xlfn.xlookup($F17,'TCAC 2025 Limits'!A:A,'TCAC 2025 Limits'!C:C)</f>
        <v>2726</v>
      </c>
      <c r="U17" s="77">
        <f t="array" ref="U17">_xlfn.xlookup($F17,'TCAC 2025 Limits'!A:A,'TCAC 2025 Limits'!D:D)</f>
        <v>3151</v>
      </c>
      <c r="V17" s="75">
        <f t="shared" ref="V17:Y17" si="37">if(J17="-","-",(J17-R17))</f>
        <v>-463</v>
      </c>
      <c r="W17" s="76">
        <f t="shared" si="37"/>
        <v>-174</v>
      </c>
      <c r="X17" s="76">
        <f t="shared" si="37"/>
        <v>-283</v>
      </c>
      <c r="Y17" s="78" t="str">
        <f t="shared" si="37"/>
        <v>-</v>
      </c>
      <c r="Z17" s="79">
        <f t="shared" ref="Z17:AC17" si="38">if(V17="-","-",V17/R17)</f>
        <v>-0.2183962264</v>
      </c>
      <c r="AA17" s="80">
        <f t="shared" si="38"/>
        <v>-0.07658450704</v>
      </c>
      <c r="AB17" s="80">
        <f t="shared" si="38"/>
        <v>-0.1038151137</v>
      </c>
      <c r="AC17" s="81" t="str">
        <f t="shared" si="38"/>
        <v>-</v>
      </c>
      <c r="AD17" s="75">
        <f t="shared" ref="AD17:AG17" si="39">if(J17="-","-",(J17-N17))</f>
        <v>140</v>
      </c>
      <c r="AE17" s="76">
        <f t="shared" si="39"/>
        <v>173</v>
      </c>
      <c r="AF17" s="76">
        <f t="shared" si="39"/>
        <v>-67</v>
      </c>
      <c r="AG17" s="78" t="str">
        <f t="shared" si="39"/>
        <v>-</v>
      </c>
    </row>
    <row r="18">
      <c r="B18" s="67">
        <v>58.0</v>
      </c>
      <c r="C18" s="19" t="s">
        <v>1008</v>
      </c>
      <c r="D18" s="68">
        <f t="array" ref="D18">_xlfn.xlookup(B18,'CMFA-CSCDA Grants'!A:A,'CMFA-CSCDA Grants'!I:I)</f>
        <v>45639</v>
      </c>
      <c r="E18" s="69" t="b">
        <f t="array" ref="E18">_xlfn.xlookup(B18,'CMFA-CSCDA Grants'!A:A,'CMFA-CSCDA Grants'!U:U)</f>
        <v>1</v>
      </c>
      <c r="F18" s="6" t="str">
        <f t="array" ref="F18">_xlfn.xlookup(B18,'CMFA-CSCDA Grants'!A:A,'CMFA-CSCDA Grants'!E:E)</f>
        <v>Los Angeles</v>
      </c>
      <c r="G18" s="82" t="s">
        <v>1013</v>
      </c>
      <c r="I18" s="71">
        <v>46029.0</v>
      </c>
      <c r="J18" s="72">
        <v>1599.0</v>
      </c>
      <c r="K18" s="73">
        <v>1862.0</v>
      </c>
      <c r="L18" s="73">
        <v>2204.0</v>
      </c>
      <c r="M18" s="74" t="s">
        <v>146</v>
      </c>
      <c r="N18" s="72">
        <v>1325.0</v>
      </c>
      <c r="O18" s="73">
        <v>1592.0</v>
      </c>
      <c r="P18" s="73">
        <v>1779.0</v>
      </c>
      <c r="Q18" s="74">
        <v>2666.0</v>
      </c>
      <c r="R18" s="75">
        <f t="array" ref="R18">_xlfn.xlookup(F18,'TCAC 2025 Limits'!A:A,'TCAC 2025 Limits'!G:G)</f>
        <v>2120</v>
      </c>
      <c r="S18" s="76">
        <f t="array" ref="S18">_xlfn.xlookup($F18,'TCAC 2025 Limits'!A:A,'TCAC 2025 Limits'!B:B)</f>
        <v>2272</v>
      </c>
      <c r="T18" s="76">
        <f t="array" ref="T18">_xlfn.xlookup($F18,'TCAC 2025 Limits'!A:A,'TCAC 2025 Limits'!C:C)</f>
        <v>2726</v>
      </c>
      <c r="U18" s="77">
        <f t="array" ref="U18">_xlfn.xlookup($F18,'TCAC 2025 Limits'!A:A,'TCAC 2025 Limits'!D:D)</f>
        <v>3151</v>
      </c>
      <c r="V18" s="75">
        <f t="shared" ref="V18:Y18" si="40">if(J18="-","-",(J18-R18))</f>
        <v>-521</v>
      </c>
      <c r="W18" s="76">
        <f t="shared" si="40"/>
        <v>-410</v>
      </c>
      <c r="X18" s="76">
        <f t="shared" si="40"/>
        <v>-522</v>
      </c>
      <c r="Y18" s="78" t="str">
        <f t="shared" si="40"/>
        <v>-</v>
      </c>
      <c r="Z18" s="79">
        <f t="shared" ref="Z18:AC18" si="41">if(V18="-","-",V18/R18)</f>
        <v>-0.245754717</v>
      </c>
      <c r="AA18" s="80">
        <f t="shared" si="41"/>
        <v>-0.1804577465</v>
      </c>
      <c r="AB18" s="80">
        <f t="shared" si="41"/>
        <v>-0.1914893617</v>
      </c>
      <c r="AC18" s="81" t="str">
        <f t="shared" si="41"/>
        <v>-</v>
      </c>
      <c r="AD18" s="75">
        <f t="shared" ref="AD18:AG18" si="42">if(J18="-","-",(J18-N18))</f>
        <v>274</v>
      </c>
      <c r="AE18" s="76">
        <f t="shared" si="42"/>
        <v>270</v>
      </c>
      <c r="AF18" s="76">
        <f t="shared" si="42"/>
        <v>425</v>
      </c>
      <c r="AG18" s="78" t="str">
        <f t="shared" si="42"/>
        <v>-</v>
      </c>
    </row>
    <row r="19">
      <c r="B19" s="67">
        <v>87.0</v>
      </c>
      <c r="C19" s="6" t="s">
        <v>1030</v>
      </c>
      <c r="D19" s="68">
        <f t="array" ref="D19">_xlfn.xlookup(B19,'CMFA-CSCDA Grants'!A:A,'CMFA-CSCDA Grants'!I:I)</f>
        <v>45835</v>
      </c>
      <c r="E19" s="69" t="b">
        <f t="array" ref="E19">_xlfn.xlookup(B19,'CMFA-CSCDA Grants'!A:A,'CMFA-CSCDA Grants'!U:U)</f>
        <v>0</v>
      </c>
      <c r="F19" s="6" t="str">
        <f t="array" ref="F19">_xlfn.xlookup(B19,'CMFA-CSCDA Grants'!A:A,'CMFA-CSCDA Grants'!E:E)</f>
        <v>Los Angeles</v>
      </c>
      <c r="G19" s="70" t="s">
        <v>1037</v>
      </c>
      <c r="I19" s="71">
        <v>46029.0</v>
      </c>
      <c r="J19" s="72">
        <v>1661.0</v>
      </c>
      <c r="K19" s="73">
        <v>1895.0</v>
      </c>
      <c r="L19" s="73">
        <v>2637.0</v>
      </c>
      <c r="M19" s="74" t="s">
        <v>146</v>
      </c>
      <c r="N19" s="72">
        <v>1809.0</v>
      </c>
      <c r="O19" s="73">
        <v>2301.0</v>
      </c>
      <c r="P19" s="73">
        <v>3034.0</v>
      </c>
      <c r="Q19" s="74">
        <v>3730.0</v>
      </c>
      <c r="R19" s="75">
        <f t="array" ref="R19">_xlfn.xlookup(F19,'TCAC 2025 Limits'!A:A,'TCAC 2025 Limits'!G:G)</f>
        <v>2120</v>
      </c>
      <c r="S19" s="76">
        <f t="array" ref="S19">_xlfn.xlookup($F19,'TCAC 2025 Limits'!A:A,'TCAC 2025 Limits'!B:B)</f>
        <v>2272</v>
      </c>
      <c r="T19" s="76">
        <f t="array" ref="T19">_xlfn.xlookup($F19,'TCAC 2025 Limits'!A:A,'TCAC 2025 Limits'!C:C)</f>
        <v>2726</v>
      </c>
      <c r="U19" s="77">
        <f t="array" ref="U19">_xlfn.xlookup($F19,'TCAC 2025 Limits'!A:A,'TCAC 2025 Limits'!D:D)</f>
        <v>3151</v>
      </c>
      <c r="V19" s="75">
        <f t="shared" ref="V19:Y19" si="43">if(J19="-","-",(J19-R19))</f>
        <v>-459</v>
      </c>
      <c r="W19" s="76">
        <f t="shared" si="43"/>
        <v>-377</v>
      </c>
      <c r="X19" s="76">
        <f t="shared" si="43"/>
        <v>-89</v>
      </c>
      <c r="Y19" s="78" t="str">
        <f t="shared" si="43"/>
        <v>-</v>
      </c>
      <c r="Z19" s="79">
        <f t="shared" ref="Z19:AC19" si="44">if(V19="-","-",V19/R19)</f>
        <v>-0.216509434</v>
      </c>
      <c r="AA19" s="80">
        <f t="shared" si="44"/>
        <v>-0.1659330986</v>
      </c>
      <c r="AB19" s="80">
        <f t="shared" si="44"/>
        <v>-0.03264856933</v>
      </c>
      <c r="AC19" s="81" t="str">
        <f t="shared" si="44"/>
        <v>-</v>
      </c>
      <c r="AD19" s="75">
        <f t="shared" ref="AD19:AG19" si="45">if(J19="-","-",(J19-N19))</f>
        <v>-148</v>
      </c>
      <c r="AE19" s="76">
        <f t="shared" si="45"/>
        <v>-406</v>
      </c>
      <c r="AF19" s="76">
        <f t="shared" si="45"/>
        <v>-397</v>
      </c>
      <c r="AG19" s="78" t="str">
        <f t="shared" si="45"/>
        <v>-</v>
      </c>
    </row>
    <row r="20">
      <c r="B20" s="95">
        <v>78.0</v>
      </c>
      <c r="C20" s="96" t="s">
        <v>1053</v>
      </c>
      <c r="D20" s="97">
        <f t="array" ref="D20">_xlfn.xlookup(B20,'CMFA-CSCDA Grants'!A:A,'CMFA-CSCDA Grants'!I:I)</f>
        <v>45835</v>
      </c>
      <c r="E20" s="99" t="b">
        <f t="array" ref="E20">_xlfn.xlookup(B20,'CMFA-CSCDA Grants'!A:A,'CMFA-CSCDA Grants'!U:U)</f>
        <v>0</v>
      </c>
      <c r="F20" s="96" t="str">
        <f t="array" ref="F20">_xlfn.xlookup(B20,'CMFA-CSCDA Grants'!A:A,'CMFA-CSCDA Grants'!E:E)</f>
        <v>Contra Costa</v>
      </c>
      <c r="G20" s="100" t="s">
        <v>1059</v>
      </c>
      <c r="H20" s="101"/>
      <c r="I20" s="102">
        <v>46029.0</v>
      </c>
      <c r="J20" s="103" t="s">
        <v>146</v>
      </c>
      <c r="K20" s="104">
        <v>1883.0</v>
      </c>
      <c r="L20" s="104">
        <v>2379.0</v>
      </c>
      <c r="M20" s="105" t="s">
        <v>146</v>
      </c>
      <c r="N20" s="103">
        <v>1606.0</v>
      </c>
      <c r="O20" s="104">
        <v>1992.0</v>
      </c>
      <c r="P20" s="104">
        <v>2294.0</v>
      </c>
      <c r="Q20" s="105">
        <v>2765.0</v>
      </c>
      <c r="R20" s="106">
        <f t="array" ref="R20">_xlfn.xlookup(F20,'TCAC 2025 Limits'!A:A,'TCAC 2025 Limits'!G:G)</f>
        <v>2238</v>
      </c>
      <c r="S20" s="107">
        <f t="array" ref="S20">_xlfn.xlookup($F20,'TCAC 2025 Limits'!A:A,'TCAC 2025 Limits'!B:B)</f>
        <v>2398</v>
      </c>
      <c r="T20" s="107">
        <f t="array" ref="T20">_xlfn.xlookup($F20,'TCAC 2025 Limits'!A:A,'TCAC 2025 Limits'!C:C)</f>
        <v>2878</v>
      </c>
      <c r="U20" s="108">
        <f t="array" ref="U20">_xlfn.xlookup($F20,'TCAC 2025 Limits'!A:A,'TCAC 2025 Limits'!D:D)</f>
        <v>3324</v>
      </c>
      <c r="V20" s="109" t="str">
        <f t="shared" ref="V20:Y20" si="46">if(J20="-","-",(J20-R20))</f>
        <v>-</v>
      </c>
      <c r="W20" s="107">
        <f t="shared" si="46"/>
        <v>-515</v>
      </c>
      <c r="X20" s="107">
        <f t="shared" si="46"/>
        <v>-499</v>
      </c>
      <c r="Y20" s="110" t="str">
        <f t="shared" si="46"/>
        <v>-</v>
      </c>
      <c r="Z20" s="111" t="str">
        <f t="shared" ref="Z20:AC20" si="47">if(V20="-","-",V20/R20)</f>
        <v>-</v>
      </c>
      <c r="AA20" s="112">
        <f t="shared" si="47"/>
        <v>-0.2147623019</v>
      </c>
      <c r="AB20" s="112">
        <f t="shared" si="47"/>
        <v>-0.1733842946</v>
      </c>
      <c r="AC20" s="113" t="str">
        <f t="shared" si="47"/>
        <v>-</v>
      </c>
      <c r="AD20" s="109" t="str">
        <f t="shared" ref="AD20:AG20" si="48">if(J20="-","-",(J20-N20))</f>
        <v>-</v>
      </c>
      <c r="AE20" s="107">
        <f t="shared" si="48"/>
        <v>-109</v>
      </c>
      <c r="AF20" s="107">
        <f t="shared" si="48"/>
        <v>85</v>
      </c>
      <c r="AG20" s="110" t="str">
        <f t="shared" si="48"/>
        <v>-</v>
      </c>
    </row>
    <row r="21">
      <c r="D21" s="114"/>
      <c r="E21" s="114"/>
      <c r="I21" s="85"/>
      <c r="J21" s="76"/>
      <c r="K21" s="76"/>
      <c r="L21" s="76"/>
      <c r="M21" s="76"/>
      <c r="N21" s="76"/>
      <c r="O21" s="76"/>
      <c r="P21" s="76"/>
      <c r="Q21" s="76"/>
      <c r="R21" s="76"/>
      <c r="S21" s="76"/>
      <c r="T21" s="76"/>
      <c r="U21" s="76"/>
    </row>
    <row r="22">
      <c r="D22" s="114"/>
      <c r="E22" s="114"/>
      <c r="I22" s="85"/>
      <c r="J22" s="76"/>
      <c r="K22" s="76"/>
      <c r="L22" s="76"/>
      <c r="M22" s="76"/>
      <c r="N22" s="76"/>
      <c r="O22" s="76"/>
      <c r="P22" s="76"/>
      <c r="Q22" s="76"/>
      <c r="R22" s="76"/>
      <c r="S22" s="76"/>
      <c r="T22" s="76"/>
      <c r="U22" s="76"/>
    </row>
    <row r="23">
      <c r="D23" s="114"/>
      <c r="E23" s="114"/>
      <c r="I23" s="85"/>
      <c r="J23" s="76"/>
      <c r="K23" s="76"/>
      <c r="L23" s="76"/>
      <c r="M23" s="76"/>
      <c r="N23" s="76"/>
      <c r="O23" s="76"/>
      <c r="P23" s="76"/>
      <c r="Q23" s="76"/>
      <c r="R23" s="76"/>
      <c r="S23" s="76"/>
      <c r="T23" s="76"/>
      <c r="U23" s="76"/>
    </row>
    <row r="24">
      <c r="D24" s="114"/>
      <c r="E24" s="114"/>
      <c r="I24" s="85"/>
      <c r="J24" s="76"/>
      <c r="K24" s="76"/>
      <c r="L24" s="76"/>
      <c r="M24" s="76"/>
      <c r="N24" s="76"/>
      <c r="O24" s="76"/>
      <c r="P24" s="76"/>
      <c r="Q24" s="76"/>
      <c r="R24" s="76"/>
      <c r="S24" s="76"/>
      <c r="T24" s="76"/>
      <c r="U24" s="76"/>
    </row>
    <row r="25">
      <c r="D25" s="114"/>
      <c r="E25" s="114"/>
      <c r="I25" s="85"/>
      <c r="J25" s="76"/>
      <c r="K25" s="76"/>
      <c r="L25" s="76"/>
      <c r="M25" s="76"/>
      <c r="N25" s="76"/>
      <c r="O25" s="76"/>
      <c r="P25" s="76"/>
      <c r="Q25" s="76"/>
      <c r="R25" s="76"/>
      <c r="S25" s="76"/>
      <c r="T25" s="76"/>
      <c r="U25" s="76"/>
    </row>
    <row r="26">
      <c r="D26" s="114"/>
      <c r="E26" s="114"/>
      <c r="I26" s="85"/>
      <c r="J26" s="76"/>
      <c r="K26" s="76"/>
      <c r="L26" s="76"/>
      <c r="M26" s="76"/>
      <c r="N26" s="76"/>
      <c r="O26" s="76"/>
      <c r="P26" s="76"/>
      <c r="Q26" s="76"/>
      <c r="R26" s="76"/>
      <c r="S26" s="76"/>
      <c r="T26" s="76"/>
      <c r="U26" s="76"/>
    </row>
    <row r="27">
      <c r="D27" s="114"/>
      <c r="E27" s="114"/>
      <c r="I27" s="85"/>
      <c r="J27" s="76"/>
      <c r="K27" s="76"/>
      <c r="L27" s="76"/>
      <c r="M27" s="76"/>
      <c r="N27" s="76"/>
      <c r="O27" s="76"/>
      <c r="P27" s="76"/>
      <c r="Q27" s="76"/>
      <c r="R27" s="76"/>
      <c r="S27" s="76"/>
      <c r="T27" s="76"/>
      <c r="U27" s="76"/>
    </row>
    <row r="28">
      <c r="D28" s="114"/>
      <c r="E28" s="114"/>
      <c r="I28" s="85"/>
      <c r="J28" s="76"/>
      <c r="K28" s="76"/>
      <c r="L28" s="76"/>
      <c r="M28" s="76"/>
      <c r="N28" s="76"/>
      <c r="O28" s="76"/>
      <c r="P28" s="76"/>
      <c r="Q28" s="76"/>
      <c r="R28" s="76"/>
      <c r="S28" s="76"/>
      <c r="T28" s="76"/>
      <c r="U28" s="76"/>
    </row>
    <row r="29">
      <c r="D29" s="114"/>
      <c r="E29" s="114"/>
      <c r="I29" s="85"/>
      <c r="J29" s="76"/>
      <c r="K29" s="76"/>
      <c r="L29" s="76"/>
      <c r="M29" s="76"/>
      <c r="N29" s="76"/>
      <c r="O29" s="76"/>
      <c r="P29" s="76"/>
      <c r="Q29" s="76"/>
      <c r="R29" s="76"/>
      <c r="S29" s="76"/>
      <c r="T29" s="76"/>
      <c r="U29" s="76"/>
    </row>
    <row r="30">
      <c r="D30" s="114"/>
      <c r="E30" s="114"/>
      <c r="I30" s="85"/>
      <c r="J30" s="76"/>
      <c r="K30" s="76"/>
      <c r="L30" s="76"/>
      <c r="M30" s="76"/>
      <c r="N30" s="76"/>
      <c r="O30" s="76"/>
      <c r="P30" s="76"/>
      <c r="Q30" s="76"/>
      <c r="R30" s="76"/>
      <c r="S30" s="76"/>
      <c r="T30" s="76"/>
      <c r="U30" s="76"/>
    </row>
    <row r="31">
      <c r="D31" s="114"/>
      <c r="E31" s="114"/>
      <c r="I31" s="85"/>
      <c r="J31" s="76"/>
      <c r="K31" s="76"/>
      <c r="L31" s="76"/>
      <c r="M31" s="76"/>
      <c r="N31" s="76"/>
      <c r="O31" s="76"/>
      <c r="P31" s="76"/>
      <c r="Q31" s="76"/>
      <c r="R31" s="76"/>
      <c r="S31" s="76"/>
      <c r="T31" s="76"/>
      <c r="U31" s="76"/>
    </row>
    <row r="32">
      <c r="D32" s="114"/>
      <c r="E32" s="114"/>
      <c r="I32" s="85"/>
      <c r="J32" s="76"/>
      <c r="K32" s="76"/>
      <c r="L32" s="76"/>
      <c r="M32" s="76"/>
      <c r="N32" s="76"/>
      <c r="O32" s="76"/>
      <c r="P32" s="76"/>
      <c r="Q32" s="76"/>
      <c r="R32" s="76"/>
      <c r="S32" s="76"/>
      <c r="T32" s="76"/>
      <c r="U32" s="76"/>
    </row>
    <row r="33">
      <c r="D33" s="114"/>
      <c r="E33" s="114"/>
      <c r="I33" s="85"/>
      <c r="J33" s="76"/>
      <c r="K33" s="76"/>
      <c r="L33" s="76"/>
      <c r="M33" s="76"/>
      <c r="N33" s="76"/>
      <c r="O33" s="76"/>
      <c r="P33" s="76"/>
      <c r="Q33" s="76"/>
      <c r="R33" s="76"/>
      <c r="S33" s="76"/>
      <c r="T33" s="76"/>
      <c r="U33" s="76"/>
    </row>
    <row r="34">
      <c r="D34" s="114"/>
      <c r="E34" s="114"/>
      <c r="I34" s="85"/>
      <c r="J34" s="76"/>
      <c r="K34" s="76"/>
      <c r="L34" s="76"/>
      <c r="M34" s="76"/>
      <c r="N34" s="76"/>
      <c r="O34" s="76"/>
      <c r="P34" s="76"/>
      <c r="Q34" s="76"/>
      <c r="R34" s="76"/>
      <c r="S34" s="76"/>
      <c r="T34" s="76"/>
      <c r="U34" s="76"/>
    </row>
    <row r="35">
      <c r="D35" s="114"/>
      <c r="E35" s="114"/>
      <c r="I35" s="85"/>
      <c r="J35" s="76"/>
      <c r="K35" s="76"/>
      <c r="L35" s="76"/>
      <c r="M35" s="76"/>
      <c r="N35" s="76"/>
      <c r="O35" s="76"/>
      <c r="P35" s="76"/>
      <c r="Q35" s="76"/>
      <c r="R35" s="76"/>
      <c r="S35" s="76"/>
      <c r="T35" s="76"/>
      <c r="U35" s="76"/>
    </row>
    <row r="36">
      <c r="D36" s="114"/>
      <c r="E36" s="114"/>
      <c r="I36" s="85"/>
      <c r="J36" s="76"/>
      <c r="K36" s="76"/>
      <c r="L36" s="76"/>
      <c r="M36" s="76"/>
      <c r="N36" s="76"/>
      <c r="O36" s="76"/>
      <c r="P36" s="76"/>
      <c r="Q36" s="76"/>
      <c r="R36" s="76"/>
      <c r="S36" s="76"/>
      <c r="T36" s="76"/>
      <c r="U36" s="76"/>
    </row>
    <row r="37">
      <c r="D37" s="114"/>
      <c r="E37" s="114"/>
      <c r="J37" s="14"/>
      <c r="K37" s="14"/>
      <c r="L37" s="14"/>
      <c r="M37" s="14"/>
      <c r="N37" s="14"/>
      <c r="O37" s="14"/>
      <c r="P37" s="14"/>
      <c r="Q37" s="14"/>
      <c r="R37" s="14"/>
      <c r="S37" s="14"/>
      <c r="T37" s="14"/>
      <c r="U37" s="14"/>
    </row>
    <row r="38">
      <c r="D38" s="114"/>
      <c r="E38" s="114"/>
      <c r="J38" s="14"/>
      <c r="K38" s="14"/>
      <c r="L38" s="14"/>
      <c r="M38" s="14"/>
      <c r="N38" s="14"/>
      <c r="O38" s="14"/>
      <c r="P38" s="14"/>
      <c r="Q38" s="14"/>
      <c r="R38" s="14"/>
      <c r="S38" s="14"/>
      <c r="T38" s="14"/>
      <c r="U38" s="14"/>
    </row>
    <row r="39">
      <c r="D39" s="114"/>
      <c r="E39" s="114"/>
      <c r="J39" s="14"/>
      <c r="K39" s="14"/>
      <c r="L39" s="14"/>
      <c r="M39" s="14"/>
      <c r="N39" s="14"/>
      <c r="O39" s="14"/>
      <c r="P39" s="14"/>
      <c r="Q39" s="14"/>
      <c r="R39" s="14"/>
      <c r="S39" s="14"/>
      <c r="T39" s="14"/>
      <c r="U39" s="14"/>
    </row>
    <row r="40">
      <c r="D40" s="114"/>
      <c r="E40" s="114"/>
      <c r="J40" s="14"/>
      <c r="K40" s="14"/>
      <c r="L40" s="14"/>
      <c r="M40" s="14"/>
      <c r="N40" s="14"/>
      <c r="O40" s="14"/>
      <c r="P40" s="14"/>
      <c r="Q40" s="14"/>
      <c r="R40" s="14"/>
      <c r="S40" s="14"/>
      <c r="T40" s="14"/>
      <c r="U40" s="14"/>
    </row>
    <row r="41">
      <c r="D41" s="114"/>
      <c r="E41" s="114"/>
      <c r="J41" s="14"/>
      <c r="K41" s="14"/>
      <c r="L41" s="14"/>
      <c r="M41" s="14"/>
      <c r="N41" s="14"/>
      <c r="O41" s="14"/>
      <c r="P41" s="14"/>
      <c r="Q41" s="14"/>
      <c r="R41" s="14"/>
      <c r="S41" s="14"/>
      <c r="T41" s="14"/>
      <c r="U41" s="14"/>
    </row>
    <row r="42">
      <c r="D42" s="114"/>
      <c r="E42" s="114"/>
      <c r="J42" s="14"/>
      <c r="K42" s="14"/>
      <c r="L42" s="14"/>
      <c r="M42" s="14"/>
      <c r="N42" s="14"/>
      <c r="O42" s="14"/>
      <c r="P42" s="14"/>
      <c r="Q42" s="14"/>
      <c r="R42" s="14"/>
      <c r="S42" s="14"/>
      <c r="T42" s="14"/>
      <c r="U42" s="14"/>
    </row>
    <row r="43">
      <c r="D43" s="114"/>
      <c r="E43" s="114"/>
      <c r="J43" s="14"/>
      <c r="K43" s="14"/>
      <c r="L43" s="14"/>
      <c r="M43" s="14"/>
      <c r="N43" s="14"/>
      <c r="O43" s="14"/>
      <c r="P43" s="14"/>
      <c r="Q43" s="14"/>
      <c r="R43" s="14"/>
      <c r="S43" s="14"/>
      <c r="T43" s="14"/>
      <c r="U43" s="14"/>
    </row>
    <row r="44">
      <c r="D44" s="114"/>
      <c r="E44" s="114"/>
      <c r="J44" s="14"/>
      <c r="K44" s="14"/>
      <c r="L44" s="14"/>
      <c r="M44" s="14"/>
      <c r="N44" s="14"/>
      <c r="O44" s="14"/>
      <c r="P44" s="14"/>
      <c r="Q44" s="14"/>
      <c r="R44" s="14"/>
      <c r="S44" s="14"/>
      <c r="T44" s="14"/>
      <c r="U44" s="14"/>
    </row>
    <row r="45">
      <c r="D45" s="114"/>
      <c r="E45" s="114"/>
      <c r="J45" s="14"/>
      <c r="K45" s="14"/>
      <c r="L45" s="14"/>
      <c r="M45" s="14"/>
      <c r="N45" s="14"/>
      <c r="O45" s="14"/>
      <c r="P45" s="14"/>
      <c r="Q45" s="14"/>
      <c r="R45" s="14"/>
      <c r="S45" s="14"/>
      <c r="T45" s="14"/>
      <c r="U45" s="14"/>
    </row>
    <row r="46">
      <c r="D46" s="114"/>
      <c r="E46" s="114"/>
      <c r="J46" s="14"/>
      <c r="K46" s="14"/>
      <c r="L46" s="14"/>
      <c r="M46" s="14"/>
      <c r="N46" s="14"/>
      <c r="O46" s="14"/>
      <c r="P46" s="14"/>
      <c r="Q46" s="14"/>
      <c r="R46" s="14"/>
      <c r="S46" s="14"/>
      <c r="T46" s="14"/>
      <c r="U46" s="14"/>
    </row>
    <row r="47">
      <c r="D47" s="114"/>
      <c r="E47" s="114"/>
      <c r="J47" s="14"/>
      <c r="K47" s="14"/>
      <c r="L47" s="14"/>
      <c r="M47" s="14"/>
      <c r="N47" s="14"/>
      <c r="O47" s="14"/>
      <c r="P47" s="14"/>
      <c r="Q47" s="14"/>
      <c r="R47" s="14"/>
      <c r="S47" s="14"/>
      <c r="T47" s="14"/>
      <c r="U47" s="14"/>
    </row>
    <row r="48">
      <c r="D48" s="114"/>
      <c r="E48" s="114"/>
      <c r="J48" s="14"/>
      <c r="K48" s="14"/>
      <c r="L48" s="14"/>
      <c r="M48" s="14"/>
      <c r="N48" s="14"/>
      <c r="O48" s="14"/>
      <c r="P48" s="14"/>
      <c r="Q48" s="14"/>
      <c r="R48" s="14"/>
      <c r="S48" s="14"/>
      <c r="T48" s="14"/>
      <c r="U48" s="14"/>
    </row>
    <row r="49">
      <c r="D49" s="114"/>
      <c r="E49" s="114"/>
      <c r="J49" s="14"/>
      <c r="K49" s="14"/>
      <c r="L49" s="14"/>
      <c r="M49" s="14"/>
      <c r="N49" s="14"/>
      <c r="O49" s="14"/>
      <c r="P49" s="14"/>
      <c r="Q49" s="14"/>
      <c r="R49" s="14"/>
      <c r="S49" s="14"/>
      <c r="T49" s="14"/>
      <c r="U49" s="14"/>
    </row>
    <row r="50">
      <c r="D50" s="114"/>
      <c r="E50" s="114"/>
      <c r="J50" s="14"/>
      <c r="K50" s="14"/>
      <c r="L50" s="14"/>
      <c r="M50" s="14"/>
      <c r="N50" s="14"/>
      <c r="O50" s="14"/>
      <c r="P50" s="14"/>
      <c r="Q50" s="14"/>
      <c r="R50" s="14"/>
      <c r="S50" s="14"/>
      <c r="T50" s="14"/>
      <c r="U50" s="14"/>
    </row>
    <row r="51">
      <c r="D51" s="114"/>
      <c r="E51" s="114"/>
      <c r="J51" s="14"/>
      <c r="K51" s="14"/>
      <c r="L51" s="14"/>
      <c r="M51" s="14"/>
      <c r="N51" s="14"/>
      <c r="O51" s="14"/>
      <c r="P51" s="14"/>
      <c r="Q51" s="14"/>
      <c r="R51" s="14"/>
      <c r="S51" s="14"/>
      <c r="T51" s="14"/>
      <c r="U51" s="14"/>
    </row>
    <row r="52">
      <c r="D52" s="114"/>
      <c r="E52" s="114"/>
      <c r="J52" s="14"/>
      <c r="K52" s="14"/>
      <c r="L52" s="14"/>
      <c r="M52" s="14"/>
      <c r="N52" s="14"/>
      <c r="O52" s="14"/>
      <c r="P52" s="14"/>
      <c r="Q52" s="14"/>
      <c r="R52" s="14"/>
      <c r="S52" s="14"/>
      <c r="T52" s="14"/>
      <c r="U52" s="14"/>
    </row>
    <row r="53">
      <c r="D53" s="114"/>
      <c r="E53" s="114"/>
      <c r="J53" s="14"/>
      <c r="K53" s="14"/>
      <c r="L53" s="14"/>
      <c r="M53" s="14"/>
      <c r="N53" s="14"/>
      <c r="O53" s="14"/>
      <c r="P53" s="14"/>
      <c r="Q53" s="14"/>
      <c r="R53" s="14"/>
      <c r="S53" s="14"/>
      <c r="T53" s="14"/>
      <c r="U53" s="14"/>
    </row>
    <row r="54">
      <c r="D54" s="114"/>
      <c r="E54" s="114"/>
      <c r="J54" s="14"/>
      <c r="K54" s="14"/>
      <c r="L54" s="14"/>
      <c r="M54" s="14"/>
      <c r="N54" s="14"/>
      <c r="O54" s="14"/>
      <c r="P54" s="14"/>
      <c r="Q54" s="14"/>
      <c r="R54" s="14"/>
      <c r="S54" s="14"/>
      <c r="T54" s="14"/>
      <c r="U54" s="14"/>
    </row>
    <row r="55">
      <c r="D55" s="114"/>
      <c r="E55" s="114"/>
      <c r="J55" s="14"/>
      <c r="K55" s="14"/>
      <c r="L55" s="14"/>
      <c r="M55" s="14"/>
      <c r="N55" s="14"/>
      <c r="O55" s="14"/>
      <c r="P55" s="14"/>
      <c r="Q55" s="14"/>
      <c r="R55" s="14"/>
      <c r="S55" s="14"/>
      <c r="T55" s="14"/>
      <c r="U55" s="14"/>
    </row>
    <row r="56">
      <c r="D56" s="114"/>
      <c r="E56" s="114"/>
      <c r="J56" s="14"/>
      <c r="K56" s="14"/>
      <c r="L56" s="14"/>
      <c r="M56" s="14"/>
      <c r="N56" s="14"/>
      <c r="O56" s="14"/>
      <c r="P56" s="14"/>
      <c r="Q56" s="14"/>
      <c r="R56" s="14"/>
      <c r="S56" s="14"/>
      <c r="T56" s="14"/>
      <c r="U56" s="14"/>
    </row>
    <row r="57">
      <c r="D57" s="114"/>
      <c r="E57" s="114"/>
      <c r="J57" s="14"/>
      <c r="K57" s="14"/>
      <c r="L57" s="14"/>
      <c r="M57" s="14"/>
      <c r="N57" s="14"/>
      <c r="O57" s="14"/>
      <c r="P57" s="14"/>
      <c r="Q57" s="14"/>
      <c r="R57" s="14"/>
      <c r="S57" s="14"/>
      <c r="T57" s="14"/>
      <c r="U57" s="14"/>
    </row>
    <row r="58">
      <c r="D58" s="114"/>
      <c r="E58" s="114"/>
      <c r="J58" s="14"/>
      <c r="K58" s="14"/>
      <c r="L58" s="14"/>
      <c r="M58" s="14"/>
      <c r="N58" s="14"/>
      <c r="O58" s="14"/>
      <c r="P58" s="14"/>
      <c r="Q58" s="14"/>
      <c r="R58" s="14"/>
      <c r="S58" s="14"/>
      <c r="T58" s="14"/>
      <c r="U58" s="14"/>
    </row>
    <row r="59">
      <c r="D59" s="114"/>
      <c r="E59" s="114"/>
      <c r="J59" s="14"/>
      <c r="K59" s="14"/>
      <c r="L59" s="14"/>
      <c r="M59" s="14"/>
      <c r="N59" s="14"/>
      <c r="O59" s="14"/>
      <c r="P59" s="14"/>
      <c r="Q59" s="14"/>
      <c r="R59" s="14"/>
      <c r="S59" s="14"/>
      <c r="T59" s="14"/>
      <c r="U59" s="14"/>
    </row>
    <row r="60">
      <c r="D60" s="114"/>
      <c r="E60" s="114"/>
      <c r="J60" s="14"/>
      <c r="K60" s="14"/>
      <c r="L60" s="14"/>
      <c r="M60" s="14"/>
      <c r="N60" s="14"/>
      <c r="O60" s="14"/>
      <c r="P60" s="14"/>
      <c r="Q60" s="14"/>
      <c r="R60" s="14"/>
      <c r="S60" s="14"/>
      <c r="T60" s="14"/>
      <c r="U60" s="14"/>
    </row>
    <row r="61">
      <c r="D61" s="114"/>
      <c r="E61" s="114"/>
      <c r="J61" s="14"/>
      <c r="K61" s="14"/>
      <c r="L61" s="14"/>
      <c r="M61" s="14"/>
      <c r="N61" s="14"/>
      <c r="O61" s="14"/>
      <c r="P61" s="14"/>
      <c r="Q61" s="14"/>
      <c r="R61" s="14"/>
      <c r="S61" s="14"/>
      <c r="T61" s="14"/>
      <c r="U61" s="14"/>
    </row>
    <row r="62">
      <c r="D62" s="114"/>
      <c r="E62" s="114"/>
      <c r="J62" s="14"/>
      <c r="K62" s="14"/>
      <c r="L62" s="14"/>
      <c r="M62" s="14"/>
      <c r="N62" s="14"/>
      <c r="O62" s="14"/>
      <c r="P62" s="14"/>
      <c r="Q62" s="14"/>
      <c r="R62" s="14"/>
      <c r="S62" s="14"/>
      <c r="T62" s="14"/>
      <c r="U62" s="14"/>
    </row>
    <row r="63">
      <c r="D63" s="114"/>
      <c r="E63" s="114"/>
      <c r="J63" s="14"/>
      <c r="K63" s="14"/>
      <c r="L63" s="14"/>
      <c r="M63" s="14"/>
      <c r="N63" s="14"/>
      <c r="O63" s="14"/>
      <c r="P63" s="14"/>
      <c r="Q63" s="14"/>
      <c r="R63" s="14"/>
      <c r="S63" s="14"/>
      <c r="T63" s="14"/>
      <c r="U63" s="14"/>
    </row>
    <row r="64">
      <c r="D64" s="114"/>
      <c r="E64" s="114"/>
      <c r="J64" s="14"/>
      <c r="K64" s="14"/>
      <c r="L64" s="14"/>
      <c r="M64" s="14"/>
      <c r="N64" s="14"/>
      <c r="O64" s="14"/>
      <c r="P64" s="14"/>
      <c r="Q64" s="14"/>
      <c r="R64" s="14"/>
      <c r="S64" s="14"/>
      <c r="T64" s="14"/>
      <c r="U64" s="14"/>
    </row>
    <row r="65">
      <c r="D65" s="114"/>
      <c r="E65" s="114"/>
      <c r="J65" s="14"/>
      <c r="K65" s="14"/>
      <c r="L65" s="14"/>
      <c r="M65" s="14"/>
      <c r="N65" s="14"/>
      <c r="O65" s="14"/>
      <c r="P65" s="14"/>
      <c r="Q65" s="14"/>
      <c r="R65" s="14"/>
      <c r="S65" s="14"/>
      <c r="T65" s="14"/>
      <c r="U65" s="14"/>
    </row>
    <row r="66">
      <c r="D66" s="114"/>
      <c r="E66" s="114"/>
      <c r="J66" s="14"/>
      <c r="K66" s="14"/>
      <c r="L66" s="14"/>
      <c r="M66" s="14"/>
      <c r="N66" s="14"/>
      <c r="O66" s="14"/>
      <c r="P66" s="14"/>
      <c r="Q66" s="14"/>
      <c r="R66" s="14"/>
      <c r="S66" s="14"/>
      <c r="T66" s="14"/>
      <c r="U66" s="14"/>
    </row>
    <row r="67">
      <c r="D67" s="114"/>
      <c r="E67" s="114"/>
      <c r="J67" s="14"/>
      <c r="K67" s="14"/>
      <c r="L67" s="14"/>
      <c r="M67" s="14"/>
      <c r="N67" s="14"/>
      <c r="O67" s="14"/>
      <c r="P67" s="14"/>
      <c r="Q67" s="14"/>
      <c r="R67" s="14"/>
      <c r="S67" s="14"/>
      <c r="T67" s="14"/>
      <c r="U67" s="14"/>
    </row>
    <row r="68">
      <c r="D68" s="114"/>
      <c r="E68" s="114"/>
      <c r="J68" s="14"/>
      <c r="K68" s="14"/>
      <c r="L68" s="14"/>
      <c r="M68" s="14"/>
      <c r="N68" s="14"/>
      <c r="O68" s="14"/>
      <c r="P68" s="14"/>
      <c r="Q68" s="14"/>
      <c r="R68" s="14"/>
      <c r="S68" s="14"/>
      <c r="T68" s="14"/>
      <c r="U68" s="14"/>
    </row>
    <row r="69">
      <c r="D69" s="114"/>
      <c r="E69" s="114"/>
      <c r="J69" s="14"/>
      <c r="K69" s="14"/>
      <c r="L69" s="14"/>
      <c r="M69" s="14"/>
      <c r="N69" s="14"/>
      <c r="O69" s="14"/>
      <c r="P69" s="14"/>
      <c r="Q69" s="14"/>
      <c r="R69" s="14"/>
      <c r="S69" s="14"/>
      <c r="T69" s="14"/>
      <c r="U69" s="14"/>
    </row>
    <row r="70">
      <c r="D70" s="114"/>
      <c r="E70" s="114"/>
      <c r="J70" s="14"/>
      <c r="K70" s="14"/>
      <c r="L70" s="14"/>
      <c r="M70" s="14"/>
      <c r="N70" s="14"/>
      <c r="O70" s="14"/>
      <c r="P70" s="14"/>
      <c r="Q70" s="14"/>
      <c r="R70" s="14"/>
      <c r="S70" s="14"/>
      <c r="T70" s="14"/>
      <c r="U70" s="14"/>
    </row>
    <row r="71">
      <c r="D71" s="114"/>
      <c r="E71" s="114"/>
      <c r="J71" s="14"/>
      <c r="K71" s="14"/>
      <c r="L71" s="14"/>
      <c r="M71" s="14"/>
      <c r="N71" s="14"/>
      <c r="O71" s="14"/>
      <c r="P71" s="14"/>
      <c r="Q71" s="14"/>
      <c r="R71" s="14"/>
      <c r="S71" s="14"/>
      <c r="T71" s="14"/>
      <c r="U71" s="14"/>
    </row>
    <row r="72">
      <c r="D72" s="114"/>
      <c r="E72" s="114"/>
      <c r="J72" s="14"/>
      <c r="K72" s="14"/>
      <c r="L72" s="14"/>
      <c r="M72" s="14"/>
      <c r="N72" s="14"/>
      <c r="O72" s="14"/>
      <c r="P72" s="14"/>
      <c r="Q72" s="14"/>
      <c r="R72" s="14"/>
      <c r="S72" s="14"/>
      <c r="T72" s="14"/>
      <c r="U72" s="14"/>
    </row>
    <row r="73">
      <c r="D73" s="114"/>
      <c r="E73" s="114"/>
      <c r="J73" s="14"/>
      <c r="K73" s="14"/>
      <c r="L73" s="14"/>
      <c r="M73" s="14"/>
      <c r="N73" s="14"/>
      <c r="O73" s="14"/>
      <c r="P73" s="14"/>
      <c r="Q73" s="14"/>
      <c r="R73" s="14"/>
      <c r="S73" s="14"/>
      <c r="T73" s="14"/>
      <c r="U73" s="14"/>
    </row>
    <row r="74">
      <c r="D74" s="114"/>
      <c r="E74" s="114"/>
      <c r="J74" s="14"/>
      <c r="K74" s="14"/>
      <c r="L74" s="14"/>
      <c r="M74" s="14"/>
      <c r="N74" s="14"/>
      <c r="O74" s="14"/>
      <c r="P74" s="14"/>
      <c r="Q74" s="14"/>
      <c r="R74" s="14"/>
      <c r="S74" s="14"/>
      <c r="T74" s="14"/>
      <c r="U74" s="14"/>
    </row>
    <row r="75">
      <c r="D75" s="114"/>
      <c r="E75" s="114"/>
      <c r="J75" s="14"/>
      <c r="K75" s="14"/>
      <c r="L75" s="14"/>
      <c r="M75" s="14"/>
      <c r="N75" s="14"/>
      <c r="O75" s="14"/>
      <c r="P75" s="14"/>
      <c r="Q75" s="14"/>
      <c r="R75" s="14"/>
      <c r="S75" s="14"/>
      <c r="T75" s="14"/>
      <c r="U75" s="14"/>
    </row>
    <row r="76">
      <c r="D76" s="114"/>
      <c r="E76" s="114"/>
      <c r="J76" s="14"/>
      <c r="K76" s="14"/>
      <c r="L76" s="14"/>
      <c r="M76" s="14"/>
      <c r="N76" s="14"/>
      <c r="O76" s="14"/>
      <c r="P76" s="14"/>
      <c r="Q76" s="14"/>
      <c r="R76" s="14"/>
      <c r="S76" s="14"/>
      <c r="T76" s="14"/>
      <c r="U76" s="14"/>
    </row>
    <row r="77">
      <c r="D77" s="114"/>
      <c r="E77" s="114"/>
      <c r="J77" s="14"/>
      <c r="K77" s="14"/>
      <c r="L77" s="14"/>
      <c r="M77" s="14"/>
      <c r="N77" s="14"/>
      <c r="O77" s="14"/>
      <c r="P77" s="14"/>
      <c r="Q77" s="14"/>
      <c r="R77" s="14"/>
      <c r="S77" s="14"/>
      <c r="T77" s="14"/>
      <c r="U77" s="14"/>
    </row>
    <row r="78">
      <c r="D78" s="114"/>
      <c r="E78" s="114"/>
      <c r="J78" s="14"/>
      <c r="K78" s="14"/>
      <c r="L78" s="14"/>
      <c r="M78" s="14"/>
      <c r="N78" s="14"/>
      <c r="O78" s="14"/>
      <c r="P78" s="14"/>
      <c r="Q78" s="14"/>
      <c r="R78" s="14"/>
      <c r="S78" s="14"/>
      <c r="T78" s="14"/>
      <c r="U78" s="14"/>
    </row>
    <row r="79">
      <c r="D79" s="114"/>
      <c r="E79" s="114"/>
      <c r="J79" s="14"/>
      <c r="K79" s="14"/>
      <c r="L79" s="14"/>
      <c r="M79" s="14"/>
      <c r="N79" s="14"/>
      <c r="O79" s="14"/>
      <c r="P79" s="14"/>
      <c r="Q79" s="14"/>
      <c r="R79" s="14"/>
      <c r="S79" s="14"/>
      <c r="T79" s="14"/>
      <c r="U79" s="14"/>
    </row>
    <row r="80">
      <c r="D80" s="114"/>
      <c r="E80" s="114"/>
      <c r="J80" s="14"/>
      <c r="K80" s="14"/>
      <c r="L80" s="14"/>
      <c r="M80" s="14"/>
      <c r="N80" s="14"/>
      <c r="O80" s="14"/>
      <c r="P80" s="14"/>
      <c r="Q80" s="14"/>
      <c r="R80" s="14"/>
      <c r="S80" s="14"/>
      <c r="T80" s="14"/>
      <c r="U80" s="14"/>
    </row>
    <row r="81">
      <c r="D81" s="114"/>
      <c r="E81" s="114"/>
      <c r="J81" s="14"/>
      <c r="K81" s="14"/>
      <c r="L81" s="14"/>
      <c r="M81" s="14"/>
      <c r="N81" s="14"/>
      <c r="O81" s="14"/>
      <c r="P81" s="14"/>
      <c r="Q81" s="14"/>
      <c r="R81" s="14"/>
      <c r="S81" s="14"/>
      <c r="T81" s="14"/>
      <c r="U81" s="14"/>
    </row>
    <row r="82">
      <c r="D82" s="114"/>
      <c r="E82" s="114"/>
      <c r="J82" s="14"/>
      <c r="K82" s="14"/>
      <c r="L82" s="14"/>
      <c r="M82" s="14"/>
      <c r="N82" s="14"/>
      <c r="O82" s="14"/>
      <c r="P82" s="14"/>
      <c r="Q82" s="14"/>
      <c r="R82" s="14"/>
      <c r="S82" s="14"/>
      <c r="T82" s="14"/>
      <c r="U82" s="14"/>
    </row>
    <row r="83">
      <c r="D83" s="114"/>
      <c r="E83" s="114"/>
      <c r="J83" s="14"/>
      <c r="K83" s="14"/>
      <c r="L83" s="14"/>
      <c r="M83" s="14"/>
      <c r="N83" s="14"/>
      <c r="O83" s="14"/>
      <c r="P83" s="14"/>
      <c r="Q83" s="14"/>
      <c r="R83" s="14"/>
      <c r="S83" s="14"/>
      <c r="T83" s="14"/>
      <c r="U83" s="14"/>
    </row>
    <row r="84">
      <c r="D84" s="114"/>
      <c r="E84" s="114"/>
      <c r="J84" s="14"/>
      <c r="K84" s="14"/>
      <c r="L84" s="14"/>
      <c r="M84" s="14"/>
      <c r="N84" s="14"/>
      <c r="O84" s="14"/>
      <c r="P84" s="14"/>
      <c r="Q84" s="14"/>
      <c r="R84" s="14"/>
      <c r="S84" s="14"/>
      <c r="T84" s="14"/>
      <c r="U84" s="14"/>
    </row>
    <row r="85">
      <c r="D85" s="114"/>
      <c r="E85" s="114"/>
      <c r="J85" s="14"/>
      <c r="K85" s="14"/>
      <c r="L85" s="14"/>
      <c r="M85" s="14"/>
      <c r="N85" s="14"/>
      <c r="O85" s="14"/>
      <c r="P85" s="14"/>
      <c r="Q85" s="14"/>
      <c r="R85" s="14"/>
      <c r="S85" s="14"/>
      <c r="T85" s="14"/>
      <c r="U85" s="14"/>
    </row>
    <row r="86">
      <c r="D86" s="114"/>
      <c r="E86" s="114"/>
      <c r="J86" s="14"/>
      <c r="K86" s="14"/>
      <c r="L86" s="14"/>
      <c r="M86" s="14"/>
      <c r="N86" s="14"/>
      <c r="O86" s="14"/>
      <c r="P86" s="14"/>
      <c r="Q86" s="14"/>
      <c r="R86" s="14"/>
      <c r="S86" s="14"/>
      <c r="T86" s="14"/>
      <c r="U86" s="14"/>
    </row>
    <row r="87">
      <c r="D87" s="114"/>
      <c r="E87" s="114"/>
      <c r="J87" s="14"/>
      <c r="K87" s="14"/>
      <c r="L87" s="14"/>
      <c r="M87" s="14"/>
      <c r="N87" s="14"/>
      <c r="O87" s="14"/>
      <c r="P87" s="14"/>
      <c r="Q87" s="14"/>
      <c r="R87" s="14"/>
      <c r="S87" s="14"/>
      <c r="T87" s="14"/>
      <c r="U87" s="14"/>
    </row>
    <row r="88">
      <c r="D88" s="114"/>
      <c r="E88" s="114"/>
      <c r="J88" s="14"/>
      <c r="K88" s="14"/>
      <c r="L88" s="14"/>
      <c r="M88" s="14"/>
      <c r="N88" s="14"/>
      <c r="O88" s="14"/>
      <c r="P88" s="14"/>
      <c r="Q88" s="14"/>
      <c r="R88" s="14"/>
      <c r="S88" s="14"/>
      <c r="T88" s="14"/>
      <c r="U88" s="14"/>
    </row>
    <row r="89">
      <c r="D89" s="114"/>
      <c r="E89" s="114"/>
      <c r="J89" s="14"/>
      <c r="K89" s="14"/>
      <c r="L89" s="14"/>
      <c r="M89" s="14"/>
      <c r="N89" s="14"/>
      <c r="O89" s="14"/>
      <c r="P89" s="14"/>
      <c r="Q89" s="14"/>
      <c r="R89" s="14"/>
      <c r="S89" s="14"/>
      <c r="T89" s="14"/>
      <c r="U89" s="14"/>
    </row>
    <row r="90">
      <c r="D90" s="114"/>
      <c r="E90" s="114"/>
      <c r="J90" s="14"/>
      <c r="K90" s="14"/>
      <c r="L90" s="14"/>
      <c r="M90" s="14"/>
      <c r="N90" s="14"/>
      <c r="O90" s="14"/>
      <c r="P90" s="14"/>
      <c r="Q90" s="14"/>
      <c r="R90" s="14"/>
      <c r="S90" s="14"/>
      <c r="T90" s="14"/>
      <c r="U90" s="14"/>
    </row>
    <row r="91">
      <c r="D91" s="114"/>
      <c r="E91" s="114"/>
      <c r="J91" s="14"/>
      <c r="K91" s="14"/>
      <c r="L91" s="14"/>
      <c r="M91" s="14"/>
      <c r="N91" s="14"/>
      <c r="O91" s="14"/>
      <c r="P91" s="14"/>
      <c r="Q91" s="14"/>
      <c r="R91" s="14"/>
      <c r="S91" s="14"/>
      <c r="T91" s="14"/>
      <c r="U91" s="14"/>
    </row>
    <row r="92">
      <c r="D92" s="114"/>
      <c r="E92" s="114"/>
      <c r="J92" s="14"/>
      <c r="K92" s="14"/>
      <c r="L92" s="14"/>
      <c r="M92" s="14"/>
      <c r="N92" s="14"/>
      <c r="O92" s="14"/>
      <c r="P92" s="14"/>
      <c r="Q92" s="14"/>
      <c r="R92" s="14"/>
      <c r="S92" s="14"/>
      <c r="T92" s="14"/>
      <c r="U92" s="14"/>
    </row>
    <row r="93">
      <c r="D93" s="114"/>
      <c r="E93" s="114"/>
      <c r="J93" s="14"/>
      <c r="K93" s="14"/>
      <c r="L93" s="14"/>
      <c r="M93" s="14"/>
      <c r="N93" s="14"/>
      <c r="O93" s="14"/>
      <c r="P93" s="14"/>
      <c r="Q93" s="14"/>
      <c r="R93" s="14"/>
      <c r="S93" s="14"/>
      <c r="T93" s="14"/>
      <c r="U93" s="14"/>
    </row>
    <row r="94">
      <c r="D94" s="114"/>
      <c r="E94" s="114"/>
      <c r="J94" s="14"/>
      <c r="K94" s="14"/>
      <c r="L94" s="14"/>
      <c r="M94" s="14"/>
      <c r="N94" s="14"/>
      <c r="O94" s="14"/>
      <c r="P94" s="14"/>
      <c r="Q94" s="14"/>
      <c r="R94" s="14"/>
      <c r="S94" s="14"/>
      <c r="T94" s="14"/>
      <c r="U94" s="14"/>
    </row>
    <row r="95">
      <c r="D95" s="114"/>
      <c r="E95" s="114"/>
      <c r="J95" s="14"/>
      <c r="K95" s="14"/>
      <c r="L95" s="14"/>
      <c r="M95" s="14"/>
      <c r="N95" s="14"/>
      <c r="O95" s="14"/>
      <c r="P95" s="14"/>
      <c r="Q95" s="14"/>
      <c r="R95" s="14"/>
      <c r="S95" s="14"/>
      <c r="T95" s="14"/>
      <c r="U95" s="14"/>
    </row>
    <row r="96">
      <c r="D96" s="114"/>
      <c r="E96" s="114"/>
      <c r="J96" s="14"/>
      <c r="K96" s="14"/>
      <c r="L96" s="14"/>
      <c r="M96" s="14"/>
      <c r="N96" s="14"/>
      <c r="O96" s="14"/>
      <c r="P96" s="14"/>
      <c r="Q96" s="14"/>
      <c r="R96" s="14"/>
      <c r="S96" s="14"/>
      <c r="T96" s="14"/>
      <c r="U96" s="14"/>
    </row>
    <row r="97">
      <c r="D97" s="114"/>
      <c r="E97" s="114"/>
      <c r="J97" s="14"/>
      <c r="K97" s="14"/>
      <c r="L97" s="14"/>
      <c r="M97" s="14"/>
      <c r="N97" s="14"/>
      <c r="O97" s="14"/>
      <c r="P97" s="14"/>
      <c r="Q97" s="14"/>
      <c r="R97" s="14"/>
      <c r="S97" s="14"/>
      <c r="T97" s="14"/>
      <c r="U97" s="14"/>
    </row>
    <row r="98">
      <c r="D98" s="114"/>
      <c r="E98" s="114"/>
      <c r="J98" s="14"/>
      <c r="K98" s="14"/>
      <c r="L98" s="14"/>
      <c r="M98" s="14"/>
      <c r="N98" s="14"/>
      <c r="O98" s="14"/>
      <c r="P98" s="14"/>
      <c r="Q98" s="14"/>
      <c r="R98" s="14"/>
      <c r="S98" s="14"/>
      <c r="T98" s="14"/>
      <c r="U98" s="14"/>
    </row>
    <row r="99">
      <c r="D99" s="114"/>
      <c r="E99" s="114"/>
      <c r="J99" s="14"/>
      <c r="K99" s="14"/>
      <c r="L99" s="14"/>
      <c r="M99" s="14"/>
      <c r="N99" s="14"/>
      <c r="O99" s="14"/>
      <c r="P99" s="14"/>
      <c r="Q99" s="14"/>
      <c r="R99" s="14"/>
      <c r="S99" s="14"/>
      <c r="T99" s="14"/>
      <c r="U99" s="14"/>
    </row>
    <row r="100">
      <c r="D100" s="114"/>
      <c r="E100" s="114"/>
      <c r="J100" s="14"/>
      <c r="K100" s="14"/>
      <c r="L100" s="14"/>
      <c r="M100" s="14"/>
      <c r="N100" s="14"/>
      <c r="O100" s="14"/>
      <c r="P100" s="14"/>
      <c r="Q100" s="14"/>
      <c r="R100" s="14"/>
      <c r="S100" s="14"/>
      <c r="T100" s="14"/>
      <c r="U100" s="14"/>
    </row>
    <row r="101">
      <c r="D101" s="114"/>
      <c r="E101" s="114"/>
      <c r="J101" s="14"/>
      <c r="K101" s="14"/>
      <c r="L101" s="14"/>
      <c r="M101" s="14"/>
      <c r="N101" s="14"/>
      <c r="O101" s="14"/>
      <c r="P101" s="14"/>
      <c r="Q101" s="14"/>
      <c r="R101" s="14"/>
      <c r="S101" s="14"/>
      <c r="T101" s="14"/>
      <c r="U101" s="14"/>
    </row>
    <row r="102">
      <c r="D102" s="114"/>
      <c r="E102" s="114"/>
      <c r="J102" s="14"/>
      <c r="K102" s="14"/>
      <c r="L102" s="14"/>
      <c r="M102" s="14"/>
      <c r="N102" s="14"/>
      <c r="O102" s="14"/>
      <c r="P102" s="14"/>
      <c r="Q102" s="14"/>
      <c r="R102" s="14"/>
      <c r="S102" s="14"/>
      <c r="T102" s="14"/>
      <c r="U102" s="14"/>
    </row>
    <row r="103">
      <c r="D103" s="114"/>
      <c r="E103" s="114"/>
      <c r="J103" s="14"/>
      <c r="K103" s="14"/>
      <c r="L103" s="14"/>
      <c r="M103" s="14"/>
      <c r="N103" s="14"/>
      <c r="O103" s="14"/>
      <c r="P103" s="14"/>
      <c r="Q103" s="14"/>
      <c r="R103" s="14"/>
      <c r="S103" s="14"/>
      <c r="T103" s="14"/>
      <c r="U103" s="14"/>
    </row>
    <row r="104">
      <c r="D104" s="114"/>
      <c r="E104" s="114"/>
      <c r="J104" s="14"/>
      <c r="K104" s="14"/>
      <c r="L104" s="14"/>
      <c r="M104" s="14"/>
      <c r="N104" s="14"/>
      <c r="O104" s="14"/>
      <c r="P104" s="14"/>
      <c r="Q104" s="14"/>
      <c r="R104" s="14"/>
      <c r="S104" s="14"/>
      <c r="T104" s="14"/>
      <c r="U104" s="14"/>
    </row>
    <row r="105">
      <c r="D105" s="114"/>
      <c r="E105" s="114"/>
      <c r="J105" s="14"/>
      <c r="K105" s="14"/>
      <c r="L105" s="14"/>
      <c r="M105" s="14"/>
      <c r="N105" s="14"/>
      <c r="O105" s="14"/>
      <c r="P105" s="14"/>
      <c r="Q105" s="14"/>
      <c r="R105" s="14"/>
      <c r="S105" s="14"/>
      <c r="T105" s="14"/>
      <c r="U105" s="14"/>
    </row>
    <row r="106">
      <c r="D106" s="114"/>
      <c r="E106" s="114"/>
      <c r="J106" s="14"/>
      <c r="K106" s="14"/>
      <c r="L106" s="14"/>
      <c r="M106" s="14"/>
      <c r="N106" s="14"/>
      <c r="O106" s="14"/>
      <c r="P106" s="14"/>
      <c r="Q106" s="14"/>
      <c r="R106" s="14"/>
      <c r="S106" s="14"/>
      <c r="T106" s="14"/>
      <c r="U106" s="14"/>
    </row>
    <row r="107">
      <c r="D107" s="114"/>
      <c r="E107" s="114"/>
      <c r="J107" s="14"/>
      <c r="K107" s="14"/>
      <c r="L107" s="14"/>
      <c r="M107" s="14"/>
      <c r="N107" s="14"/>
      <c r="O107" s="14"/>
      <c r="P107" s="14"/>
      <c r="Q107" s="14"/>
      <c r="R107" s="14"/>
      <c r="S107" s="14"/>
      <c r="T107" s="14"/>
      <c r="U107" s="14"/>
    </row>
    <row r="108">
      <c r="D108" s="114"/>
      <c r="E108" s="114"/>
      <c r="J108" s="14"/>
      <c r="K108" s="14"/>
      <c r="L108" s="14"/>
      <c r="M108" s="14"/>
      <c r="N108" s="14"/>
      <c r="O108" s="14"/>
      <c r="P108" s="14"/>
      <c r="Q108" s="14"/>
      <c r="R108" s="14"/>
      <c r="S108" s="14"/>
      <c r="T108" s="14"/>
      <c r="U108" s="14"/>
    </row>
    <row r="109">
      <c r="D109" s="114"/>
      <c r="E109" s="114"/>
      <c r="J109" s="14"/>
      <c r="K109" s="14"/>
      <c r="L109" s="14"/>
      <c r="M109" s="14"/>
      <c r="N109" s="14"/>
      <c r="O109" s="14"/>
      <c r="P109" s="14"/>
      <c r="Q109" s="14"/>
      <c r="R109" s="14"/>
      <c r="S109" s="14"/>
      <c r="T109" s="14"/>
      <c r="U109" s="14"/>
    </row>
    <row r="110">
      <c r="D110" s="114"/>
      <c r="E110" s="114"/>
      <c r="J110" s="14"/>
      <c r="K110" s="14"/>
      <c r="L110" s="14"/>
      <c r="M110" s="14"/>
      <c r="N110" s="14"/>
      <c r="O110" s="14"/>
      <c r="P110" s="14"/>
      <c r="Q110" s="14"/>
      <c r="R110" s="14"/>
      <c r="S110" s="14"/>
      <c r="T110" s="14"/>
      <c r="U110" s="14"/>
    </row>
    <row r="111">
      <c r="D111" s="114"/>
      <c r="E111" s="114"/>
      <c r="J111" s="14"/>
      <c r="K111" s="14"/>
      <c r="L111" s="14"/>
      <c r="M111" s="14"/>
      <c r="N111" s="14"/>
      <c r="O111" s="14"/>
      <c r="P111" s="14"/>
      <c r="Q111" s="14"/>
      <c r="R111" s="14"/>
      <c r="S111" s="14"/>
      <c r="T111" s="14"/>
      <c r="U111" s="14"/>
    </row>
    <row r="112">
      <c r="D112" s="114"/>
      <c r="E112" s="114"/>
      <c r="J112" s="14"/>
      <c r="K112" s="14"/>
      <c r="L112" s="14"/>
      <c r="M112" s="14"/>
      <c r="N112" s="14"/>
      <c r="O112" s="14"/>
      <c r="P112" s="14"/>
      <c r="Q112" s="14"/>
      <c r="R112" s="14"/>
      <c r="S112" s="14"/>
      <c r="T112" s="14"/>
      <c r="U112" s="14"/>
    </row>
    <row r="113">
      <c r="D113" s="114"/>
      <c r="E113" s="114"/>
      <c r="J113" s="14"/>
      <c r="K113" s="14"/>
      <c r="L113" s="14"/>
      <c r="M113" s="14"/>
      <c r="N113" s="14"/>
      <c r="O113" s="14"/>
      <c r="P113" s="14"/>
      <c r="Q113" s="14"/>
      <c r="R113" s="14"/>
      <c r="S113" s="14"/>
      <c r="T113" s="14"/>
      <c r="U113" s="14"/>
    </row>
    <row r="114">
      <c r="D114" s="114"/>
      <c r="E114" s="114"/>
      <c r="J114" s="14"/>
      <c r="K114" s="14"/>
      <c r="L114" s="14"/>
      <c r="M114" s="14"/>
      <c r="N114" s="14"/>
      <c r="O114" s="14"/>
      <c r="P114" s="14"/>
      <c r="Q114" s="14"/>
      <c r="R114" s="14"/>
      <c r="S114" s="14"/>
      <c r="T114" s="14"/>
      <c r="U114" s="14"/>
    </row>
    <row r="115">
      <c r="D115" s="114"/>
      <c r="E115" s="114"/>
      <c r="J115" s="14"/>
      <c r="K115" s="14"/>
      <c r="L115" s="14"/>
      <c r="M115" s="14"/>
      <c r="N115" s="14"/>
      <c r="O115" s="14"/>
      <c r="P115" s="14"/>
      <c r="Q115" s="14"/>
      <c r="R115" s="14"/>
      <c r="S115" s="14"/>
      <c r="T115" s="14"/>
      <c r="U115" s="14"/>
    </row>
    <row r="116">
      <c r="D116" s="114"/>
      <c r="E116" s="114"/>
      <c r="J116" s="14"/>
      <c r="K116" s="14"/>
      <c r="L116" s="14"/>
      <c r="M116" s="14"/>
      <c r="N116" s="14"/>
      <c r="O116" s="14"/>
      <c r="P116" s="14"/>
      <c r="Q116" s="14"/>
      <c r="R116" s="14"/>
      <c r="S116" s="14"/>
      <c r="T116" s="14"/>
      <c r="U116" s="14"/>
    </row>
    <row r="117">
      <c r="D117" s="114"/>
      <c r="E117" s="114"/>
      <c r="J117" s="14"/>
      <c r="K117" s="14"/>
      <c r="L117" s="14"/>
      <c r="M117" s="14"/>
      <c r="N117" s="14"/>
      <c r="O117" s="14"/>
      <c r="P117" s="14"/>
      <c r="Q117" s="14"/>
      <c r="R117" s="14"/>
      <c r="S117" s="14"/>
      <c r="T117" s="14"/>
      <c r="U117" s="14"/>
    </row>
    <row r="118">
      <c r="D118" s="114"/>
      <c r="E118" s="114"/>
      <c r="J118" s="14"/>
      <c r="K118" s="14"/>
      <c r="L118" s="14"/>
      <c r="M118" s="14"/>
      <c r="N118" s="14"/>
      <c r="O118" s="14"/>
      <c r="P118" s="14"/>
      <c r="Q118" s="14"/>
      <c r="R118" s="14"/>
      <c r="S118" s="14"/>
      <c r="T118" s="14"/>
      <c r="U118" s="14"/>
    </row>
    <row r="119">
      <c r="D119" s="114"/>
      <c r="E119" s="114"/>
      <c r="J119" s="14"/>
      <c r="K119" s="14"/>
      <c r="L119" s="14"/>
      <c r="M119" s="14"/>
      <c r="N119" s="14"/>
      <c r="O119" s="14"/>
      <c r="P119" s="14"/>
      <c r="Q119" s="14"/>
      <c r="R119" s="14"/>
      <c r="S119" s="14"/>
      <c r="T119" s="14"/>
      <c r="U119" s="14"/>
    </row>
    <row r="120">
      <c r="D120" s="114"/>
      <c r="E120" s="114"/>
      <c r="J120" s="14"/>
      <c r="K120" s="14"/>
      <c r="L120" s="14"/>
      <c r="M120" s="14"/>
      <c r="N120" s="14"/>
      <c r="O120" s="14"/>
      <c r="P120" s="14"/>
      <c r="Q120" s="14"/>
      <c r="R120" s="14"/>
      <c r="S120" s="14"/>
      <c r="T120" s="14"/>
      <c r="U120" s="14"/>
    </row>
    <row r="121">
      <c r="D121" s="114"/>
      <c r="E121" s="114"/>
      <c r="J121" s="14"/>
      <c r="K121" s="14"/>
      <c r="L121" s="14"/>
      <c r="M121" s="14"/>
      <c r="N121" s="14"/>
      <c r="O121" s="14"/>
      <c r="P121" s="14"/>
      <c r="Q121" s="14"/>
      <c r="R121" s="14"/>
      <c r="S121" s="14"/>
      <c r="T121" s="14"/>
      <c r="U121" s="14"/>
    </row>
    <row r="122">
      <c r="D122" s="114"/>
      <c r="E122" s="114"/>
      <c r="J122" s="14"/>
      <c r="K122" s="14"/>
      <c r="L122" s="14"/>
      <c r="M122" s="14"/>
      <c r="N122" s="14"/>
      <c r="O122" s="14"/>
      <c r="P122" s="14"/>
      <c r="Q122" s="14"/>
      <c r="R122" s="14"/>
      <c r="S122" s="14"/>
      <c r="T122" s="14"/>
      <c r="U122" s="14"/>
    </row>
    <row r="123">
      <c r="D123" s="114"/>
      <c r="E123" s="114"/>
      <c r="J123" s="14"/>
      <c r="K123" s="14"/>
      <c r="L123" s="14"/>
      <c r="M123" s="14"/>
      <c r="N123" s="14"/>
      <c r="O123" s="14"/>
      <c r="P123" s="14"/>
      <c r="Q123" s="14"/>
      <c r="R123" s="14"/>
      <c r="S123" s="14"/>
      <c r="T123" s="14"/>
      <c r="U123" s="14"/>
    </row>
    <row r="124">
      <c r="D124" s="114"/>
      <c r="E124" s="114"/>
      <c r="J124" s="14"/>
      <c r="K124" s="14"/>
      <c r="L124" s="14"/>
      <c r="M124" s="14"/>
      <c r="N124" s="14"/>
      <c r="O124" s="14"/>
      <c r="P124" s="14"/>
      <c r="Q124" s="14"/>
      <c r="R124" s="14"/>
      <c r="S124" s="14"/>
      <c r="T124" s="14"/>
      <c r="U124" s="14"/>
    </row>
    <row r="125">
      <c r="D125" s="114"/>
      <c r="E125" s="114"/>
      <c r="J125" s="14"/>
      <c r="K125" s="14"/>
      <c r="L125" s="14"/>
      <c r="M125" s="14"/>
      <c r="N125" s="14"/>
      <c r="O125" s="14"/>
      <c r="P125" s="14"/>
      <c r="Q125" s="14"/>
      <c r="R125" s="14"/>
      <c r="S125" s="14"/>
      <c r="T125" s="14"/>
      <c r="U125" s="14"/>
    </row>
    <row r="126">
      <c r="D126" s="114"/>
      <c r="E126" s="114"/>
      <c r="J126" s="14"/>
      <c r="K126" s="14"/>
      <c r="L126" s="14"/>
      <c r="M126" s="14"/>
      <c r="N126" s="14"/>
      <c r="O126" s="14"/>
      <c r="P126" s="14"/>
      <c r="Q126" s="14"/>
      <c r="R126" s="14"/>
      <c r="S126" s="14"/>
      <c r="T126" s="14"/>
      <c r="U126" s="14"/>
    </row>
    <row r="127">
      <c r="D127" s="114"/>
      <c r="E127" s="114"/>
      <c r="J127" s="14"/>
      <c r="K127" s="14"/>
      <c r="L127" s="14"/>
      <c r="M127" s="14"/>
      <c r="N127" s="14"/>
      <c r="O127" s="14"/>
      <c r="P127" s="14"/>
      <c r="Q127" s="14"/>
      <c r="R127" s="14"/>
      <c r="S127" s="14"/>
      <c r="T127" s="14"/>
      <c r="U127" s="14"/>
    </row>
    <row r="128">
      <c r="D128" s="114"/>
      <c r="E128" s="114"/>
      <c r="J128" s="14"/>
      <c r="K128" s="14"/>
      <c r="L128" s="14"/>
      <c r="M128" s="14"/>
      <c r="N128" s="14"/>
      <c r="O128" s="14"/>
      <c r="P128" s="14"/>
      <c r="Q128" s="14"/>
      <c r="R128" s="14"/>
      <c r="S128" s="14"/>
      <c r="T128" s="14"/>
      <c r="U128" s="14"/>
    </row>
    <row r="129">
      <c r="D129" s="114"/>
      <c r="E129" s="114"/>
      <c r="J129" s="14"/>
      <c r="K129" s="14"/>
      <c r="L129" s="14"/>
      <c r="M129" s="14"/>
      <c r="N129" s="14"/>
      <c r="O129" s="14"/>
      <c r="P129" s="14"/>
      <c r="Q129" s="14"/>
      <c r="R129" s="14"/>
      <c r="S129" s="14"/>
      <c r="T129" s="14"/>
      <c r="U129" s="14"/>
    </row>
    <row r="130">
      <c r="D130" s="114"/>
      <c r="E130" s="114"/>
      <c r="J130" s="14"/>
      <c r="K130" s="14"/>
      <c r="L130" s="14"/>
      <c r="M130" s="14"/>
      <c r="N130" s="14"/>
      <c r="O130" s="14"/>
      <c r="P130" s="14"/>
      <c r="Q130" s="14"/>
      <c r="R130" s="14"/>
      <c r="S130" s="14"/>
      <c r="T130" s="14"/>
      <c r="U130" s="14"/>
    </row>
    <row r="131">
      <c r="D131" s="114"/>
      <c r="E131" s="114"/>
      <c r="J131" s="14"/>
      <c r="K131" s="14"/>
      <c r="L131" s="14"/>
      <c r="M131" s="14"/>
      <c r="N131" s="14"/>
      <c r="O131" s="14"/>
      <c r="P131" s="14"/>
      <c r="Q131" s="14"/>
      <c r="R131" s="14"/>
      <c r="S131" s="14"/>
      <c r="T131" s="14"/>
      <c r="U131" s="14"/>
    </row>
    <row r="132">
      <c r="D132" s="114"/>
      <c r="E132" s="114"/>
      <c r="J132" s="14"/>
      <c r="K132" s="14"/>
      <c r="L132" s="14"/>
      <c r="M132" s="14"/>
      <c r="N132" s="14"/>
      <c r="O132" s="14"/>
      <c r="P132" s="14"/>
      <c r="Q132" s="14"/>
      <c r="R132" s="14"/>
      <c r="S132" s="14"/>
      <c r="T132" s="14"/>
      <c r="U132" s="14"/>
    </row>
    <row r="133">
      <c r="D133" s="114"/>
      <c r="E133" s="114"/>
      <c r="J133" s="14"/>
      <c r="K133" s="14"/>
      <c r="L133" s="14"/>
      <c r="M133" s="14"/>
      <c r="N133" s="14"/>
      <c r="O133" s="14"/>
      <c r="P133" s="14"/>
      <c r="Q133" s="14"/>
      <c r="R133" s="14"/>
      <c r="S133" s="14"/>
      <c r="T133" s="14"/>
      <c r="U133" s="14"/>
    </row>
    <row r="134">
      <c r="D134" s="114"/>
      <c r="E134" s="114"/>
      <c r="J134" s="14"/>
      <c r="K134" s="14"/>
      <c r="L134" s="14"/>
      <c r="M134" s="14"/>
      <c r="N134" s="14"/>
      <c r="O134" s="14"/>
      <c r="P134" s="14"/>
      <c r="Q134" s="14"/>
      <c r="R134" s="14"/>
      <c r="S134" s="14"/>
      <c r="T134" s="14"/>
      <c r="U134" s="14"/>
    </row>
    <row r="135">
      <c r="D135" s="114"/>
      <c r="E135" s="114"/>
      <c r="J135" s="14"/>
      <c r="K135" s="14"/>
      <c r="L135" s="14"/>
      <c r="M135" s="14"/>
      <c r="N135" s="14"/>
      <c r="O135" s="14"/>
      <c r="P135" s="14"/>
      <c r="Q135" s="14"/>
      <c r="R135" s="14"/>
      <c r="S135" s="14"/>
      <c r="T135" s="14"/>
      <c r="U135" s="14"/>
    </row>
    <row r="136">
      <c r="D136" s="114"/>
      <c r="E136" s="114"/>
      <c r="J136" s="14"/>
      <c r="K136" s="14"/>
      <c r="L136" s="14"/>
      <c r="M136" s="14"/>
      <c r="N136" s="14"/>
      <c r="O136" s="14"/>
      <c r="P136" s="14"/>
      <c r="Q136" s="14"/>
      <c r="R136" s="14"/>
      <c r="S136" s="14"/>
      <c r="T136" s="14"/>
      <c r="U136" s="14"/>
    </row>
    <row r="137">
      <c r="D137" s="114"/>
      <c r="E137" s="114"/>
      <c r="J137" s="14"/>
      <c r="K137" s="14"/>
      <c r="L137" s="14"/>
      <c r="M137" s="14"/>
      <c r="N137" s="14"/>
      <c r="O137" s="14"/>
      <c r="P137" s="14"/>
      <c r="Q137" s="14"/>
      <c r="R137" s="14"/>
      <c r="S137" s="14"/>
      <c r="T137" s="14"/>
      <c r="U137" s="14"/>
    </row>
    <row r="138">
      <c r="D138" s="114"/>
      <c r="E138" s="114"/>
      <c r="J138" s="14"/>
      <c r="K138" s="14"/>
      <c r="L138" s="14"/>
      <c r="M138" s="14"/>
      <c r="N138" s="14"/>
      <c r="O138" s="14"/>
      <c r="P138" s="14"/>
      <c r="Q138" s="14"/>
      <c r="R138" s="14"/>
      <c r="S138" s="14"/>
      <c r="T138" s="14"/>
      <c r="U138" s="14"/>
    </row>
    <row r="139">
      <c r="D139" s="114"/>
      <c r="E139" s="114"/>
      <c r="J139" s="14"/>
      <c r="K139" s="14"/>
      <c r="L139" s="14"/>
      <c r="M139" s="14"/>
      <c r="N139" s="14"/>
      <c r="O139" s="14"/>
      <c r="P139" s="14"/>
      <c r="Q139" s="14"/>
      <c r="R139" s="14"/>
      <c r="S139" s="14"/>
      <c r="T139" s="14"/>
      <c r="U139" s="14"/>
    </row>
    <row r="140">
      <c r="D140" s="114"/>
      <c r="E140" s="114"/>
      <c r="J140" s="14"/>
      <c r="K140" s="14"/>
      <c r="L140" s="14"/>
      <c r="M140" s="14"/>
      <c r="N140" s="14"/>
      <c r="O140" s="14"/>
      <c r="P140" s="14"/>
      <c r="Q140" s="14"/>
      <c r="R140" s="14"/>
      <c r="S140" s="14"/>
      <c r="T140" s="14"/>
      <c r="U140" s="14"/>
    </row>
    <row r="141">
      <c r="D141" s="114"/>
      <c r="E141" s="114"/>
      <c r="J141" s="14"/>
      <c r="K141" s="14"/>
      <c r="L141" s="14"/>
      <c r="M141" s="14"/>
      <c r="N141" s="14"/>
      <c r="O141" s="14"/>
      <c r="P141" s="14"/>
      <c r="Q141" s="14"/>
      <c r="R141" s="14"/>
      <c r="S141" s="14"/>
      <c r="T141" s="14"/>
      <c r="U141" s="14"/>
    </row>
    <row r="142">
      <c r="D142" s="114"/>
      <c r="E142" s="114"/>
      <c r="J142" s="14"/>
      <c r="K142" s="14"/>
      <c r="L142" s="14"/>
      <c r="M142" s="14"/>
      <c r="N142" s="14"/>
      <c r="O142" s="14"/>
      <c r="P142" s="14"/>
      <c r="Q142" s="14"/>
      <c r="R142" s="14"/>
      <c r="S142" s="14"/>
      <c r="T142" s="14"/>
      <c r="U142" s="14"/>
    </row>
    <row r="143">
      <c r="D143" s="114"/>
      <c r="E143" s="114"/>
      <c r="J143" s="14"/>
      <c r="K143" s="14"/>
      <c r="L143" s="14"/>
      <c r="M143" s="14"/>
      <c r="N143" s="14"/>
      <c r="O143" s="14"/>
      <c r="P143" s="14"/>
      <c r="Q143" s="14"/>
      <c r="R143" s="14"/>
      <c r="S143" s="14"/>
      <c r="T143" s="14"/>
      <c r="U143" s="14"/>
    </row>
    <row r="144">
      <c r="D144" s="114"/>
      <c r="E144" s="114"/>
      <c r="J144" s="14"/>
      <c r="K144" s="14"/>
      <c r="L144" s="14"/>
      <c r="M144" s="14"/>
      <c r="N144" s="14"/>
      <c r="O144" s="14"/>
      <c r="P144" s="14"/>
      <c r="Q144" s="14"/>
      <c r="R144" s="14"/>
      <c r="S144" s="14"/>
      <c r="T144" s="14"/>
      <c r="U144" s="14"/>
    </row>
    <row r="145">
      <c r="D145" s="114"/>
      <c r="E145" s="114"/>
      <c r="J145" s="14"/>
      <c r="K145" s="14"/>
      <c r="L145" s="14"/>
      <c r="M145" s="14"/>
      <c r="N145" s="14"/>
      <c r="O145" s="14"/>
      <c r="P145" s="14"/>
      <c r="Q145" s="14"/>
      <c r="R145" s="14"/>
      <c r="S145" s="14"/>
      <c r="T145" s="14"/>
      <c r="U145" s="14"/>
    </row>
    <row r="146">
      <c r="D146" s="114"/>
      <c r="E146" s="114"/>
      <c r="J146" s="14"/>
      <c r="K146" s="14"/>
      <c r="L146" s="14"/>
      <c r="M146" s="14"/>
      <c r="N146" s="14"/>
      <c r="O146" s="14"/>
      <c r="P146" s="14"/>
      <c r="Q146" s="14"/>
      <c r="R146" s="14"/>
      <c r="S146" s="14"/>
      <c r="T146" s="14"/>
      <c r="U146" s="14"/>
    </row>
    <row r="147">
      <c r="D147" s="114"/>
      <c r="E147" s="114"/>
      <c r="J147" s="14"/>
      <c r="K147" s="14"/>
      <c r="L147" s="14"/>
      <c r="M147" s="14"/>
      <c r="N147" s="14"/>
      <c r="O147" s="14"/>
      <c r="P147" s="14"/>
      <c r="Q147" s="14"/>
      <c r="R147" s="14"/>
      <c r="S147" s="14"/>
      <c r="T147" s="14"/>
      <c r="U147" s="14"/>
    </row>
    <row r="148">
      <c r="D148" s="114"/>
      <c r="E148" s="114"/>
      <c r="J148" s="14"/>
      <c r="K148" s="14"/>
      <c r="L148" s="14"/>
      <c r="M148" s="14"/>
      <c r="N148" s="14"/>
      <c r="O148" s="14"/>
      <c r="P148" s="14"/>
      <c r="Q148" s="14"/>
      <c r="R148" s="14"/>
      <c r="S148" s="14"/>
      <c r="T148" s="14"/>
      <c r="U148" s="14"/>
    </row>
    <row r="149">
      <c r="D149" s="114"/>
      <c r="E149" s="114"/>
      <c r="J149" s="14"/>
      <c r="K149" s="14"/>
      <c r="L149" s="14"/>
      <c r="M149" s="14"/>
      <c r="N149" s="14"/>
      <c r="O149" s="14"/>
      <c r="P149" s="14"/>
      <c r="Q149" s="14"/>
      <c r="R149" s="14"/>
      <c r="S149" s="14"/>
      <c r="T149" s="14"/>
      <c r="U149" s="14"/>
    </row>
    <row r="150">
      <c r="D150" s="114"/>
      <c r="E150" s="114"/>
      <c r="J150" s="14"/>
      <c r="K150" s="14"/>
      <c r="L150" s="14"/>
      <c r="M150" s="14"/>
      <c r="N150" s="14"/>
      <c r="O150" s="14"/>
      <c r="P150" s="14"/>
      <c r="Q150" s="14"/>
      <c r="R150" s="14"/>
      <c r="S150" s="14"/>
      <c r="T150" s="14"/>
      <c r="U150" s="14"/>
    </row>
    <row r="151">
      <c r="D151" s="114"/>
      <c r="E151" s="114"/>
      <c r="J151" s="14"/>
      <c r="K151" s="14"/>
      <c r="L151" s="14"/>
      <c r="M151" s="14"/>
      <c r="N151" s="14"/>
      <c r="O151" s="14"/>
      <c r="P151" s="14"/>
      <c r="Q151" s="14"/>
      <c r="R151" s="14"/>
      <c r="S151" s="14"/>
      <c r="T151" s="14"/>
      <c r="U151" s="14"/>
    </row>
    <row r="152">
      <c r="D152" s="114"/>
      <c r="E152" s="114"/>
      <c r="J152" s="14"/>
      <c r="K152" s="14"/>
      <c r="L152" s="14"/>
      <c r="M152" s="14"/>
      <c r="N152" s="14"/>
      <c r="O152" s="14"/>
      <c r="P152" s="14"/>
      <c r="Q152" s="14"/>
      <c r="R152" s="14"/>
      <c r="S152" s="14"/>
      <c r="T152" s="14"/>
      <c r="U152" s="14"/>
    </row>
    <row r="153">
      <c r="D153" s="114"/>
      <c r="E153" s="114"/>
      <c r="J153" s="14"/>
      <c r="K153" s="14"/>
      <c r="L153" s="14"/>
      <c r="M153" s="14"/>
      <c r="N153" s="14"/>
      <c r="O153" s="14"/>
      <c r="P153" s="14"/>
      <c r="Q153" s="14"/>
      <c r="R153" s="14"/>
      <c r="S153" s="14"/>
      <c r="T153" s="14"/>
      <c r="U153" s="14"/>
    </row>
    <row r="154">
      <c r="D154" s="114"/>
      <c r="E154" s="114"/>
      <c r="J154" s="14"/>
      <c r="K154" s="14"/>
      <c r="L154" s="14"/>
      <c r="M154" s="14"/>
      <c r="N154" s="14"/>
      <c r="O154" s="14"/>
      <c r="P154" s="14"/>
      <c r="Q154" s="14"/>
      <c r="R154" s="14"/>
      <c r="S154" s="14"/>
      <c r="T154" s="14"/>
      <c r="U154" s="14"/>
    </row>
    <row r="155">
      <c r="D155" s="114"/>
      <c r="E155" s="114"/>
      <c r="J155" s="14"/>
      <c r="K155" s="14"/>
      <c r="L155" s="14"/>
      <c r="M155" s="14"/>
      <c r="N155" s="14"/>
      <c r="O155" s="14"/>
      <c r="P155" s="14"/>
      <c r="Q155" s="14"/>
      <c r="R155" s="14"/>
      <c r="S155" s="14"/>
      <c r="T155" s="14"/>
      <c r="U155" s="14"/>
    </row>
    <row r="156">
      <c r="D156" s="114"/>
      <c r="E156" s="114"/>
      <c r="J156" s="14"/>
      <c r="K156" s="14"/>
      <c r="L156" s="14"/>
      <c r="M156" s="14"/>
      <c r="N156" s="14"/>
      <c r="O156" s="14"/>
      <c r="P156" s="14"/>
      <c r="Q156" s="14"/>
      <c r="R156" s="14"/>
      <c r="S156" s="14"/>
      <c r="T156" s="14"/>
      <c r="U156" s="14"/>
    </row>
    <row r="157">
      <c r="D157" s="114"/>
      <c r="E157" s="114"/>
      <c r="J157" s="14"/>
      <c r="K157" s="14"/>
      <c r="L157" s="14"/>
      <c r="M157" s="14"/>
      <c r="N157" s="14"/>
      <c r="O157" s="14"/>
      <c r="P157" s="14"/>
      <c r="Q157" s="14"/>
      <c r="R157" s="14"/>
      <c r="S157" s="14"/>
      <c r="T157" s="14"/>
      <c r="U157" s="14"/>
    </row>
    <row r="158">
      <c r="D158" s="114"/>
      <c r="E158" s="114"/>
      <c r="J158" s="14"/>
      <c r="K158" s="14"/>
      <c r="L158" s="14"/>
      <c r="M158" s="14"/>
      <c r="N158" s="14"/>
      <c r="O158" s="14"/>
      <c r="P158" s="14"/>
      <c r="Q158" s="14"/>
      <c r="R158" s="14"/>
      <c r="S158" s="14"/>
      <c r="T158" s="14"/>
      <c r="U158" s="14"/>
    </row>
    <row r="159">
      <c r="D159" s="114"/>
      <c r="E159" s="114"/>
      <c r="J159" s="14"/>
      <c r="K159" s="14"/>
      <c r="L159" s="14"/>
      <c r="M159" s="14"/>
      <c r="N159" s="14"/>
      <c r="O159" s="14"/>
      <c r="P159" s="14"/>
      <c r="Q159" s="14"/>
      <c r="R159" s="14"/>
      <c r="S159" s="14"/>
      <c r="T159" s="14"/>
      <c r="U159" s="14"/>
    </row>
    <row r="160">
      <c r="D160" s="114"/>
      <c r="E160" s="114"/>
      <c r="J160" s="14"/>
      <c r="K160" s="14"/>
      <c r="L160" s="14"/>
      <c r="M160" s="14"/>
      <c r="N160" s="14"/>
      <c r="O160" s="14"/>
      <c r="P160" s="14"/>
      <c r="Q160" s="14"/>
      <c r="R160" s="14"/>
      <c r="S160" s="14"/>
      <c r="T160" s="14"/>
      <c r="U160" s="14"/>
    </row>
    <row r="161">
      <c r="D161" s="114"/>
      <c r="E161" s="114"/>
      <c r="J161" s="14"/>
      <c r="K161" s="14"/>
      <c r="L161" s="14"/>
      <c r="M161" s="14"/>
      <c r="N161" s="14"/>
      <c r="O161" s="14"/>
      <c r="P161" s="14"/>
      <c r="Q161" s="14"/>
      <c r="R161" s="14"/>
      <c r="S161" s="14"/>
      <c r="T161" s="14"/>
      <c r="U161" s="14"/>
    </row>
    <row r="162">
      <c r="D162" s="114"/>
      <c r="E162" s="114"/>
      <c r="J162" s="14"/>
      <c r="K162" s="14"/>
      <c r="L162" s="14"/>
      <c r="M162" s="14"/>
      <c r="N162" s="14"/>
      <c r="O162" s="14"/>
      <c r="P162" s="14"/>
      <c r="Q162" s="14"/>
      <c r="R162" s="14"/>
      <c r="S162" s="14"/>
      <c r="T162" s="14"/>
      <c r="U162" s="14"/>
    </row>
    <row r="163">
      <c r="D163" s="114"/>
      <c r="E163" s="114"/>
      <c r="J163" s="14"/>
      <c r="K163" s="14"/>
      <c r="L163" s="14"/>
      <c r="M163" s="14"/>
      <c r="N163" s="14"/>
      <c r="O163" s="14"/>
      <c r="P163" s="14"/>
      <c r="Q163" s="14"/>
      <c r="R163" s="14"/>
      <c r="S163" s="14"/>
      <c r="T163" s="14"/>
      <c r="U163" s="14"/>
    </row>
    <row r="164">
      <c r="D164" s="114"/>
      <c r="E164" s="114"/>
      <c r="J164" s="14"/>
      <c r="K164" s="14"/>
      <c r="L164" s="14"/>
      <c r="M164" s="14"/>
      <c r="N164" s="14"/>
      <c r="O164" s="14"/>
      <c r="P164" s="14"/>
      <c r="Q164" s="14"/>
      <c r="R164" s="14"/>
      <c r="S164" s="14"/>
      <c r="T164" s="14"/>
      <c r="U164" s="14"/>
    </row>
    <row r="165">
      <c r="D165" s="114"/>
      <c r="E165" s="114"/>
      <c r="J165" s="14"/>
      <c r="K165" s="14"/>
      <c r="L165" s="14"/>
      <c r="M165" s="14"/>
      <c r="N165" s="14"/>
      <c r="O165" s="14"/>
      <c r="P165" s="14"/>
      <c r="Q165" s="14"/>
      <c r="R165" s="14"/>
      <c r="S165" s="14"/>
      <c r="T165" s="14"/>
      <c r="U165" s="14"/>
    </row>
    <row r="166">
      <c r="D166" s="114"/>
      <c r="E166" s="114"/>
      <c r="J166" s="14"/>
      <c r="K166" s="14"/>
      <c r="L166" s="14"/>
      <c r="M166" s="14"/>
      <c r="N166" s="14"/>
      <c r="O166" s="14"/>
      <c r="P166" s="14"/>
      <c r="Q166" s="14"/>
      <c r="R166" s="14"/>
      <c r="S166" s="14"/>
      <c r="T166" s="14"/>
      <c r="U166" s="14"/>
    </row>
    <row r="167">
      <c r="D167" s="114"/>
      <c r="E167" s="114"/>
      <c r="J167" s="14"/>
      <c r="K167" s="14"/>
      <c r="L167" s="14"/>
      <c r="M167" s="14"/>
      <c r="N167" s="14"/>
      <c r="O167" s="14"/>
      <c r="P167" s="14"/>
      <c r="Q167" s="14"/>
      <c r="R167" s="14"/>
      <c r="S167" s="14"/>
      <c r="T167" s="14"/>
      <c r="U167" s="14"/>
    </row>
    <row r="168">
      <c r="D168" s="114"/>
      <c r="E168" s="114"/>
      <c r="J168" s="14"/>
      <c r="K168" s="14"/>
      <c r="L168" s="14"/>
      <c r="M168" s="14"/>
      <c r="N168" s="14"/>
      <c r="O168" s="14"/>
      <c r="P168" s="14"/>
      <c r="Q168" s="14"/>
      <c r="R168" s="14"/>
      <c r="S168" s="14"/>
      <c r="T168" s="14"/>
      <c r="U168" s="14"/>
    </row>
    <row r="169">
      <c r="D169" s="114"/>
      <c r="E169" s="114"/>
      <c r="J169" s="14"/>
      <c r="K169" s="14"/>
      <c r="L169" s="14"/>
      <c r="M169" s="14"/>
      <c r="N169" s="14"/>
      <c r="O169" s="14"/>
      <c r="P169" s="14"/>
      <c r="Q169" s="14"/>
      <c r="R169" s="14"/>
      <c r="S169" s="14"/>
      <c r="T169" s="14"/>
      <c r="U169" s="14"/>
    </row>
    <row r="170">
      <c r="D170" s="114"/>
      <c r="E170" s="114"/>
      <c r="J170" s="14"/>
      <c r="K170" s="14"/>
      <c r="L170" s="14"/>
      <c r="M170" s="14"/>
      <c r="N170" s="14"/>
      <c r="O170" s="14"/>
      <c r="P170" s="14"/>
      <c r="Q170" s="14"/>
      <c r="R170" s="14"/>
      <c r="S170" s="14"/>
      <c r="T170" s="14"/>
      <c r="U170" s="14"/>
    </row>
    <row r="171">
      <c r="D171" s="114"/>
      <c r="E171" s="114"/>
      <c r="J171" s="14"/>
      <c r="K171" s="14"/>
      <c r="L171" s="14"/>
      <c r="M171" s="14"/>
      <c r="N171" s="14"/>
      <c r="O171" s="14"/>
      <c r="P171" s="14"/>
      <c r="Q171" s="14"/>
      <c r="R171" s="14"/>
      <c r="S171" s="14"/>
      <c r="T171" s="14"/>
      <c r="U171" s="14"/>
    </row>
    <row r="172">
      <c r="D172" s="114"/>
      <c r="E172" s="114"/>
      <c r="J172" s="14"/>
      <c r="K172" s="14"/>
      <c r="L172" s="14"/>
      <c r="M172" s="14"/>
      <c r="N172" s="14"/>
      <c r="O172" s="14"/>
      <c r="P172" s="14"/>
      <c r="Q172" s="14"/>
      <c r="R172" s="14"/>
      <c r="S172" s="14"/>
      <c r="T172" s="14"/>
      <c r="U172" s="14"/>
    </row>
    <row r="173">
      <c r="D173" s="114"/>
      <c r="E173" s="114"/>
      <c r="J173" s="14"/>
      <c r="K173" s="14"/>
      <c r="L173" s="14"/>
      <c r="M173" s="14"/>
      <c r="N173" s="14"/>
      <c r="O173" s="14"/>
      <c r="P173" s="14"/>
      <c r="Q173" s="14"/>
      <c r="R173" s="14"/>
      <c r="S173" s="14"/>
      <c r="T173" s="14"/>
      <c r="U173" s="14"/>
    </row>
    <row r="174">
      <c r="D174" s="114"/>
      <c r="E174" s="114"/>
      <c r="J174" s="14"/>
      <c r="K174" s="14"/>
      <c r="L174" s="14"/>
      <c r="M174" s="14"/>
      <c r="N174" s="14"/>
      <c r="O174" s="14"/>
      <c r="P174" s="14"/>
      <c r="Q174" s="14"/>
      <c r="R174" s="14"/>
      <c r="S174" s="14"/>
      <c r="T174" s="14"/>
      <c r="U174" s="14"/>
    </row>
    <row r="175">
      <c r="D175" s="114"/>
      <c r="E175" s="114"/>
      <c r="J175" s="14"/>
      <c r="K175" s="14"/>
      <c r="L175" s="14"/>
      <c r="M175" s="14"/>
      <c r="N175" s="14"/>
      <c r="O175" s="14"/>
      <c r="P175" s="14"/>
      <c r="Q175" s="14"/>
      <c r="R175" s="14"/>
      <c r="S175" s="14"/>
      <c r="T175" s="14"/>
      <c r="U175" s="14"/>
    </row>
    <row r="176">
      <c r="D176" s="114"/>
      <c r="E176" s="114"/>
      <c r="J176" s="14"/>
      <c r="K176" s="14"/>
      <c r="L176" s="14"/>
      <c r="M176" s="14"/>
      <c r="N176" s="14"/>
      <c r="O176" s="14"/>
      <c r="P176" s="14"/>
      <c r="Q176" s="14"/>
      <c r="R176" s="14"/>
      <c r="S176" s="14"/>
      <c r="T176" s="14"/>
      <c r="U176" s="14"/>
    </row>
    <row r="177">
      <c r="D177" s="114"/>
      <c r="E177" s="114"/>
      <c r="J177" s="14"/>
      <c r="K177" s="14"/>
      <c r="L177" s="14"/>
      <c r="M177" s="14"/>
      <c r="N177" s="14"/>
      <c r="O177" s="14"/>
      <c r="P177" s="14"/>
      <c r="Q177" s="14"/>
      <c r="R177" s="14"/>
      <c r="S177" s="14"/>
      <c r="T177" s="14"/>
      <c r="U177" s="14"/>
    </row>
    <row r="178">
      <c r="D178" s="114"/>
      <c r="E178" s="114"/>
      <c r="J178" s="14"/>
      <c r="K178" s="14"/>
      <c r="L178" s="14"/>
      <c r="M178" s="14"/>
      <c r="N178" s="14"/>
      <c r="O178" s="14"/>
      <c r="P178" s="14"/>
      <c r="Q178" s="14"/>
      <c r="R178" s="14"/>
      <c r="S178" s="14"/>
      <c r="T178" s="14"/>
      <c r="U178" s="14"/>
    </row>
    <row r="179">
      <c r="D179" s="114"/>
      <c r="E179" s="114"/>
      <c r="J179" s="14"/>
      <c r="K179" s="14"/>
      <c r="L179" s="14"/>
      <c r="M179" s="14"/>
      <c r="N179" s="14"/>
      <c r="O179" s="14"/>
      <c r="P179" s="14"/>
      <c r="Q179" s="14"/>
      <c r="R179" s="14"/>
      <c r="S179" s="14"/>
      <c r="T179" s="14"/>
      <c r="U179" s="14"/>
    </row>
    <row r="180">
      <c r="D180" s="114"/>
      <c r="E180" s="114"/>
      <c r="J180" s="14"/>
      <c r="K180" s="14"/>
      <c r="L180" s="14"/>
      <c r="M180" s="14"/>
      <c r="N180" s="14"/>
      <c r="O180" s="14"/>
      <c r="P180" s="14"/>
      <c r="Q180" s="14"/>
      <c r="R180" s="14"/>
      <c r="S180" s="14"/>
      <c r="T180" s="14"/>
      <c r="U180" s="14"/>
    </row>
    <row r="181">
      <c r="D181" s="114"/>
      <c r="E181" s="114"/>
      <c r="J181" s="14"/>
      <c r="K181" s="14"/>
      <c r="L181" s="14"/>
      <c r="M181" s="14"/>
      <c r="N181" s="14"/>
      <c r="O181" s="14"/>
      <c r="P181" s="14"/>
      <c r="Q181" s="14"/>
      <c r="R181" s="14"/>
      <c r="S181" s="14"/>
      <c r="T181" s="14"/>
      <c r="U181" s="14"/>
    </row>
    <row r="182">
      <c r="D182" s="114"/>
      <c r="E182" s="114"/>
      <c r="J182" s="14"/>
      <c r="K182" s="14"/>
      <c r="L182" s="14"/>
      <c r="M182" s="14"/>
      <c r="N182" s="14"/>
      <c r="O182" s="14"/>
      <c r="P182" s="14"/>
      <c r="Q182" s="14"/>
      <c r="R182" s="14"/>
      <c r="S182" s="14"/>
      <c r="T182" s="14"/>
      <c r="U182" s="14"/>
    </row>
    <row r="183">
      <c r="D183" s="114"/>
      <c r="E183" s="114"/>
      <c r="J183" s="14"/>
      <c r="K183" s="14"/>
      <c r="L183" s="14"/>
      <c r="M183" s="14"/>
      <c r="N183" s="14"/>
      <c r="O183" s="14"/>
      <c r="P183" s="14"/>
      <c r="Q183" s="14"/>
      <c r="R183" s="14"/>
      <c r="S183" s="14"/>
      <c r="T183" s="14"/>
      <c r="U183" s="14"/>
    </row>
    <row r="184">
      <c r="D184" s="114"/>
      <c r="E184" s="114"/>
      <c r="J184" s="14"/>
      <c r="K184" s="14"/>
      <c r="L184" s="14"/>
      <c r="M184" s="14"/>
      <c r="N184" s="14"/>
      <c r="O184" s="14"/>
      <c r="P184" s="14"/>
      <c r="Q184" s="14"/>
      <c r="R184" s="14"/>
      <c r="S184" s="14"/>
      <c r="T184" s="14"/>
      <c r="U184" s="14"/>
    </row>
    <row r="185">
      <c r="D185" s="114"/>
      <c r="E185" s="114"/>
      <c r="J185" s="14"/>
      <c r="K185" s="14"/>
      <c r="L185" s="14"/>
      <c r="M185" s="14"/>
      <c r="N185" s="14"/>
      <c r="O185" s="14"/>
      <c r="P185" s="14"/>
      <c r="Q185" s="14"/>
      <c r="R185" s="14"/>
      <c r="S185" s="14"/>
      <c r="T185" s="14"/>
      <c r="U185" s="14"/>
    </row>
    <row r="186">
      <c r="D186" s="114"/>
      <c r="E186" s="114"/>
      <c r="J186" s="14"/>
      <c r="K186" s="14"/>
      <c r="L186" s="14"/>
      <c r="M186" s="14"/>
      <c r="N186" s="14"/>
      <c r="O186" s="14"/>
      <c r="P186" s="14"/>
      <c r="Q186" s="14"/>
      <c r="R186" s="14"/>
      <c r="S186" s="14"/>
      <c r="T186" s="14"/>
      <c r="U186" s="14"/>
    </row>
    <row r="187">
      <c r="D187" s="114"/>
      <c r="E187" s="114"/>
      <c r="J187" s="14"/>
      <c r="K187" s="14"/>
      <c r="L187" s="14"/>
      <c r="M187" s="14"/>
      <c r="N187" s="14"/>
      <c r="O187" s="14"/>
      <c r="P187" s="14"/>
      <c r="Q187" s="14"/>
      <c r="R187" s="14"/>
      <c r="S187" s="14"/>
      <c r="T187" s="14"/>
      <c r="U187" s="14"/>
    </row>
    <row r="188">
      <c r="D188" s="114"/>
      <c r="E188" s="114"/>
      <c r="J188" s="14"/>
      <c r="K188" s="14"/>
      <c r="L188" s="14"/>
      <c r="M188" s="14"/>
      <c r="N188" s="14"/>
      <c r="O188" s="14"/>
      <c r="P188" s="14"/>
      <c r="Q188" s="14"/>
      <c r="R188" s="14"/>
      <c r="S188" s="14"/>
      <c r="T188" s="14"/>
      <c r="U188" s="14"/>
    </row>
    <row r="189">
      <c r="D189" s="114"/>
      <c r="E189" s="114"/>
      <c r="J189" s="14"/>
      <c r="K189" s="14"/>
      <c r="L189" s="14"/>
      <c r="M189" s="14"/>
      <c r="N189" s="14"/>
      <c r="O189" s="14"/>
      <c r="P189" s="14"/>
      <c r="Q189" s="14"/>
      <c r="R189" s="14"/>
      <c r="S189" s="14"/>
      <c r="T189" s="14"/>
      <c r="U189" s="14"/>
    </row>
    <row r="190">
      <c r="D190" s="114"/>
      <c r="E190" s="114"/>
      <c r="J190" s="14"/>
      <c r="K190" s="14"/>
      <c r="L190" s="14"/>
      <c r="M190" s="14"/>
      <c r="N190" s="14"/>
      <c r="O190" s="14"/>
      <c r="P190" s="14"/>
      <c r="Q190" s="14"/>
      <c r="R190" s="14"/>
      <c r="S190" s="14"/>
      <c r="T190" s="14"/>
      <c r="U190" s="14"/>
    </row>
    <row r="191">
      <c r="D191" s="114"/>
      <c r="E191" s="114"/>
      <c r="J191" s="14"/>
      <c r="K191" s="14"/>
      <c r="L191" s="14"/>
      <c r="M191" s="14"/>
      <c r="N191" s="14"/>
      <c r="O191" s="14"/>
      <c r="P191" s="14"/>
      <c r="Q191" s="14"/>
      <c r="R191" s="14"/>
      <c r="S191" s="14"/>
      <c r="T191" s="14"/>
      <c r="U191" s="14"/>
    </row>
    <row r="192">
      <c r="D192" s="114"/>
      <c r="E192" s="114"/>
      <c r="J192" s="14"/>
      <c r="K192" s="14"/>
      <c r="L192" s="14"/>
      <c r="M192" s="14"/>
      <c r="N192" s="14"/>
      <c r="O192" s="14"/>
      <c r="P192" s="14"/>
      <c r="Q192" s="14"/>
      <c r="R192" s="14"/>
      <c r="S192" s="14"/>
      <c r="T192" s="14"/>
      <c r="U192" s="14"/>
    </row>
    <row r="193">
      <c r="D193" s="114"/>
      <c r="E193" s="114"/>
      <c r="J193" s="14"/>
      <c r="K193" s="14"/>
      <c r="L193" s="14"/>
      <c r="M193" s="14"/>
      <c r="N193" s="14"/>
      <c r="O193" s="14"/>
      <c r="P193" s="14"/>
      <c r="Q193" s="14"/>
      <c r="R193" s="14"/>
      <c r="S193" s="14"/>
      <c r="T193" s="14"/>
      <c r="U193" s="14"/>
    </row>
    <row r="194">
      <c r="D194" s="114"/>
      <c r="E194" s="114"/>
      <c r="J194" s="14"/>
      <c r="K194" s="14"/>
      <c r="L194" s="14"/>
      <c r="M194" s="14"/>
      <c r="N194" s="14"/>
      <c r="O194" s="14"/>
      <c r="P194" s="14"/>
      <c r="Q194" s="14"/>
      <c r="R194" s="14"/>
      <c r="S194" s="14"/>
      <c r="T194" s="14"/>
      <c r="U194" s="14"/>
    </row>
    <row r="195">
      <c r="D195" s="114"/>
      <c r="E195" s="114"/>
      <c r="J195" s="14"/>
      <c r="K195" s="14"/>
      <c r="L195" s="14"/>
      <c r="M195" s="14"/>
      <c r="N195" s="14"/>
      <c r="O195" s="14"/>
      <c r="P195" s="14"/>
      <c r="Q195" s="14"/>
      <c r="R195" s="14"/>
      <c r="S195" s="14"/>
      <c r="T195" s="14"/>
      <c r="U195" s="14"/>
    </row>
    <row r="196">
      <c r="D196" s="114"/>
      <c r="E196" s="114"/>
      <c r="J196" s="14"/>
      <c r="K196" s="14"/>
      <c r="L196" s="14"/>
      <c r="M196" s="14"/>
      <c r="N196" s="14"/>
      <c r="O196" s="14"/>
      <c r="P196" s="14"/>
      <c r="Q196" s="14"/>
      <c r="R196" s="14"/>
      <c r="S196" s="14"/>
      <c r="T196" s="14"/>
      <c r="U196" s="14"/>
    </row>
    <row r="197">
      <c r="D197" s="114"/>
      <c r="E197" s="114"/>
      <c r="J197" s="14"/>
      <c r="K197" s="14"/>
      <c r="L197" s="14"/>
      <c r="M197" s="14"/>
      <c r="N197" s="14"/>
      <c r="O197" s="14"/>
      <c r="P197" s="14"/>
      <c r="Q197" s="14"/>
      <c r="R197" s="14"/>
      <c r="S197" s="14"/>
      <c r="T197" s="14"/>
      <c r="U197" s="14"/>
    </row>
    <row r="198">
      <c r="D198" s="114"/>
      <c r="E198" s="114"/>
      <c r="J198" s="14"/>
      <c r="K198" s="14"/>
      <c r="L198" s="14"/>
      <c r="M198" s="14"/>
      <c r="N198" s="14"/>
      <c r="O198" s="14"/>
      <c r="P198" s="14"/>
      <c r="Q198" s="14"/>
      <c r="R198" s="14"/>
      <c r="S198" s="14"/>
      <c r="T198" s="14"/>
      <c r="U198" s="14"/>
    </row>
    <row r="199">
      <c r="D199" s="114"/>
      <c r="E199" s="114"/>
      <c r="J199" s="14"/>
      <c r="K199" s="14"/>
      <c r="L199" s="14"/>
      <c r="M199" s="14"/>
      <c r="N199" s="14"/>
      <c r="O199" s="14"/>
      <c r="P199" s="14"/>
      <c r="Q199" s="14"/>
      <c r="R199" s="14"/>
      <c r="S199" s="14"/>
      <c r="T199" s="14"/>
      <c r="U199" s="14"/>
    </row>
    <row r="200">
      <c r="D200" s="114"/>
      <c r="E200" s="114"/>
      <c r="J200" s="14"/>
      <c r="K200" s="14"/>
      <c r="L200" s="14"/>
      <c r="M200" s="14"/>
      <c r="N200" s="14"/>
      <c r="O200" s="14"/>
      <c r="P200" s="14"/>
      <c r="Q200" s="14"/>
      <c r="R200" s="14"/>
      <c r="S200" s="14"/>
      <c r="T200" s="14"/>
      <c r="U200" s="14"/>
    </row>
    <row r="201">
      <c r="D201" s="114"/>
      <c r="E201" s="114"/>
      <c r="J201" s="14"/>
      <c r="K201" s="14"/>
      <c r="L201" s="14"/>
      <c r="M201" s="14"/>
      <c r="N201" s="14"/>
      <c r="O201" s="14"/>
      <c r="P201" s="14"/>
      <c r="Q201" s="14"/>
      <c r="R201" s="14"/>
      <c r="S201" s="14"/>
      <c r="T201" s="14"/>
      <c r="U201" s="14"/>
    </row>
    <row r="202">
      <c r="D202" s="114"/>
      <c r="E202" s="114"/>
      <c r="J202" s="14"/>
      <c r="K202" s="14"/>
      <c r="L202" s="14"/>
      <c r="M202" s="14"/>
      <c r="N202" s="14"/>
      <c r="O202" s="14"/>
      <c r="P202" s="14"/>
      <c r="Q202" s="14"/>
      <c r="R202" s="14"/>
      <c r="S202" s="14"/>
      <c r="T202" s="14"/>
      <c r="U202" s="14"/>
    </row>
    <row r="203">
      <c r="D203" s="114"/>
      <c r="E203" s="114"/>
      <c r="J203" s="14"/>
      <c r="K203" s="14"/>
      <c r="L203" s="14"/>
      <c r="M203" s="14"/>
      <c r="N203" s="14"/>
      <c r="O203" s="14"/>
      <c r="P203" s="14"/>
      <c r="Q203" s="14"/>
      <c r="R203" s="14"/>
      <c r="S203" s="14"/>
      <c r="T203" s="14"/>
      <c r="U203" s="14"/>
    </row>
    <row r="204">
      <c r="D204" s="114"/>
      <c r="E204" s="114"/>
      <c r="J204" s="14"/>
      <c r="K204" s="14"/>
      <c r="L204" s="14"/>
      <c r="M204" s="14"/>
      <c r="N204" s="14"/>
      <c r="O204" s="14"/>
      <c r="P204" s="14"/>
      <c r="Q204" s="14"/>
      <c r="R204" s="14"/>
      <c r="S204" s="14"/>
      <c r="T204" s="14"/>
      <c r="U204" s="14"/>
    </row>
    <row r="205">
      <c r="D205" s="114"/>
      <c r="E205" s="114"/>
      <c r="J205" s="14"/>
      <c r="K205" s="14"/>
      <c r="L205" s="14"/>
      <c r="M205" s="14"/>
      <c r="N205" s="14"/>
      <c r="O205" s="14"/>
      <c r="P205" s="14"/>
      <c r="Q205" s="14"/>
      <c r="R205" s="14"/>
      <c r="S205" s="14"/>
      <c r="T205" s="14"/>
      <c r="U205" s="14"/>
    </row>
    <row r="206">
      <c r="D206" s="114"/>
      <c r="E206" s="114"/>
      <c r="J206" s="14"/>
      <c r="K206" s="14"/>
      <c r="L206" s="14"/>
      <c r="M206" s="14"/>
      <c r="N206" s="14"/>
      <c r="O206" s="14"/>
      <c r="P206" s="14"/>
      <c r="Q206" s="14"/>
      <c r="R206" s="14"/>
      <c r="S206" s="14"/>
      <c r="T206" s="14"/>
      <c r="U206" s="14"/>
    </row>
    <row r="207">
      <c r="D207" s="114"/>
      <c r="E207" s="114"/>
      <c r="J207" s="14"/>
      <c r="K207" s="14"/>
      <c r="L207" s="14"/>
      <c r="M207" s="14"/>
      <c r="N207" s="14"/>
      <c r="O207" s="14"/>
      <c r="P207" s="14"/>
      <c r="Q207" s="14"/>
      <c r="R207" s="14"/>
      <c r="S207" s="14"/>
      <c r="T207" s="14"/>
      <c r="U207" s="14"/>
    </row>
    <row r="208">
      <c r="D208" s="114"/>
      <c r="E208" s="114"/>
      <c r="J208" s="14"/>
      <c r="K208" s="14"/>
      <c r="L208" s="14"/>
      <c r="M208" s="14"/>
      <c r="N208" s="14"/>
      <c r="O208" s="14"/>
      <c r="P208" s="14"/>
      <c r="Q208" s="14"/>
      <c r="R208" s="14"/>
      <c r="S208" s="14"/>
      <c r="T208" s="14"/>
      <c r="U208" s="14"/>
    </row>
    <row r="209">
      <c r="D209" s="114"/>
      <c r="E209" s="114"/>
      <c r="J209" s="14"/>
      <c r="K209" s="14"/>
      <c r="L209" s="14"/>
      <c r="M209" s="14"/>
      <c r="N209" s="14"/>
      <c r="O209" s="14"/>
      <c r="P209" s="14"/>
      <c r="Q209" s="14"/>
      <c r="R209" s="14"/>
      <c r="S209" s="14"/>
      <c r="T209" s="14"/>
      <c r="U209" s="14"/>
    </row>
    <row r="210">
      <c r="D210" s="114"/>
      <c r="E210" s="114"/>
      <c r="J210" s="14"/>
      <c r="K210" s="14"/>
      <c r="L210" s="14"/>
      <c r="M210" s="14"/>
      <c r="N210" s="14"/>
      <c r="O210" s="14"/>
      <c r="P210" s="14"/>
      <c r="Q210" s="14"/>
      <c r="R210" s="14"/>
      <c r="S210" s="14"/>
      <c r="T210" s="14"/>
      <c r="U210" s="14"/>
    </row>
    <row r="211">
      <c r="D211" s="114"/>
      <c r="E211" s="114"/>
      <c r="J211" s="14"/>
      <c r="K211" s="14"/>
      <c r="L211" s="14"/>
      <c r="M211" s="14"/>
      <c r="N211" s="14"/>
      <c r="O211" s="14"/>
      <c r="P211" s="14"/>
      <c r="Q211" s="14"/>
      <c r="R211" s="14"/>
      <c r="S211" s="14"/>
      <c r="T211" s="14"/>
      <c r="U211" s="14"/>
    </row>
    <row r="212">
      <c r="D212" s="114"/>
      <c r="E212" s="114"/>
      <c r="J212" s="14"/>
      <c r="K212" s="14"/>
      <c r="L212" s="14"/>
      <c r="M212" s="14"/>
      <c r="N212" s="14"/>
      <c r="O212" s="14"/>
      <c r="P212" s="14"/>
      <c r="Q212" s="14"/>
      <c r="R212" s="14"/>
      <c r="S212" s="14"/>
      <c r="T212" s="14"/>
      <c r="U212" s="14"/>
    </row>
    <row r="213">
      <c r="D213" s="114"/>
      <c r="E213" s="114"/>
      <c r="J213" s="14"/>
      <c r="K213" s="14"/>
      <c r="L213" s="14"/>
      <c r="M213" s="14"/>
      <c r="N213" s="14"/>
      <c r="O213" s="14"/>
      <c r="P213" s="14"/>
      <c r="Q213" s="14"/>
      <c r="R213" s="14"/>
      <c r="S213" s="14"/>
      <c r="T213" s="14"/>
      <c r="U213" s="14"/>
    </row>
    <row r="214">
      <c r="D214" s="114"/>
      <c r="E214" s="114"/>
      <c r="J214" s="14"/>
      <c r="K214" s="14"/>
      <c r="L214" s="14"/>
      <c r="M214" s="14"/>
      <c r="N214" s="14"/>
      <c r="O214" s="14"/>
      <c r="P214" s="14"/>
      <c r="Q214" s="14"/>
      <c r="R214" s="14"/>
      <c r="S214" s="14"/>
      <c r="T214" s="14"/>
      <c r="U214" s="14"/>
    </row>
    <row r="215">
      <c r="D215" s="114"/>
      <c r="E215" s="114"/>
      <c r="J215" s="14"/>
      <c r="K215" s="14"/>
      <c r="L215" s="14"/>
      <c r="M215" s="14"/>
      <c r="N215" s="14"/>
      <c r="O215" s="14"/>
      <c r="P215" s="14"/>
      <c r="Q215" s="14"/>
      <c r="R215" s="14"/>
      <c r="S215" s="14"/>
      <c r="T215" s="14"/>
      <c r="U215" s="14"/>
    </row>
    <row r="216">
      <c r="D216" s="114"/>
      <c r="E216" s="114"/>
      <c r="J216" s="14"/>
      <c r="K216" s="14"/>
      <c r="L216" s="14"/>
      <c r="M216" s="14"/>
      <c r="N216" s="14"/>
      <c r="O216" s="14"/>
      <c r="P216" s="14"/>
      <c r="Q216" s="14"/>
      <c r="R216" s="14"/>
      <c r="S216" s="14"/>
      <c r="T216" s="14"/>
      <c r="U216" s="14"/>
    </row>
    <row r="217">
      <c r="D217" s="114"/>
      <c r="E217" s="114"/>
      <c r="J217" s="14"/>
      <c r="K217" s="14"/>
      <c r="L217" s="14"/>
      <c r="M217" s="14"/>
      <c r="N217" s="14"/>
      <c r="O217" s="14"/>
      <c r="P217" s="14"/>
      <c r="Q217" s="14"/>
      <c r="R217" s="14"/>
      <c r="S217" s="14"/>
      <c r="T217" s="14"/>
      <c r="U217" s="14"/>
    </row>
    <row r="218">
      <c r="D218" s="114"/>
      <c r="E218" s="114"/>
      <c r="J218" s="14"/>
      <c r="K218" s="14"/>
      <c r="L218" s="14"/>
      <c r="M218" s="14"/>
      <c r="N218" s="14"/>
      <c r="O218" s="14"/>
      <c r="P218" s="14"/>
      <c r="Q218" s="14"/>
      <c r="R218" s="14"/>
      <c r="S218" s="14"/>
      <c r="T218" s="14"/>
      <c r="U218" s="14"/>
    </row>
    <row r="219">
      <c r="D219" s="114"/>
      <c r="E219" s="114"/>
      <c r="J219" s="14"/>
      <c r="K219" s="14"/>
      <c r="L219" s="14"/>
      <c r="M219" s="14"/>
      <c r="N219" s="14"/>
      <c r="O219" s="14"/>
      <c r="P219" s="14"/>
      <c r="Q219" s="14"/>
      <c r="R219" s="14"/>
      <c r="S219" s="14"/>
      <c r="T219" s="14"/>
      <c r="U219" s="14"/>
    </row>
    <row r="220">
      <c r="D220" s="114"/>
      <c r="E220" s="114"/>
      <c r="J220" s="14"/>
      <c r="K220" s="14"/>
      <c r="L220" s="14"/>
      <c r="M220" s="14"/>
      <c r="N220" s="14"/>
      <c r="O220" s="14"/>
      <c r="P220" s="14"/>
      <c r="Q220" s="14"/>
      <c r="R220" s="14"/>
      <c r="S220" s="14"/>
      <c r="T220" s="14"/>
      <c r="U220" s="14"/>
    </row>
    <row r="221">
      <c r="D221" s="114"/>
      <c r="E221" s="114"/>
      <c r="J221" s="14"/>
      <c r="K221" s="14"/>
      <c r="L221" s="14"/>
      <c r="M221" s="14"/>
      <c r="N221" s="14"/>
      <c r="O221" s="14"/>
      <c r="P221" s="14"/>
      <c r="Q221" s="14"/>
      <c r="R221" s="14"/>
      <c r="S221" s="14"/>
      <c r="T221" s="14"/>
      <c r="U221" s="14"/>
    </row>
    <row r="222">
      <c r="D222" s="114"/>
      <c r="E222" s="114"/>
      <c r="J222" s="14"/>
      <c r="K222" s="14"/>
      <c r="L222" s="14"/>
      <c r="M222" s="14"/>
      <c r="N222" s="14"/>
      <c r="O222" s="14"/>
      <c r="P222" s="14"/>
      <c r="Q222" s="14"/>
      <c r="R222" s="14"/>
      <c r="S222" s="14"/>
      <c r="T222" s="14"/>
      <c r="U222" s="14"/>
    </row>
    <row r="223">
      <c r="D223" s="114"/>
      <c r="E223" s="114"/>
      <c r="J223" s="14"/>
      <c r="K223" s="14"/>
      <c r="L223" s="14"/>
      <c r="M223" s="14"/>
      <c r="N223" s="14"/>
      <c r="O223" s="14"/>
      <c r="P223" s="14"/>
      <c r="Q223" s="14"/>
      <c r="R223" s="14"/>
      <c r="S223" s="14"/>
      <c r="T223" s="14"/>
      <c r="U223" s="14"/>
    </row>
    <row r="224">
      <c r="D224" s="114"/>
      <c r="E224" s="114"/>
      <c r="J224" s="14"/>
      <c r="K224" s="14"/>
      <c r="L224" s="14"/>
      <c r="M224" s="14"/>
      <c r="N224" s="14"/>
      <c r="O224" s="14"/>
      <c r="P224" s="14"/>
      <c r="Q224" s="14"/>
      <c r="R224" s="14"/>
      <c r="S224" s="14"/>
      <c r="T224" s="14"/>
      <c r="U224" s="14"/>
    </row>
    <row r="225">
      <c r="D225" s="114"/>
      <c r="E225" s="114"/>
      <c r="J225" s="14"/>
      <c r="K225" s="14"/>
      <c r="L225" s="14"/>
      <c r="M225" s="14"/>
      <c r="N225" s="14"/>
      <c r="O225" s="14"/>
      <c r="P225" s="14"/>
      <c r="Q225" s="14"/>
      <c r="R225" s="14"/>
      <c r="S225" s="14"/>
      <c r="T225" s="14"/>
      <c r="U225" s="14"/>
    </row>
    <row r="226">
      <c r="D226" s="114"/>
      <c r="E226" s="114"/>
      <c r="J226" s="14"/>
      <c r="K226" s="14"/>
      <c r="L226" s="14"/>
      <c r="M226" s="14"/>
      <c r="N226" s="14"/>
      <c r="O226" s="14"/>
      <c r="P226" s="14"/>
      <c r="Q226" s="14"/>
      <c r="R226" s="14"/>
      <c r="S226" s="14"/>
      <c r="T226" s="14"/>
      <c r="U226" s="14"/>
    </row>
    <row r="227">
      <c r="D227" s="114"/>
      <c r="E227" s="114"/>
      <c r="J227" s="14"/>
      <c r="K227" s="14"/>
      <c r="L227" s="14"/>
      <c r="M227" s="14"/>
      <c r="N227" s="14"/>
      <c r="O227" s="14"/>
      <c r="P227" s="14"/>
      <c r="Q227" s="14"/>
      <c r="R227" s="14"/>
      <c r="S227" s="14"/>
      <c r="T227" s="14"/>
      <c r="U227" s="14"/>
    </row>
    <row r="228">
      <c r="D228" s="114"/>
      <c r="E228" s="114"/>
      <c r="J228" s="14"/>
      <c r="K228" s="14"/>
      <c r="L228" s="14"/>
      <c r="M228" s="14"/>
      <c r="N228" s="14"/>
      <c r="O228" s="14"/>
      <c r="P228" s="14"/>
      <c r="Q228" s="14"/>
      <c r="R228" s="14"/>
      <c r="S228" s="14"/>
      <c r="T228" s="14"/>
      <c r="U228" s="14"/>
    </row>
    <row r="229">
      <c r="D229" s="114"/>
      <c r="E229" s="114"/>
      <c r="J229" s="14"/>
      <c r="K229" s="14"/>
      <c r="L229" s="14"/>
      <c r="M229" s="14"/>
      <c r="N229" s="14"/>
      <c r="O229" s="14"/>
      <c r="P229" s="14"/>
      <c r="Q229" s="14"/>
      <c r="R229" s="14"/>
      <c r="S229" s="14"/>
      <c r="T229" s="14"/>
      <c r="U229" s="14"/>
    </row>
    <row r="230">
      <c r="D230" s="114"/>
      <c r="E230" s="114"/>
      <c r="J230" s="14"/>
      <c r="K230" s="14"/>
      <c r="L230" s="14"/>
      <c r="M230" s="14"/>
      <c r="N230" s="14"/>
      <c r="O230" s="14"/>
      <c r="P230" s="14"/>
      <c r="Q230" s="14"/>
      <c r="R230" s="14"/>
      <c r="S230" s="14"/>
      <c r="T230" s="14"/>
      <c r="U230" s="14"/>
    </row>
    <row r="231">
      <c r="D231" s="114"/>
      <c r="E231" s="114"/>
      <c r="J231" s="14"/>
      <c r="K231" s="14"/>
      <c r="L231" s="14"/>
      <c r="M231" s="14"/>
      <c r="N231" s="14"/>
      <c r="O231" s="14"/>
      <c r="P231" s="14"/>
      <c r="Q231" s="14"/>
      <c r="R231" s="14"/>
      <c r="S231" s="14"/>
      <c r="T231" s="14"/>
      <c r="U231" s="14"/>
    </row>
    <row r="232">
      <c r="D232" s="114"/>
      <c r="E232" s="114"/>
      <c r="J232" s="14"/>
      <c r="K232" s="14"/>
      <c r="L232" s="14"/>
      <c r="M232" s="14"/>
      <c r="N232" s="14"/>
      <c r="O232" s="14"/>
      <c r="P232" s="14"/>
      <c r="Q232" s="14"/>
      <c r="R232" s="14"/>
      <c r="S232" s="14"/>
      <c r="T232" s="14"/>
      <c r="U232" s="14"/>
    </row>
    <row r="233">
      <c r="D233" s="114"/>
      <c r="E233" s="114"/>
      <c r="J233" s="14"/>
      <c r="K233" s="14"/>
      <c r="L233" s="14"/>
      <c r="M233" s="14"/>
      <c r="N233" s="14"/>
      <c r="O233" s="14"/>
      <c r="P233" s="14"/>
      <c r="Q233" s="14"/>
      <c r="R233" s="14"/>
      <c r="S233" s="14"/>
      <c r="T233" s="14"/>
      <c r="U233" s="14"/>
    </row>
    <row r="234">
      <c r="D234" s="114"/>
      <c r="E234" s="114"/>
      <c r="J234" s="14"/>
      <c r="K234" s="14"/>
      <c r="L234" s="14"/>
      <c r="M234" s="14"/>
      <c r="N234" s="14"/>
      <c r="O234" s="14"/>
      <c r="P234" s="14"/>
      <c r="Q234" s="14"/>
      <c r="R234" s="14"/>
      <c r="S234" s="14"/>
      <c r="T234" s="14"/>
      <c r="U234" s="14"/>
    </row>
    <row r="235">
      <c r="D235" s="114"/>
      <c r="E235" s="114"/>
      <c r="J235" s="14"/>
      <c r="K235" s="14"/>
      <c r="L235" s="14"/>
      <c r="M235" s="14"/>
      <c r="N235" s="14"/>
      <c r="O235" s="14"/>
      <c r="P235" s="14"/>
      <c r="Q235" s="14"/>
      <c r="R235" s="14"/>
      <c r="S235" s="14"/>
      <c r="T235" s="14"/>
      <c r="U235" s="14"/>
    </row>
    <row r="236">
      <c r="D236" s="114"/>
      <c r="E236" s="114"/>
      <c r="J236" s="14"/>
      <c r="K236" s="14"/>
      <c r="L236" s="14"/>
      <c r="M236" s="14"/>
      <c r="N236" s="14"/>
      <c r="O236" s="14"/>
      <c r="P236" s="14"/>
      <c r="Q236" s="14"/>
      <c r="R236" s="14"/>
      <c r="S236" s="14"/>
      <c r="T236" s="14"/>
      <c r="U236" s="14"/>
    </row>
    <row r="237">
      <c r="D237" s="114"/>
      <c r="E237" s="114"/>
      <c r="J237" s="14"/>
      <c r="K237" s="14"/>
      <c r="L237" s="14"/>
      <c r="M237" s="14"/>
      <c r="N237" s="14"/>
      <c r="O237" s="14"/>
      <c r="P237" s="14"/>
      <c r="Q237" s="14"/>
      <c r="R237" s="14"/>
      <c r="S237" s="14"/>
      <c r="T237" s="14"/>
      <c r="U237" s="14"/>
    </row>
    <row r="238">
      <c r="D238" s="114"/>
      <c r="E238" s="114"/>
      <c r="J238" s="14"/>
      <c r="K238" s="14"/>
      <c r="L238" s="14"/>
      <c r="M238" s="14"/>
      <c r="N238" s="14"/>
      <c r="O238" s="14"/>
      <c r="P238" s="14"/>
      <c r="Q238" s="14"/>
      <c r="R238" s="14"/>
      <c r="S238" s="14"/>
      <c r="T238" s="14"/>
      <c r="U238" s="14"/>
    </row>
    <row r="239">
      <c r="D239" s="114"/>
      <c r="E239" s="114"/>
      <c r="J239" s="14"/>
      <c r="K239" s="14"/>
      <c r="L239" s="14"/>
      <c r="M239" s="14"/>
      <c r="N239" s="14"/>
      <c r="O239" s="14"/>
      <c r="P239" s="14"/>
      <c r="Q239" s="14"/>
      <c r="R239" s="14"/>
      <c r="S239" s="14"/>
      <c r="T239" s="14"/>
      <c r="U239" s="14"/>
    </row>
    <row r="240">
      <c r="D240" s="114"/>
      <c r="E240" s="114"/>
      <c r="J240" s="14"/>
      <c r="K240" s="14"/>
      <c r="L240" s="14"/>
      <c r="M240" s="14"/>
      <c r="N240" s="14"/>
      <c r="O240" s="14"/>
      <c r="P240" s="14"/>
      <c r="Q240" s="14"/>
      <c r="R240" s="14"/>
      <c r="S240" s="14"/>
      <c r="T240" s="14"/>
      <c r="U240" s="14"/>
    </row>
    <row r="241">
      <c r="D241" s="114"/>
      <c r="E241" s="114"/>
      <c r="J241" s="14"/>
      <c r="K241" s="14"/>
      <c r="L241" s="14"/>
      <c r="M241" s="14"/>
      <c r="N241" s="14"/>
      <c r="O241" s="14"/>
      <c r="P241" s="14"/>
      <c r="Q241" s="14"/>
      <c r="R241" s="14"/>
      <c r="S241" s="14"/>
      <c r="T241" s="14"/>
      <c r="U241" s="14"/>
    </row>
    <row r="242">
      <c r="D242" s="114"/>
      <c r="E242" s="114"/>
      <c r="J242" s="14"/>
      <c r="K242" s="14"/>
      <c r="L242" s="14"/>
      <c r="M242" s="14"/>
      <c r="N242" s="14"/>
      <c r="O242" s="14"/>
      <c r="P242" s="14"/>
      <c r="Q242" s="14"/>
      <c r="R242" s="14"/>
      <c r="S242" s="14"/>
      <c r="T242" s="14"/>
      <c r="U242" s="14"/>
    </row>
    <row r="243">
      <c r="D243" s="114"/>
      <c r="E243" s="114"/>
      <c r="J243" s="14"/>
      <c r="K243" s="14"/>
      <c r="L243" s="14"/>
      <c r="M243" s="14"/>
      <c r="N243" s="14"/>
      <c r="O243" s="14"/>
      <c r="P243" s="14"/>
      <c r="Q243" s="14"/>
      <c r="R243" s="14"/>
      <c r="S243" s="14"/>
      <c r="T243" s="14"/>
      <c r="U243" s="14"/>
    </row>
    <row r="244">
      <c r="D244" s="114"/>
      <c r="E244" s="114"/>
      <c r="J244" s="14"/>
      <c r="K244" s="14"/>
      <c r="L244" s="14"/>
      <c r="M244" s="14"/>
      <c r="N244" s="14"/>
      <c r="O244" s="14"/>
      <c r="P244" s="14"/>
      <c r="Q244" s="14"/>
      <c r="R244" s="14"/>
      <c r="S244" s="14"/>
      <c r="T244" s="14"/>
      <c r="U244" s="14"/>
    </row>
    <row r="245">
      <c r="D245" s="114"/>
      <c r="E245" s="114"/>
      <c r="J245" s="14"/>
      <c r="K245" s="14"/>
      <c r="L245" s="14"/>
      <c r="M245" s="14"/>
      <c r="N245" s="14"/>
      <c r="O245" s="14"/>
      <c r="P245" s="14"/>
      <c r="Q245" s="14"/>
      <c r="R245" s="14"/>
      <c r="S245" s="14"/>
      <c r="T245" s="14"/>
      <c r="U245" s="14"/>
    </row>
    <row r="246">
      <c r="D246" s="114"/>
      <c r="E246" s="114"/>
      <c r="J246" s="14"/>
      <c r="K246" s="14"/>
      <c r="L246" s="14"/>
      <c r="M246" s="14"/>
      <c r="N246" s="14"/>
      <c r="O246" s="14"/>
      <c r="P246" s="14"/>
      <c r="Q246" s="14"/>
      <c r="R246" s="14"/>
      <c r="S246" s="14"/>
      <c r="T246" s="14"/>
      <c r="U246" s="14"/>
    </row>
    <row r="247">
      <c r="D247" s="114"/>
      <c r="E247" s="114"/>
      <c r="J247" s="14"/>
      <c r="K247" s="14"/>
      <c r="L247" s="14"/>
      <c r="M247" s="14"/>
      <c r="N247" s="14"/>
      <c r="O247" s="14"/>
      <c r="P247" s="14"/>
      <c r="Q247" s="14"/>
      <c r="R247" s="14"/>
      <c r="S247" s="14"/>
      <c r="T247" s="14"/>
      <c r="U247" s="14"/>
    </row>
    <row r="248">
      <c r="D248" s="114"/>
      <c r="E248" s="114"/>
      <c r="J248" s="14"/>
      <c r="K248" s="14"/>
      <c r="L248" s="14"/>
      <c r="M248" s="14"/>
      <c r="N248" s="14"/>
      <c r="O248" s="14"/>
      <c r="P248" s="14"/>
      <c r="Q248" s="14"/>
      <c r="R248" s="14"/>
      <c r="S248" s="14"/>
      <c r="T248" s="14"/>
      <c r="U248" s="14"/>
    </row>
    <row r="249">
      <c r="D249" s="114"/>
      <c r="E249" s="114"/>
      <c r="J249" s="14"/>
      <c r="K249" s="14"/>
      <c r="L249" s="14"/>
      <c r="M249" s="14"/>
      <c r="N249" s="14"/>
      <c r="O249" s="14"/>
      <c r="P249" s="14"/>
      <c r="Q249" s="14"/>
      <c r="R249" s="14"/>
      <c r="S249" s="14"/>
      <c r="T249" s="14"/>
      <c r="U249" s="14"/>
    </row>
    <row r="250">
      <c r="D250" s="114"/>
      <c r="E250" s="114"/>
      <c r="J250" s="14"/>
      <c r="K250" s="14"/>
      <c r="L250" s="14"/>
      <c r="M250" s="14"/>
      <c r="N250" s="14"/>
      <c r="O250" s="14"/>
      <c r="P250" s="14"/>
      <c r="Q250" s="14"/>
      <c r="R250" s="14"/>
      <c r="S250" s="14"/>
      <c r="T250" s="14"/>
      <c r="U250" s="14"/>
    </row>
    <row r="251">
      <c r="D251" s="114"/>
      <c r="E251" s="114"/>
      <c r="J251" s="14"/>
      <c r="K251" s="14"/>
      <c r="L251" s="14"/>
      <c r="M251" s="14"/>
      <c r="N251" s="14"/>
      <c r="O251" s="14"/>
      <c r="P251" s="14"/>
      <c r="Q251" s="14"/>
      <c r="R251" s="14"/>
      <c r="S251" s="14"/>
      <c r="T251" s="14"/>
      <c r="U251" s="14"/>
    </row>
    <row r="252">
      <c r="D252" s="114"/>
      <c r="E252" s="114"/>
      <c r="J252" s="14"/>
      <c r="K252" s="14"/>
      <c r="L252" s="14"/>
      <c r="M252" s="14"/>
      <c r="N252" s="14"/>
      <c r="O252" s="14"/>
      <c r="P252" s="14"/>
      <c r="Q252" s="14"/>
      <c r="R252" s="14"/>
      <c r="S252" s="14"/>
      <c r="T252" s="14"/>
      <c r="U252" s="14"/>
    </row>
    <row r="253">
      <c r="D253" s="114"/>
      <c r="E253" s="114"/>
      <c r="J253" s="14"/>
      <c r="K253" s="14"/>
      <c r="L253" s="14"/>
      <c r="M253" s="14"/>
      <c r="N253" s="14"/>
      <c r="O253" s="14"/>
      <c r="P253" s="14"/>
      <c r="Q253" s="14"/>
      <c r="R253" s="14"/>
      <c r="S253" s="14"/>
      <c r="T253" s="14"/>
      <c r="U253" s="14"/>
    </row>
    <row r="254">
      <c r="D254" s="114"/>
      <c r="E254" s="114"/>
      <c r="J254" s="14"/>
      <c r="K254" s="14"/>
      <c r="L254" s="14"/>
      <c r="M254" s="14"/>
      <c r="N254" s="14"/>
      <c r="O254" s="14"/>
      <c r="P254" s="14"/>
      <c r="Q254" s="14"/>
      <c r="R254" s="14"/>
      <c r="S254" s="14"/>
      <c r="T254" s="14"/>
      <c r="U254" s="14"/>
    </row>
    <row r="255">
      <c r="D255" s="114"/>
      <c r="E255" s="114"/>
      <c r="J255" s="14"/>
      <c r="K255" s="14"/>
      <c r="L255" s="14"/>
      <c r="M255" s="14"/>
      <c r="N255" s="14"/>
      <c r="O255" s="14"/>
      <c r="P255" s="14"/>
      <c r="Q255" s="14"/>
      <c r="R255" s="14"/>
      <c r="S255" s="14"/>
      <c r="T255" s="14"/>
      <c r="U255" s="14"/>
    </row>
    <row r="256">
      <c r="D256" s="114"/>
      <c r="E256" s="114"/>
      <c r="J256" s="14"/>
      <c r="K256" s="14"/>
      <c r="L256" s="14"/>
      <c r="M256" s="14"/>
      <c r="N256" s="14"/>
      <c r="O256" s="14"/>
      <c r="P256" s="14"/>
      <c r="Q256" s="14"/>
      <c r="R256" s="14"/>
      <c r="S256" s="14"/>
      <c r="T256" s="14"/>
      <c r="U256" s="14"/>
    </row>
    <row r="257">
      <c r="D257" s="114"/>
      <c r="E257" s="114"/>
      <c r="J257" s="14"/>
      <c r="K257" s="14"/>
      <c r="L257" s="14"/>
      <c r="M257" s="14"/>
      <c r="N257" s="14"/>
      <c r="O257" s="14"/>
      <c r="P257" s="14"/>
      <c r="Q257" s="14"/>
      <c r="R257" s="14"/>
      <c r="S257" s="14"/>
      <c r="T257" s="14"/>
      <c r="U257" s="14"/>
    </row>
    <row r="258">
      <c r="D258" s="114"/>
      <c r="E258" s="114"/>
      <c r="J258" s="14"/>
      <c r="K258" s="14"/>
      <c r="L258" s="14"/>
      <c r="M258" s="14"/>
      <c r="N258" s="14"/>
      <c r="O258" s="14"/>
      <c r="P258" s="14"/>
      <c r="Q258" s="14"/>
      <c r="R258" s="14"/>
      <c r="S258" s="14"/>
      <c r="T258" s="14"/>
      <c r="U258" s="14"/>
    </row>
    <row r="259">
      <c r="D259" s="114"/>
      <c r="E259" s="114"/>
      <c r="J259" s="14"/>
      <c r="K259" s="14"/>
      <c r="L259" s="14"/>
      <c r="M259" s="14"/>
      <c r="N259" s="14"/>
      <c r="O259" s="14"/>
      <c r="P259" s="14"/>
      <c r="Q259" s="14"/>
      <c r="R259" s="14"/>
      <c r="S259" s="14"/>
      <c r="T259" s="14"/>
      <c r="U259" s="14"/>
    </row>
    <row r="260">
      <c r="D260" s="114"/>
      <c r="E260" s="114"/>
      <c r="J260" s="14"/>
      <c r="K260" s="14"/>
      <c r="L260" s="14"/>
      <c r="M260" s="14"/>
      <c r="N260" s="14"/>
      <c r="O260" s="14"/>
      <c r="P260" s="14"/>
      <c r="Q260" s="14"/>
      <c r="R260" s="14"/>
      <c r="S260" s="14"/>
      <c r="T260" s="14"/>
      <c r="U260" s="14"/>
    </row>
    <row r="261">
      <c r="D261" s="114"/>
      <c r="E261" s="114"/>
      <c r="J261" s="14"/>
      <c r="K261" s="14"/>
      <c r="L261" s="14"/>
      <c r="M261" s="14"/>
      <c r="N261" s="14"/>
      <c r="O261" s="14"/>
      <c r="P261" s="14"/>
      <c r="Q261" s="14"/>
      <c r="R261" s="14"/>
      <c r="S261" s="14"/>
      <c r="T261" s="14"/>
      <c r="U261" s="14"/>
    </row>
    <row r="262">
      <c r="D262" s="114"/>
      <c r="E262" s="114"/>
      <c r="J262" s="14"/>
      <c r="K262" s="14"/>
      <c r="L262" s="14"/>
      <c r="M262" s="14"/>
      <c r="N262" s="14"/>
      <c r="O262" s="14"/>
      <c r="P262" s="14"/>
      <c r="Q262" s="14"/>
      <c r="R262" s="14"/>
      <c r="S262" s="14"/>
      <c r="T262" s="14"/>
      <c r="U262" s="14"/>
    </row>
    <row r="263">
      <c r="D263" s="114"/>
      <c r="E263" s="114"/>
      <c r="J263" s="14"/>
      <c r="K263" s="14"/>
      <c r="L263" s="14"/>
      <c r="M263" s="14"/>
      <c r="N263" s="14"/>
      <c r="O263" s="14"/>
      <c r="P263" s="14"/>
      <c r="Q263" s="14"/>
      <c r="R263" s="14"/>
      <c r="S263" s="14"/>
      <c r="T263" s="14"/>
      <c r="U263" s="14"/>
    </row>
    <row r="264">
      <c r="D264" s="114"/>
      <c r="E264" s="114"/>
      <c r="J264" s="14"/>
      <c r="K264" s="14"/>
      <c r="L264" s="14"/>
      <c r="M264" s="14"/>
      <c r="N264" s="14"/>
      <c r="O264" s="14"/>
      <c r="P264" s="14"/>
      <c r="Q264" s="14"/>
      <c r="R264" s="14"/>
      <c r="S264" s="14"/>
      <c r="T264" s="14"/>
      <c r="U264" s="14"/>
    </row>
    <row r="265">
      <c r="D265" s="114"/>
      <c r="E265" s="114"/>
      <c r="J265" s="14"/>
      <c r="K265" s="14"/>
      <c r="L265" s="14"/>
      <c r="M265" s="14"/>
      <c r="N265" s="14"/>
      <c r="O265" s="14"/>
      <c r="P265" s="14"/>
      <c r="Q265" s="14"/>
      <c r="R265" s="14"/>
      <c r="S265" s="14"/>
      <c r="T265" s="14"/>
      <c r="U265" s="14"/>
    </row>
    <row r="266">
      <c r="D266" s="114"/>
      <c r="E266" s="114"/>
      <c r="J266" s="14"/>
      <c r="K266" s="14"/>
      <c r="L266" s="14"/>
      <c r="M266" s="14"/>
      <c r="N266" s="14"/>
      <c r="O266" s="14"/>
      <c r="P266" s="14"/>
      <c r="Q266" s="14"/>
      <c r="R266" s="14"/>
      <c r="S266" s="14"/>
      <c r="T266" s="14"/>
      <c r="U266" s="14"/>
    </row>
    <row r="267">
      <c r="D267" s="114"/>
      <c r="E267" s="114"/>
      <c r="J267" s="14"/>
      <c r="K267" s="14"/>
      <c r="L267" s="14"/>
      <c r="M267" s="14"/>
      <c r="N267" s="14"/>
      <c r="O267" s="14"/>
      <c r="P267" s="14"/>
      <c r="Q267" s="14"/>
      <c r="R267" s="14"/>
      <c r="S267" s="14"/>
      <c r="T267" s="14"/>
      <c r="U267" s="14"/>
    </row>
    <row r="268">
      <c r="D268" s="114"/>
      <c r="E268" s="114"/>
      <c r="J268" s="14"/>
      <c r="K268" s="14"/>
      <c r="L268" s="14"/>
      <c r="M268" s="14"/>
      <c r="N268" s="14"/>
      <c r="O268" s="14"/>
      <c r="P268" s="14"/>
      <c r="Q268" s="14"/>
      <c r="R268" s="14"/>
      <c r="S268" s="14"/>
      <c r="T268" s="14"/>
      <c r="U268" s="14"/>
    </row>
    <row r="269">
      <c r="D269" s="114"/>
      <c r="E269" s="114"/>
      <c r="J269" s="14"/>
      <c r="K269" s="14"/>
      <c r="L269" s="14"/>
      <c r="M269" s="14"/>
      <c r="N269" s="14"/>
      <c r="O269" s="14"/>
      <c r="P269" s="14"/>
      <c r="Q269" s="14"/>
      <c r="R269" s="14"/>
      <c r="S269" s="14"/>
      <c r="T269" s="14"/>
      <c r="U269" s="14"/>
    </row>
    <row r="270">
      <c r="D270" s="114"/>
      <c r="E270" s="114"/>
      <c r="J270" s="14"/>
      <c r="K270" s="14"/>
      <c r="L270" s="14"/>
      <c r="M270" s="14"/>
      <c r="N270" s="14"/>
      <c r="O270" s="14"/>
      <c r="P270" s="14"/>
      <c r="Q270" s="14"/>
      <c r="R270" s="14"/>
      <c r="S270" s="14"/>
      <c r="T270" s="14"/>
      <c r="U270" s="14"/>
    </row>
    <row r="271">
      <c r="D271" s="114"/>
      <c r="E271" s="114"/>
      <c r="J271" s="14"/>
      <c r="K271" s="14"/>
      <c r="L271" s="14"/>
      <c r="M271" s="14"/>
      <c r="N271" s="14"/>
      <c r="O271" s="14"/>
      <c r="P271" s="14"/>
      <c r="Q271" s="14"/>
      <c r="R271" s="14"/>
      <c r="S271" s="14"/>
      <c r="T271" s="14"/>
      <c r="U271" s="14"/>
    </row>
    <row r="272">
      <c r="D272" s="114"/>
      <c r="E272" s="114"/>
      <c r="J272" s="14"/>
      <c r="K272" s="14"/>
      <c r="L272" s="14"/>
      <c r="M272" s="14"/>
      <c r="N272" s="14"/>
      <c r="O272" s="14"/>
      <c r="P272" s="14"/>
      <c r="Q272" s="14"/>
      <c r="R272" s="14"/>
      <c r="S272" s="14"/>
      <c r="T272" s="14"/>
      <c r="U272" s="14"/>
    </row>
    <row r="273">
      <c r="D273" s="114"/>
      <c r="E273" s="114"/>
      <c r="J273" s="14"/>
      <c r="K273" s="14"/>
      <c r="L273" s="14"/>
      <c r="M273" s="14"/>
      <c r="N273" s="14"/>
      <c r="O273" s="14"/>
      <c r="P273" s="14"/>
      <c r="Q273" s="14"/>
      <c r="R273" s="14"/>
      <c r="S273" s="14"/>
      <c r="T273" s="14"/>
      <c r="U273" s="14"/>
    </row>
    <row r="274">
      <c r="D274" s="114"/>
      <c r="E274" s="114"/>
      <c r="J274" s="14"/>
      <c r="K274" s="14"/>
      <c r="L274" s="14"/>
      <c r="M274" s="14"/>
      <c r="N274" s="14"/>
      <c r="O274" s="14"/>
      <c r="P274" s="14"/>
      <c r="Q274" s="14"/>
      <c r="R274" s="14"/>
      <c r="S274" s="14"/>
      <c r="T274" s="14"/>
      <c r="U274" s="14"/>
    </row>
    <row r="275">
      <c r="D275" s="114"/>
      <c r="E275" s="114"/>
      <c r="J275" s="14"/>
      <c r="K275" s="14"/>
      <c r="L275" s="14"/>
      <c r="M275" s="14"/>
      <c r="N275" s="14"/>
      <c r="O275" s="14"/>
      <c r="P275" s="14"/>
      <c r="Q275" s="14"/>
      <c r="R275" s="14"/>
      <c r="S275" s="14"/>
      <c r="T275" s="14"/>
      <c r="U275" s="14"/>
    </row>
    <row r="276">
      <c r="D276" s="114"/>
      <c r="E276" s="114"/>
      <c r="J276" s="14"/>
      <c r="K276" s="14"/>
      <c r="L276" s="14"/>
      <c r="M276" s="14"/>
      <c r="N276" s="14"/>
      <c r="O276" s="14"/>
      <c r="P276" s="14"/>
      <c r="Q276" s="14"/>
      <c r="R276" s="14"/>
      <c r="S276" s="14"/>
      <c r="T276" s="14"/>
      <c r="U276" s="14"/>
    </row>
    <row r="277">
      <c r="D277" s="114"/>
      <c r="E277" s="114"/>
      <c r="J277" s="14"/>
      <c r="K277" s="14"/>
      <c r="L277" s="14"/>
      <c r="M277" s="14"/>
      <c r="N277" s="14"/>
      <c r="O277" s="14"/>
      <c r="P277" s="14"/>
      <c r="Q277" s="14"/>
      <c r="R277" s="14"/>
      <c r="S277" s="14"/>
      <c r="T277" s="14"/>
      <c r="U277" s="14"/>
    </row>
    <row r="278">
      <c r="D278" s="114"/>
      <c r="E278" s="114"/>
      <c r="J278" s="14"/>
      <c r="K278" s="14"/>
      <c r="L278" s="14"/>
      <c r="M278" s="14"/>
      <c r="N278" s="14"/>
      <c r="O278" s="14"/>
      <c r="P278" s="14"/>
      <c r="Q278" s="14"/>
      <c r="R278" s="14"/>
      <c r="S278" s="14"/>
      <c r="T278" s="14"/>
      <c r="U278" s="14"/>
    </row>
    <row r="279">
      <c r="D279" s="114"/>
      <c r="E279" s="114"/>
      <c r="J279" s="14"/>
      <c r="K279" s="14"/>
      <c r="L279" s="14"/>
      <c r="M279" s="14"/>
      <c r="N279" s="14"/>
      <c r="O279" s="14"/>
      <c r="P279" s="14"/>
      <c r="Q279" s="14"/>
      <c r="R279" s="14"/>
      <c r="S279" s="14"/>
      <c r="T279" s="14"/>
      <c r="U279" s="14"/>
    </row>
    <row r="280">
      <c r="D280" s="114"/>
      <c r="E280" s="114"/>
      <c r="J280" s="14"/>
      <c r="K280" s="14"/>
      <c r="L280" s="14"/>
      <c r="M280" s="14"/>
      <c r="N280" s="14"/>
      <c r="O280" s="14"/>
      <c r="P280" s="14"/>
      <c r="Q280" s="14"/>
      <c r="R280" s="14"/>
      <c r="S280" s="14"/>
      <c r="T280" s="14"/>
      <c r="U280" s="14"/>
    </row>
    <row r="281">
      <c r="D281" s="114"/>
      <c r="E281" s="114"/>
      <c r="J281" s="14"/>
      <c r="K281" s="14"/>
      <c r="L281" s="14"/>
      <c r="M281" s="14"/>
      <c r="N281" s="14"/>
      <c r="O281" s="14"/>
      <c r="P281" s="14"/>
      <c r="Q281" s="14"/>
      <c r="R281" s="14"/>
      <c r="S281" s="14"/>
      <c r="T281" s="14"/>
      <c r="U281" s="14"/>
    </row>
    <row r="282">
      <c r="D282" s="114"/>
      <c r="E282" s="114"/>
      <c r="J282" s="14"/>
      <c r="K282" s="14"/>
      <c r="L282" s="14"/>
      <c r="M282" s="14"/>
      <c r="N282" s="14"/>
      <c r="O282" s="14"/>
      <c r="P282" s="14"/>
      <c r="Q282" s="14"/>
      <c r="R282" s="14"/>
      <c r="S282" s="14"/>
      <c r="T282" s="14"/>
      <c r="U282" s="14"/>
    </row>
    <row r="283">
      <c r="D283" s="114"/>
      <c r="E283" s="114"/>
      <c r="J283" s="14"/>
      <c r="K283" s="14"/>
      <c r="L283" s="14"/>
      <c r="M283" s="14"/>
      <c r="N283" s="14"/>
      <c r="O283" s="14"/>
      <c r="P283" s="14"/>
      <c r="Q283" s="14"/>
      <c r="R283" s="14"/>
      <c r="S283" s="14"/>
      <c r="T283" s="14"/>
      <c r="U283" s="14"/>
    </row>
    <row r="284">
      <c r="D284" s="114"/>
      <c r="E284" s="114"/>
      <c r="J284" s="14"/>
      <c r="K284" s="14"/>
      <c r="L284" s="14"/>
      <c r="M284" s="14"/>
      <c r="N284" s="14"/>
      <c r="O284" s="14"/>
      <c r="P284" s="14"/>
      <c r="Q284" s="14"/>
      <c r="R284" s="14"/>
      <c r="S284" s="14"/>
      <c r="T284" s="14"/>
      <c r="U284" s="14"/>
    </row>
    <row r="285">
      <c r="D285" s="114"/>
      <c r="E285" s="114"/>
      <c r="J285" s="14"/>
      <c r="K285" s="14"/>
      <c r="L285" s="14"/>
      <c r="M285" s="14"/>
      <c r="N285" s="14"/>
      <c r="O285" s="14"/>
      <c r="P285" s="14"/>
      <c r="Q285" s="14"/>
      <c r="R285" s="14"/>
      <c r="S285" s="14"/>
      <c r="T285" s="14"/>
      <c r="U285" s="14"/>
    </row>
    <row r="286">
      <c r="D286" s="114"/>
      <c r="E286" s="114"/>
      <c r="J286" s="14"/>
      <c r="K286" s="14"/>
      <c r="L286" s="14"/>
      <c r="M286" s="14"/>
      <c r="N286" s="14"/>
      <c r="O286" s="14"/>
      <c r="P286" s="14"/>
      <c r="Q286" s="14"/>
      <c r="R286" s="14"/>
      <c r="S286" s="14"/>
      <c r="T286" s="14"/>
      <c r="U286" s="14"/>
    </row>
    <row r="287">
      <c r="D287" s="114"/>
      <c r="E287" s="114"/>
      <c r="J287" s="14"/>
      <c r="K287" s="14"/>
      <c r="L287" s="14"/>
      <c r="M287" s="14"/>
      <c r="N287" s="14"/>
      <c r="O287" s="14"/>
      <c r="P287" s="14"/>
      <c r="Q287" s="14"/>
      <c r="R287" s="14"/>
      <c r="S287" s="14"/>
      <c r="T287" s="14"/>
      <c r="U287" s="14"/>
    </row>
    <row r="288">
      <c r="D288" s="114"/>
      <c r="E288" s="114"/>
      <c r="J288" s="14"/>
      <c r="K288" s="14"/>
      <c r="L288" s="14"/>
      <c r="M288" s="14"/>
      <c r="N288" s="14"/>
      <c r="O288" s="14"/>
      <c r="P288" s="14"/>
      <c r="Q288" s="14"/>
      <c r="R288" s="14"/>
      <c r="S288" s="14"/>
      <c r="T288" s="14"/>
      <c r="U288" s="14"/>
    </row>
    <row r="289">
      <c r="D289" s="114"/>
      <c r="E289" s="114"/>
      <c r="J289" s="14"/>
      <c r="K289" s="14"/>
      <c r="L289" s="14"/>
      <c r="M289" s="14"/>
      <c r="N289" s="14"/>
      <c r="O289" s="14"/>
      <c r="P289" s="14"/>
      <c r="Q289" s="14"/>
      <c r="R289" s="14"/>
      <c r="S289" s="14"/>
      <c r="T289" s="14"/>
      <c r="U289" s="14"/>
    </row>
    <row r="290">
      <c r="D290" s="114"/>
      <c r="E290" s="114"/>
      <c r="J290" s="14"/>
      <c r="K290" s="14"/>
      <c r="L290" s="14"/>
      <c r="M290" s="14"/>
      <c r="N290" s="14"/>
      <c r="O290" s="14"/>
      <c r="P290" s="14"/>
      <c r="Q290" s="14"/>
      <c r="R290" s="14"/>
      <c r="S290" s="14"/>
      <c r="T290" s="14"/>
      <c r="U290" s="14"/>
    </row>
    <row r="291">
      <c r="D291" s="114"/>
      <c r="E291" s="114"/>
      <c r="J291" s="14"/>
      <c r="K291" s="14"/>
      <c r="L291" s="14"/>
      <c r="M291" s="14"/>
      <c r="N291" s="14"/>
      <c r="O291" s="14"/>
      <c r="P291" s="14"/>
      <c r="Q291" s="14"/>
      <c r="R291" s="14"/>
      <c r="S291" s="14"/>
      <c r="T291" s="14"/>
      <c r="U291" s="14"/>
    </row>
    <row r="292">
      <c r="D292" s="114"/>
      <c r="E292" s="114"/>
      <c r="J292" s="14"/>
      <c r="K292" s="14"/>
      <c r="L292" s="14"/>
      <c r="M292" s="14"/>
      <c r="N292" s="14"/>
      <c r="O292" s="14"/>
      <c r="P292" s="14"/>
      <c r="Q292" s="14"/>
      <c r="R292" s="14"/>
      <c r="S292" s="14"/>
      <c r="T292" s="14"/>
      <c r="U292" s="14"/>
    </row>
    <row r="293">
      <c r="D293" s="114"/>
      <c r="E293" s="114"/>
      <c r="J293" s="14"/>
      <c r="K293" s="14"/>
      <c r="L293" s="14"/>
      <c r="M293" s="14"/>
      <c r="N293" s="14"/>
      <c r="O293" s="14"/>
      <c r="P293" s="14"/>
      <c r="Q293" s="14"/>
      <c r="R293" s="14"/>
      <c r="S293" s="14"/>
      <c r="T293" s="14"/>
      <c r="U293" s="14"/>
    </row>
    <row r="294">
      <c r="D294" s="114"/>
      <c r="E294" s="114"/>
      <c r="J294" s="14"/>
      <c r="K294" s="14"/>
      <c r="L294" s="14"/>
      <c r="M294" s="14"/>
      <c r="N294" s="14"/>
      <c r="O294" s="14"/>
      <c r="P294" s="14"/>
      <c r="Q294" s="14"/>
      <c r="R294" s="14"/>
      <c r="S294" s="14"/>
      <c r="T294" s="14"/>
      <c r="U294" s="14"/>
    </row>
    <row r="295">
      <c r="D295" s="114"/>
      <c r="E295" s="114"/>
      <c r="J295" s="14"/>
      <c r="K295" s="14"/>
      <c r="L295" s="14"/>
      <c r="M295" s="14"/>
      <c r="N295" s="14"/>
      <c r="O295" s="14"/>
      <c r="P295" s="14"/>
      <c r="Q295" s="14"/>
      <c r="R295" s="14"/>
      <c r="S295" s="14"/>
      <c r="T295" s="14"/>
      <c r="U295" s="14"/>
    </row>
    <row r="296">
      <c r="D296" s="114"/>
      <c r="E296" s="114"/>
      <c r="J296" s="14"/>
      <c r="K296" s="14"/>
      <c r="L296" s="14"/>
      <c r="M296" s="14"/>
      <c r="N296" s="14"/>
      <c r="O296" s="14"/>
      <c r="P296" s="14"/>
      <c r="Q296" s="14"/>
      <c r="R296" s="14"/>
      <c r="S296" s="14"/>
      <c r="T296" s="14"/>
      <c r="U296" s="14"/>
    </row>
    <row r="297">
      <c r="D297" s="114"/>
      <c r="E297" s="114"/>
      <c r="J297" s="14"/>
      <c r="K297" s="14"/>
      <c r="L297" s="14"/>
      <c r="M297" s="14"/>
      <c r="N297" s="14"/>
      <c r="O297" s="14"/>
      <c r="P297" s="14"/>
      <c r="Q297" s="14"/>
      <c r="R297" s="14"/>
      <c r="S297" s="14"/>
      <c r="T297" s="14"/>
      <c r="U297" s="14"/>
    </row>
    <row r="298">
      <c r="D298" s="114"/>
      <c r="E298" s="114"/>
      <c r="J298" s="14"/>
      <c r="K298" s="14"/>
      <c r="L298" s="14"/>
      <c r="M298" s="14"/>
      <c r="N298" s="14"/>
      <c r="O298" s="14"/>
      <c r="P298" s="14"/>
      <c r="Q298" s="14"/>
      <c r="R298" s="14"/>
      <c r="S298" s="14"/>
      <c r="T298" s="14"/>
      <c r="U298" s="14"/>
    </row>
    <row r="299">
      <c r="D299" s="114"/>
      <c r="E299" s="114"/>
      <c r="J299" s="14"/>
      <c r="K299" s="14"/>
      <c r="L299" s="14"/>
      <c r="M299" s="14"/>
      <c r="N299" s="14"/>
      <c r="O299" s="14"/>
      <c r="P299" s="14"/>
      <c r="Q299" s="14"/>
      <c r="R299" s="14"/>
      <c r="S299" s="14"/>
      <c r="T299" s="14"/>
      <c r="U299" s="14"/>
    </row>
    <row r="300">
      <c r="D300" s="114"/>
      <c r="E300" s="114"/>
      <c r="J300" s="14"/>
      <c r="K300" s="14"/>
      <c r="L300" s="14"/>
      <c r="M300" s="14"/>
      <c r="N300" s="14"/>
      <c r="O300" s="14"/>
      <c r="P300" s="14"/>
      <c r="Q300" s="14"/>
      <c r="R300" s="14"/>
      <c r="S300" s="14"/>
      <c r="T300" s="14"/>
      <c r="U300" s="14"/>
    </row>
    <row r="301">
      <c r="D301" s="114"/>
      <c r="E301" s="114"/>
      <c r="J301" s="14"/>
      <c r="K301" s="14"/>
      <c r="L301" s="14"/>
      <c r="M301" s="14"/>
      <c r="N301" s="14"/>
      <c r="O301" s="14"/>
      <c r="P301" s="14"/>
      <c r="Q301" s="14"/>
      <c r="R301" s="14"/>
      <c r="S301" s="14"/>
      <c r="T301" s="14"/>
      <c r="U301" s="14"/>
    </row>
    <row r="302">
      <c r="D302" s="114"/>
      <c r="E302" s="114"/>
      <c r="J302" s="14"/>
      <c r="K302" s="14"/>
      <c r="L302" s="14"/>
      <c r="M302" s="14"/>
      <c r="N302" s="14"/>
      <c r="O302" s="14"/>
      <c r="P302" s="14"/>
      <c r="Q302" s="14"/>
      <c r="R302" s="14"/>
      <c r="S302" s="14"/>
      <c r="T302" s="14"/>
      <c r="U302" s="14"/>
    </row>
    <row r="303">
      <c r="D303" s="114"/>
      <c r="E303" s="114"/>
      <c r="J303" s="14"/>
      <c r="K303" s="14"/>
      <c r="L303" s="14"/>
      <c r="M303" s="14"/>
      <c r="N303" s="14"/>
      <c r="O303" s="14"/>
      <c r="P303" s="14"/>
      <c r="Q303" s="14"/>
      <c r="R303" s="14"/>
      <c r="S303" s="14"/>
      <c r="T303" s="14"/>
      <c r="U303" s="14"/>
    </row>
    <row r="304">
      <c r="D304" s="114"/>
      <c r="E304" s="114"/>
      <c r="J304" s="14"/>
      <c r="K304" s="14"/>
      <c r="L304" s="14"/>
      <c r="M304" s="14"/>
      <c r="N304" s="14"/>
      <c r="O304" s="14"/>
      <c r="P304" s="14"/>
      <c r="Q304" s="14"/>
      <c r="R304" s="14"/>
      <c r="S304" s="14"/>
      <c r="T304" s="14"/>
      <c r="U304" s="14"/>
    </row>
    <row r="305">
      <c r="D305" s="114"/>
      <c r="E305" s="114"/>
      <c r="J305" s="14"/>
      <c r="K305" s="14"/>
      <c r="L305" s="14"/>
      <c r="M305" s="14"/>
      <c r="N305" s="14"/>
      <c r="O305" s="14"/>
      <c r="P305" s="14"/>
      <c r="Q305" s="14"/>
      <c r="R305" s="14"/>
      <c r="S305" s="14"/>
      <c r="T305" s="14"/>
      <c r="U305" s="14"/>
    </row>
    <row r="306">
      <c r="D306" s="114"/>
      <c r="E306" s="114"/>
      <c r="J306" s="14"/>
      <c r="K306" s="14"/>
      <c r="L306" s="14"/>
      <c r="M306" s="14"/>
      <c r="N306" s="14"/>
      <c r="O306" s="14"/>
      <c r="P306" s="14"/>
      <c r="Q306" s="14"/>
      <c r="R306" s="14"/>
      <c r="S306" s="14"/>
      <c r="T306" s="14"/>
      <c r="U306" s="14"/>
    </row>
    <row r="307">
      <c r="D307" s="114"/>
      <c r="E307" s="114"/>
      <c r="J307" s="14"/>
      <c r="K307" s="14"/>
      <c r="L307" s="14"/>
      <c r="M307" s="14"/>
      <c r="N307" s="14"/>
      <c r="O307" s="14"/>
      <c r="P307" s="14"/>
      <c r="Q307" s="14"/>
      <c r="R307" s="14"/>
      <c r="S307" s="14"/>
      <c r="T307" s="14"/>
      <c r="U307" s="14"/>
    </row>
    <row r="308">
      <c r="D308" s="114"/>
      <c r="E308" s="114"/>
      <c r="J308" s="14"/>
      <c r="K308" s="14"/>
      <c r="L308" s="14"/>
      <c r="M308" s="14"/>
      <c r="N308" s="14"/>
      <c r="O308" s="14"/>
      <c r="P308" s="14"/>
      <c r="Q308" s="14"/>
      <c r="R308" s="14"/>
      <c r="S308" s="14"/>
      <c r="T308" s="14"/>
      <c r="U308" s="14"/>
    </row>
    <row r="309">
      <c r="D309" s="114"/>
      <c r="E309" s="114"/>
      <c r="J309" s="14"/>
      <c r="K309" s="14"/>
      <c r="L309" s="14"/>
      <c r="M309" s="14"/>
      <c r="N309" s="14"/>
      <c r="O309" s="14"/>
      <c r="P309" s="14"/>
      <c r="Q309" s="14"/>
      <c r="R309" s="14"/>
      <c r="S309" s="14"/>
      <c r="T309" s="14"/>
      <c r="U309" s="14"/>
    </row>
    <row r="310">
      <c r="D310" s="114"/>
      <c r="E310" s="114"/>
      <c r="J310" s="14"/>
      <c r="K310" s="14"/>
      <c r="L310" s="14"/>
      <c r="M310" s="14"/>
      <c r="N310" s="14"/>
      <c r="O310" s="14"/>
      <c r="P310" s="14"/>
      <c r="Q310" s="14"/>
      <c r="R310" s="14"/>
      <c r="S310" s="14"/>
      <c r="T310" s="14"/>
      <c r="U310" s="14"/>
    </row>
    <row r="311">
      <c r="D311" s="114"/>
      <c r="E311" s="114"/>
      <c r="J311" s="14"/>
      <c r="K311" s="14"/>
      <c r="L311" s="14"/>
      <c r="M311" s="14"/>
      <c r="N311" s="14"/>
      <c r="O311" s="14"/>
      <c r="P311" s="14"/>
      <c r="Q311" s="14"/>
      <c r="R311" s="14"/>
      <c r="S311" s="14"/>
      <c r="T311" s="14"/>
      <c r="U311" s="14"/>
    </row>
    <row r="312">
      <c r="D312" s="114"/>
      <c r="E312" s="114"/>
      <c r="J312" s="14"/>
      <c r="K312" s="14"/>
      <c r="L312" s="14"/>
      <c r="M312" s="14"/>
      <c r="N312" s="14"/>
      <c r="O312" s="14"/>
      <c r="P312" s="14"/>
      <c r="Q312" s="14"/>
      <c r="R312" s="14"/>
      <c r="S312" s="14"/>
      <c r="T312" s="14"/>
      <c r="U312" s="14"/>
    </row>
    <row r="313">
      <c r="D313" s="114"/>
      <c r="E313" s="114"/>
      <c r="J313" s="14"/>
      <c r="K313" s="14"/>
      <c r="L313" s="14"/>
      <c r="M313" s="14"/>
      <c r="N313" s="14"/>
      <c r="O313" s="14"/>
      <c r="P313" s="14"/>
      <c r="Q313" s="14"/>
      <c r="R313" s="14"/>
      <c r="S313" s="14"/>
      <c r="T313" s="14"/>
      <c r="U313" s="14"/>
    </row>
    <row r="314">
      <c r="D314" s="114"/>
      <c r="E314" s="114"/>
      <c r="J314" s="14"/>
      <c r="K314" s="14"/>
      <c r="L314" s="14"/>
      <c r="M314" s="14"/>
      <c r="N314" s="14"/>
      <c r="O314" s="14"/>
      <c r="P314" s="14"/>
      <c r="Q314" s="14"/>
      <c r="R314" s="14"/>
      <c r="S314" s="14"/>
      <c r="T314" s="14"/>
      <c r="U314" s="14"/>
    </row>
    <row r="315">
      <c r="D315" s="114"/>
      <c r="E315" s="114"/>
      <c r="J315" s="14"/>
      <c r="K315" s="14"/>
      <c r="L315" s="14"/>
      <c r="M315" s="14"/>
      <c r="N315" s="14"/>
      <c r="O315" s="14"/>
      <c r="P315" s="14"/>
      <c r="Q315" s="14"/>
      <c r="R315" s="14"/>
      <c r="S315" s="14"/>
      <c r="T315" s="14"/>
      <c r="U315" s="14"/>
    </row>
    <row r="316">
      <c r="D316" s="114"/>
      <c r="E316" s="114"/>
      <c r="J316" s="14"/>
      <c r="K316" s="14"/>
      <c r="L316" s="14"/>
      <c r="M316" s="14"/>
      <c r="N316" s="14"/>
      <c r="O316" s="14"/>
      <c r="P316" s="14"/>
      <c r="Q316" s="14"/>
      <c r="R316" s="14"/>
      <c r="S316" s="14"/>
      <c r="T316" s="14"/>
      <c r="U316" s="14"/>
    </row>
    <row r="317">
      <c r="D317" s="114"/>
      <c r="E317" s="114"/>
      <c r="J317" s="14"/>
      <c r="K317" s="14"/>
      <c r="L317" s="14"/>
      <c r="M317" s="14"/>
      <c r="N317" s="14"/>
      <c r="O317" s="14"/>
      <c r="P317" s="14"/>
      <c r="Q317" s="14"/>
      <c r="R317" s="14"/>
      <c r="S317" s="14"/>
      <c r="T317" s="14"/>
      <c r="U317" s="14"/>
    </row>
    <row r="318">
      <c r="D318" s="114"/>
      <c r="E318" s="114"/>
      <c r="J318" s="14"/>
      <c r="K318" s="14"/>
      <c r="L318" s="14"/>
      <c r="M318" s="14"/>
      <c r="N318" s="14"/>
      <c r="O318" s="14"/>
      <c r="P318" s="14"/>
      <c r="Q318" s="14"/>
      <c r="R318" s="14"/>
      <c r="S318" s="14"/>
      <c r="T318" s="14"/>
      <c r="U318" s="14"/>
    </row>
    <row r="319">
      <c r="D319" s="114"/>
      <c r="E319" s="114"/>
      <c r="J319" s="14"/>
      <c r="K319" s="14"/>
      <c r="L319" s="14"/>
      <c r="M319" s="14"/>
      <c r="N319" s="14"/>
      <c r="O319" s="14"/>
      <c r="P319" s="14"/>
      <c r="Q319" s="14"/>
      <c r="R319" s="14"/>
      <c r="S319" s="14"/>
      <c r="T319" s="14"/>
      <c r="U319" s="14"/>
    </row>
    <row r="320">
      <c r="D320" s="114"/>
      <c r="E320" s="114"/>
      <c r="J320" s="14"/>
      <c r="K320" s="14"/>
      <c r="L320" s="14"/>
      <c r="M320" s="14"/>
      <c r="N320" s="14"/>
      <c r="O320" s="14"/>
      <c r="P320" s="14"/>
      <c r="Q320" s="14"/>
      <c r="R320" s="14"/>
      <c r="S320" s="14"/>
      <c r="T320" s="14"/>
      <c r="U320" s="14"/>
    </row>
    <row r="321">
      <c r="D321" s="114"/>
      <c r="E321" s="114"/>
      <c r="J321" s="14"/>
      <c r="K321" s="14"/>
      <c r="L321" s="14"/>
      <c r="M321" s="14"/>
      <c r="N321" s="14"/>
      <c r="O321" s="14"/>
      <c r="P321" s="14"/>
      <c r="Q321" s="14"/>
      <c r="R321" s="14"/>
      <c r="S321" s="14"/>
      <c r="T321" s="14"/>
      <c r="U321" s="14"/>
    </row>
    <row r="322">
      <c r="D322" s="114"/>
      <c r="E322" s="114"/>
      <c r="J322" s="14"/>
      <c r="K322" s="14"/>
      <c r="L322" s="14"/>
      <c r="M322" s="14"/>
      <c r="N322" s="14"/>
      <c r="O322" s="14"/>
      <c r="P322" s="14"/>
      <c r="Q322" s="14"/>
      <c r="R322" s="14"/>
      <c r="S322" s="14"/>
      <c r="T322" s="14"/>
      <c r="U322" s="14"/>
    </row>
    <row r="323">
      <c r="D323" s="114"/>
      <c r="E323" s="114"/>
      <c r="J323" s="14"/>
      <c r="K323" s="14"/>
      <c r="L323" s="14"/>
      <c r="M323" s="14"/>
      <c r="N323" s="14"/>
      <c r="O323" s="14"/>
      <c r="P323" s="14"/>
      <c r="Q323" s="14"/>
      <c r="R323" s="14"/>
      <c r="S323" s="14"/>
      <c r="T323" s="14"/>
      <c r="U323" s="14"/>
    </row>
    <row r="324">
      <c r="D324" s="114"/>
      <c r="E324" s="114"/>
      <c r="J324" s="14"/>
      <c r="K324" s="14"/>
      <c r="L324" s="14"/>
      <c r="M324" s="14"/>
      <c r="N324" s="14"/>
      <c r="O324" s="14"/>
      <c r="P324" s="14"/>
      <c r="Q324" s="14"/>
      <c r="R324" s="14"/>
      <c r="S324" s="14"/>
      <c r="T324" s="14"/>
      <c r="U324" s="14"/>
    </row>
    <row r="325">
      <c r="D325" s="114"/>
      <c r="E325" s="114"/>
      <c r="J325" s="14"/>
      <c r="K325" s="14"/>
      <c r="L325" s="14"/>
      <c r="M325" s="14"/>
      <c r="N325" s="14"/>
      <c r="O325" s="14"/>
      <c r="P325" s="14"/>
      <c r="Q325" s="14"/>
      <c r="R325" s="14"/>
      <c r="S325" s="14"/>
      <c r="T325" s="14"/>
      <c r="U325" s="14"/>
    </row>
    <row r="326">
      <c r="D326" s="114"/>
      <c r="E326" s="114"/>
      <c r="J326" s="14"/>
      <c r="K326" s="14"/>
      <c r="L326" s="14"/>
      <c r="M326" s="14"/>
      <c r="N326" s="14"/>
      <c r="O326" s="14"/>
      <c r="P326" s="14"/>
      <c r="Q326" s="14"/>
      <c r="R326" s="14"/>
      <c r="S326" s="14"/>
      <c r="T326" s="14"/>
      <c r="U326" s="14"/>
    </row>
    <row r="327">
      <c r="D327" s="114"/>
      <c r="E327" s="114"/>
      <c r="J327" s="14"/>
      <c r="K327" s="14"/>
      <c r="L327" s="14"/>
      <c r="M327" s="14"/>
      <c r="N327" s="14"/>
      <c r="O327" s="14"/>
      <c r="P327" s="14"/>
      <c r="Q327" s="14"/>
      <c r="R327" s="14"/>
      <c r="S327" s="14"/>
      <c r="T327" s="14"/>
      <c r="U327" s="14"/>
    </row>
    <row r="328">
      <c r="D328" s="114"/>
      <c r="E328" s="114"/>
      <c r="J328" s="14"/>
      <c r="K328" s="14"/>
      <c r="L328" s="14"/>
      <c r="M328" s="14"/>
      <c r="N328" s="14"/>
      <c r="O328" s="14"/>
      <c r="P328" s="14"/>
      <c r="Q328" s="14"/>
      <c r="R328" s="14"/>
      <c r="S328" s="14"/>
      <c r="T328" s="14"/>
      <c r="U328" s="14"/>
    </row>
    <row r="329">
      <c r="D329" s="114"/>
      <c r="E329" s="114"/>
      <c r="J329" s="14"/>
      <c r="K329" s="14"/>
      <c r="L329" s="14"/>
      <c r="M329" s="14"/>
      <c r="N329" s="14"/>
      <c r="O329" s="14"/>
      <c r="P329" s="14"/>
      <c r="Q329" s="14"/>
      <c r="R329" s="14"/>
      <c r="S329" s="14"/>
      <c r="T329" s="14"/>
      <c r="U329" s="14"/>
    </row>
    <row r="330">
      <c r="D330" s="114"/>
      <c r="E330" s="114"/>
      <c r="J330" s="14"/>
      <c r="K330" s="14"/>
      <c r="L330" s="14"/>
      <c r="M330" s="14"/>
      <c r="N330" s="14"/>
      <c r="O330" s="14"/>
      <c r="P330" s="14"/>
      <c r="Q330" s="14"/>
      <c r="R330" s="14"/>
      <c r="S330" s="14"/>
      <c r="T330" s="14"/>
      <c r="U330" s="14"/>
    </row>
    <row r="331">
      <c r="D331" s="114"/>
      <c r="E331" s="114"/>
      <c r="J331" s="14"/>
      <c r="K331" s="14"/>
      <c r="L331" s="14"/>
      <c r="M331" s="14"/>
      <c r="N331" s="14"/>
      <c r="O331" s="14"/>
      <c r="P331" s="14"/>
      <c r="Q331" s="14"/>
      <c r="R331" s="14"/>
      <c r="S331" s="14"/>
      <c r="T331" s="14"/>
      <c r="U331" s="14"/>
    </row>
    <row r="332">
      <c r="D332" s="114"/>
      <c r="E332" s="114"/>
      <c r="J332" s="14"/>
      <c r="K332" s="14"/>
      <c r="L332" s="14"/>
      <c r="M332" s="14"/>
      <c r="N332" s="14"/>
      <c r="O332" s="14"/>
      <c r="P332" s="14"/>
      <c r="Q332" s="14"/>
      <c r="R332" s="14"/>
      <c r="S332" s="14"/>
      <c r="T332" s="14"/>
      <c r="U332" s="14"/>
    </row>
    <row r="333">
      <c r="D333" s="114"/>
      <c r="E333" s="114"/>
      <c r="J333" s="14"/>
      <c r="K333" s="14"/>
      <c r="L333" s="14"/>
      <c r="M333" s="14"/>
      <c r="N333" s="14"/>
      <c r="O333" s="14"/>
      <c r="P333" s="14"/>
      <c r="Q333" s="14"/>
      <c r="R333" s="14"/>
      <c r="S333" s="14"/>
      <c r="T333" s="14"/>
      <c r="U333" s="14"/>
    </row>
    <row r="334">
      <c r="D334" s="114"/>
      <c r="E334" s="114"/>
      <c r="J334" s="14"/>
      <c r="K334" s="14"/>
      <c r="L334" s="14"/>
      <c r="M334" s="14"/>
      <c r="N334" s="14"/>
      <c r="O334" s="14"/>
      <c r="P334" s="14"/>
      <c r="Q334" s="14"/>
      <c r="R334" s="14"/>
      <c r="S334" s="14"/>
      <c r="T334" s="14"/>
      <c r="U334" s="14"/>
    </row>
    <row r="335">
      <c r="D335" s="114"/>
      <c r="E335" s="114"/>
      <c r="J335" s="14"/>
      <c r="K335" s="14"/>
      <c r="L335" s="14"/>
      <c r="M335" s="14"/>
      <c r="N335" s="14"/>
      <c r="O335" s="14"/>
      <c r="P335" s="14"/>
      <c r="Q335" s="14"/>
      <c r="R335" s="14"/>
      <c r="S335" s="14"/>
      <c r="T335" s="14"/>
      <c r="U335" s="14"/>
    </row>
    <row r="336">
      <c r="D336" s="114"/>
      <c r="E336" s="114"/>
      <c r="J336" s="14"/>
      <c r="K336" s="14"/>
      <c r="L336" s="14"/>
      <c r="M336" s="14"/>
      <c r="N336" s="14"/>
      <c r="O336" s="14"/>
      <c r="P336" s="14"/>
      <c r="Q336" s="14"/>
      <c r="R336" s="14"/>
      <c r="S336" s="14"/>
      <c r="T336" s="14"/>
      <c r="U336" s="14"/>
    </row>
    <row r="337">
      <c r="D337" s="114"/>
      <c r="E337" s="114"/>
      <c r="J337" s="14"/>
      <c r="K337" s="14"/>
      <c r="L337" s="14"/>
      <c r="M337" s="14"/>
      <c r="N337" s="14"/>
      <c r="O337" s="14"/>
      <c r="P337" s="14"/>
      <c r="Q337" s="14"/>
      <c r="R337" s="14"/>
      <c r="S337" s="14"/>
      <c r="T337" s="14"/>
      <c r="U337" s="14"/>
    </row>
    <row r="338">
      <c r="D338" s="114"/>
      <c r="E338" s="114"/>
      <c r="J338" s="14"/>
      <c r="K338" s="14"/>
      <c r="L338" s="14"/>
      <c r="M338" s="14"/>
      <c r="N338" s="14"/>
      <c r="O338" s="14"/>
      <c r="P338" s="14"/>
      <c r="Q338" s="14"/>
      <c r="R338" s="14"/>
      <c r="S338" s="14"/>
      <c r="T338" s="14"/>
      <c r="U338" s="14"/>
    </row>
    <row r="339">
      <c r="D339" s="114"/>
      <c r="E339" s="114"/>
      <c r="J339" s="14"/>
      <c r="K339" s="14"/>
      <c r="L339" s="14"/>
      <c r="M339" s="14"/>
      <c r="N339" s="14"/>
      <c r="O339" s="14"/>
      <c r="P339" s="14"/>
      <c r="Q339" s="14"/>
      <c r="R339" s="14"/>
      <c r="S339" s="14"/>
      <c r="T339" s="14"/>
      <c r="U339" s="14"/>
    </row>
    <row r="340">
      <c r="D340" s="114"/>
      <c r="E340" s="114"/>
      <c r="J340" s="14"/>
      <c r="K340" s="14"/>
      <c r="L340" s="14"/>
      <c r="M340" s="14"/>
      <c r="N340" s="14"/>
      <c r="O340" s="14"/>
      <c r="P340" s="14"/>
      <c r="Q340" s="14"/>
      <c r="R340" s="14"/>
      <c r="S340" s="14"/>
      <c r="T340" s="14"/>
      <c r="U340" s="14"/>
    </row>
    <row r="341">
      <c r="D341" s="114"/>
      <c r="E341" s="114"/>
      <c r="J341" s="14"/>
      <c r="K341" s="14"/>
      <c r="L341" s="14"/>
      <c r="M341" s="14"/>
      <c r="N341" s="14"/>
      <c r="O341" s="14"/>
      <c r="P341" s="14"/>
      <c r="Q341" s="14"/>
      <c r="R341" s="14"/>
      <c r="S341" s="14"/>
      <c r="T341" s="14"/>
      <c r="U341" s="14"/>
    </row>
    <row r="342">
      <c r="D342" s="114"/>
      <c r="E342" s="114"/>
      <c r="J342" s="14"/>
      <c r="K342" s="14"/>
      <c r="L342" s="14"/>
      <c r="M342" s="14"/>
      <c r="N342" s="14"/>
      <c r="O342" s="14"/>
      <c r="P342" s="14"/>
      <c r="Q342" s="14"/>
      <c r="R342" s="14"/>
      <c r="S342" s="14"/>
      <c r="T342" s="14"/>
      <c r="U342" s="14"/>
    </row>
    <row r="343">
      <c r="D343" s="114"/>
      <c r="E343" s="114"/>
      <c r="J343" s="14"/>
      <c r="K343" s="14"/>
      <c r="L343" s="14"/>
      <c r="M343" s="14"/>
      <c r="N343" s="14"/>
      <c r="O343" s="14"/>
      <c r="P343" s="14"/>
      <c r="Q343" s="14"/>
      <c r="R343" s="14"/>
      <c r="S343" s="14"/>
      <c r="T343" s="14"/>
      <c r="U343" s="14"/>
    </row>
    <row r="344">
      <c r="D344" s="114"/>
      <c r="E344" s="114"/>
      <c r="J344" s="14"/>
      <c r="K344" s="14"/>
      <c r="L344" s="14"/>
      <c r="M344" s="14"/>
      <c r="N344" s="14"/>
      <c r="O344" s="14"/>
      <c r="P344" s="14"/>
      <c r="Q344" s="14"/>
      <c r="R344" s="14"/>
      <c r="S344" s="14"/>
      <c r="T344" s="14"/>
      <c r="U344" s="14"/>
    </row>
    <row r="345">
      <c r="D345" s="114"/>
      <c r="E345" s="114"/>
      <c r="J345" s="14"/>
      <c r="K345" s="14"/>
      <c r="L345" s="14"/>
      <c r="M345" s="14"/>
      <c r="N345" s="14"/>
      <c r="O345" s="14"/>
      <c r="P345" s="14"/>
      <c r="Q345" s="14"/>
      <c r="R345" s="14"/>
      <c r="S345" s="14"/>
      <c r="T345" s="14"/>
      <c r="U345" s="14"/>
    </row>
    <row r="346">
      <c r="D346" s="114"/>
      <c r="E346" s="114"/>
      <c r="J346" s="14"/>
      <c r="K346" s="14"/>
      <c r="L346" s="14"/>
      <c r="M346" s="14"/>
      <c r="N346" s="14"/>
      <c r="O346" s="14"/>
      <c r="P346" s="14"/>
      <c r="Q346" s="14"/>
      <c r="R346" s="14"/>
      <c r="S346" s="14"/>
      <c r="T346" s="14"/>
      <c r="U346" s="14"/>
    </row>
    <row r="347">
      <c r="D347" s="114"/>
      <c r="E347" s="114"/>
      <c r="J347" s="14"/>
      <c r="K347" s="14"/>
      <c r="L347" s="14"/>
      <c r="M347" s="14"/>
      <c r="N347" s="14"/>
      <c r="O347" s="14"/>
      <c r="P347" s="14"/>
      <c r="Q347" s="14"/>
      <c r="R347" s="14"/>
      <c r="S347" s="14"/>
      <c r="T347" s="14"/>
      <c r="U347" s="14"/>
    </row>
    <row r="348">
      <c r="D348" s="114"/>
      <c r="E348" s="114"/>
      <c r="J348" s="14"/>
      <c r="K348" s="14"/>
      <c r="L348" s="14"/>
      <c r="M348" s="14"/>
      <c r="N348" s="14"/>
      <c r="O348" s="14"/>
      <c r="P348" s="14"/>
      <c r="Q348" s="14"/>
      <c r="R348" s="14"/>
      <c r="S348" s="14"/>
      <c r="T348" s="14"/>
      <c r="U348" s="14"/>
    </row>
    <row r="349">
      <c r="D349" s="114"/>
      <c r="E349" s="114"/>
      <c r="J349" s="14"/>
      <c r="K349" s="14"/>
      <c r="L349" s="14"/>
      <c r="M349" s="14"/>
      <c r="N349" s="14"/>
      <c r="O349" s="14"/>
      <c r="P349" s="14"/>
      <c r="Q349" s="14"/>
      <c r="R349" s="14"/>
      <c r="S349" s="14"/>
      <c r="T349" s="14"/>
      <c r="U349" s="14"/>
    </row>
    <row r="350">
      <c r="D350" s="114"/>
      <c r="E350" s="114"/>
      <c r="J350" s="14"/>
      <c r="K350" s="14"/>
      <c r="L350" s="14"/>
      <c r="M350" s="14"/>
      <c r="N350" s="14"/>
      <c r="O350" s="14"/>
      <c r="P350" s="14"/>
      <c r="Q350" s="14"/>
      <c r="R350" s="14"/>
      <c r="S350" s="14"/>
      <c r="T350" s="14"/>
      <c r="U350" s="14"/>
    </row>
    <row r="351">
      <c r="D351" s="114"/>
      <c r="E351" s="114"/>
      <c r="J351" s="14"/>
      <c r="K351" s="14"/>
      <c r="L351" s="14"/>
      <c r="M351" s="14"/>
      <c r="N351" s="14"/>
      <c r="O351" s="14"/>
      <c r="P351" s="14"/>
      <c r="Q351" s="14"/>
      <c r="R351" s="14"/>
      <c r="S351" s="14"/>
      <c r="T351" s="14"/>
      <c r="U351" s="14"/>
    </row>
    <row r="352">
      <c r="D352" s="114"/>
      <c r="E352" s="114"/>
      <c r="J352" s="14"/>
      <c r="K352" s="14"/>
      <c r="L352" s="14"/>
      <c r="M352" s="14"/>
      <c r="N352" s="14"/>
      <c r="O352" s="14"/>
      <c r="P352" s="14"/>
      <c r="Q352" s="14"/>
      <c r="R352" s="14"/>
      <c r="S352" s="14"/>
      <c r="T352" s="14"/>
      <c r="U352" s="14"/>
    </row>
    <row r="353">
      <c r="D353" s="114"/>
      <c r="E353" s="114"/>
      <c r="J353" s="14"/>
      <c r="K353" s="14"/>
      <c r="L353" s="14"/>
      <c r="M353" s="14"/>
      <c r="N353" s="14"/>
      <c r="O353" s="14"/>
      <c r="P353" s="14"/>
      <c r="Q353" s="14"/>
      <c r="R353" s="14"/>
      <c r="S353" s="14"/>
      <c r="T353" s="14"/>
      <c r="U353" s="14"/>
    </row>
    <row r="354">
      <c r="D354" s="114"/>
      <c r="E354" s="114"/>
      <c r="J354" s="14"/>
      <c r="K354" s="14"/>
      <c r="L354" s="14"/>
      <c r="M354" s="14"/>
      <c r="N354" s="14"/>
      <c r="O354" s="14"/>
      <c r="P354" s="14"/>
      <c r="Q354" s="14"/>
      <c r="R354" s="14"/>
      <c r="S354" s="14"/>
      <c r="T354" s="14"/>
      <c r="U354" s="14"/>
    </row>
    <row r="355">
      <c r="D355" s="114"/>
      <c r="E355" s="114"/>
      <c r="J355" s="14"/>
      <c r="K355" s="14"/>
      <c r="L355" s="14"/>
      <c r="M355" s="14"/>
      <c r="N355" s="14"/>
      <c r="O355" s="14"/>
      <c r="P355" s="14"/>
      <c r="Q355" s="14"/>
      <c r="R355" s="14"/>
      <c r="S355" s="14"/>
      <c r="T355" s="14"/>
      <c r="U355" s="14"/>
    </row>
    <row r="356">
      <c r="D356" s="114"/>
      <c r="E356" s="114"/>
      <c r="J356" s="14"/>
      <c r="K356" s="14"/>
      <c r="L356" s="14"/>
      <c r="M356" s="14"/>
      <c r="N356" s="14"/>
      <c r="O356" s="14"/>
      <c r="P356" s="14"/>
      <c r="Q356" s="14"/>
      <c r="R356" s="14"/>
      <c r="S356" s="14"/>
      <c r="T356" s="14"/>
      <c r="U356" s="14"/>
    </row>
    <row r="357">
      <c r="D357" s="114"/>
      <c r="E357" s="114"/>
      <c r="J357" s="14"/>
      <c r="K357" s="14"/>
      <c r="L357" s="14"/>
      <c r="M357" s="14"/>
      <c r="N357" s="14"/>
      <c r="O357" s="14"/>
      <c r="P357" s="14"/>
      <c r="Q357" s="14"/>
      <c r="R357" s="14"/>
      <c r="S357" s="14"/>
      <c r="T357" s="14"/>
      <c r="U357" s="14"/>
    </row>
    <row r="358">
      <c r="D358" s="114"/>
      <c r="E358" s="114"/>
      <c r="J358" s="14"/>
      <c r="K358" s="14"/>
      <c r="L358" s="14"/>
      <c r="M358" s="14"/>
      <c r="N358" s="14"/>
      <c r="O358" s="14"/>
      <c r="P358" s="14"/>
      <c r="Q358" s="14"/>
      <c r="R358" s="14"/>
      <c r="S358" s="14"/>
      <c r="T358" s="14"/>
      <c r="U358" s="14"/>
    </row>
    <row r="359">
      <c r="D359" s="114"/>
      <c r="E359" s="114"/>
      <c r="J359" s="14"/>
      <c r="K359" s="14"/>
      <c r="L359" s="14"/>
      <c r="M359" s="14"/>
      <c r="N359" s="14"/>
      <c r="O359" s="14"/>
      <c r="P359" s="14"/>
      <c r="Q359" s="14"/>
      <c r="R359" s="14"/>
      <c r="S359" s="14"/>
      <c r="T359" s="14"/>
      <c r="U359" s="14"/>
    </row>
    <row r="360">
      <c r="D360" s="114"/>
      <c r="E360" s="114"/>
      <c r="J360" s="14"/>
      <c r="K360" s="14"/>
      <c r="L360" s="14"/>
      <c r="M360" s="14"/>
      <c r="N360" s="14"/>
      <c r="O360" s="14"/>
      <c r="P360" s="14"/>
      <c r="Q360" s="14"/>
      <c r="R360" s="14"/>
      <c r="S360" s="14"/>
      <c r="T360" s="14"/>
      <c r="U360" s="14"/>
    </row>
    <row r="361">
      <c r="D361" s="114"/>
      <c r="E361" s="114"/>
      <c r="J361" s="14"/>
      <c r="K361" s="14"/>
      <c r="L361" s="14"/>
      <c r="M361" s="14"/>
      <c r="N361" s="14"/>
      <c r="O361" s="14"/>
      <c r="P361" s="14"/>
      <c r="Q361" s="14"/>
      <c r="R361" s="14"/>
      <c r="S361" s="14"/>
      <c r="T361" s="14"/>
      <c r="U361" s="14"/>
    </row>
    <row r="362">
      <c r="D362" s="114"/>
      <c r="E362" s="114"/>
      <c r="J362" s="14"/>
      <c r="K362" s="14"/>
      <c r="L362" s="14"/>
      <c r="M362" s="14"/>
      <c r="N362" s="14"/>
      <c r="O362" s="14"/>
      <c r="P362" s="14"/>
      <c r="Q362" s="14"/>
      <c r="R362" s="14"/>
      <c r="S362" s="14"/>
      <c r="T362" s="14"/>
      <c r="U362" s="14"/>
    </row>
    <row r="363">
      <c r="D363" s="114"/>
      <c r="E363" s="114"/>
      <c r="J363" s="14"/>
      <c r="K363" s="14"/>
      <c r="L363" s="14"/>
      <c r="M363" s="14"/>
      <c r="N363" s="14"/>
      <c r="O363" s="14"/>
      <c r="P363" s="14"/>
      <c r="Q363" s="14"/>
      <c r="R363" s="14"/>
      <c r="S363" s="14"/>
      <c r="T363" s="14"/>
      <c r="U363" s="14"/>
    </row>
    <row r="364">
      <c r="D364" s="114"/>
      <c r="E364" s="114"/>
      <c r="J364" s="14"/>
      <c r="K364" s="14"/>
      <c r="L364" s="14"/>
      <c r="M364" s="14"/>
      <c r="N364" s="14"/>
      <c r="O364" s="14"/>
      <c r="P364" s="14"/>
      <c r="Q364" s="14"/>
      <c r="R364" s="14"/>
      <c r="S364" s="14"/>
      <c r="T364" s="14"/>
      <c r="U364" s="14"/>
    </row>
    <row r="365">
      <c r="D365" s="114"/>
      <c r="E365" s="114"/>
      <c r="J365" s="14"/>
      <c r="K365" s="14"/>
      <c r="L365" s="14"/>
      <c r="M365" s="14"/>
      <c r="N365" s="14"/>
      <c r="O365" s="14"/>
      <c r="P365" s="14"/>
      <c r="Q365" s="14"/>
      <c r="R365" s="14"/>
      <c r="S365" s="14"/>
      <c r="T365" s="14"/>
      <c r="U365" s="14"/>
    </row>
    <row r="366">
      <c r="D366" s="114"/>
      <c r="E366" s="114"/>
      <c r="J366" s="14"/>
      <c r="K366" s="14"/>
      <c r="L366" s="14"/>
      <c r="M366" s="14"/>
      <c r="N366" s="14"/>
      <c r="O366" s="14"/>
      <c r="P366" s="14"/>
      <c r="Q366" s="14"/>
      <c r="R366" s="14"/>
      <c r="S366" s="14"/>
      <c r="T366" s="14"/>
      <c r="U366" s="14"/>
    </row>
    <row r="367">
      <c r="D367" s="114"/>
      <c r="E367" s="114"/>
      <c r="J367" s="14"/>
      <c r="K367" s="14"/>
      <c r="L367" s="14"/>
      <c r="M367" s="14"/>
      <c r="N367" s="14"/>
      <c r="O367" s="14"/>
      <c r="P367" s="14"/>
      <c r="Q367" s="14"/>
      <c r="R367" s="14"/>
      <c r="S367" s="14"/>
      <c r="T367" s="14"/>
      <c r="U367" s="14"/>
    </row>
    <row r="368">
      <c r="D368" s="114"/>
      <c r="E368" s="114"/>
      <c r="J368" s="14"/>
      <c r="K368" s="14"/>
      <c r="L368" s="14"/>
      <c r="M368" s="14"/>
      <c r="N368" s="14"/>
      <c r="O368" s="14"/>
      <c r="P368" s="14"/>
      <c r="Q368" s="14"/>
      <c r="R368" s="14"/>
      <c r="S368" s="14"/>
      <c r="T368" s="14"/>
      <c r="U368" s="14"/>
    </row>
    <row r="369">
      <c r="D369" s="114"/>
      <c r="E369" s="114"/>
      <c r="J369" s="14"/>
      <c r="K369" s="14"/>
      <c r="L369" s="14"/>
      <c r="M369" s="14"/>
      <c r="N369" s="14"/>
      <c r="O369" s="14"/>
      <c r="P369" s="14"/>
      <c r="Q369" s="14"/>
      <c r="R369" s="14"/>
      <c r="S369" s="14"/>
      <c r="T369" s="14"/>
      <c r="U369" s="14"/>
    </row>
    <row r="370">
      <c r="D370" s="114"/>
      <c r="E370" s="114"/>
      <c r="J370" s="14"/>
      <c r="K370" s="14"/>
      <c r="L370" s="14"/>
      <c r="M370" s="14"/>
      <c r="N370" s="14"/>
      <c r="O370" s="14"/>
      <c r="P370" s="14"/>
      <c r="Q370" s="14"/>
      <c r="R370" s="14"/>
      <c r="S370" s="14"/>
      <c r="T370" s="14"/>
      <c r="U370" s="14"/>
    </row>
    <row r="371">
      <c r="D371" s="114"/>
      <c r="E371" s="114"/>
      <c r="J371" s="14"/>
      <c r="K371" s="14"/>
      <c r="L371" s="14"/>
      <c r="M371" s="14"/>
      <c r="N371" s="14"/>
      <c r="O371" s="14"/>
      <c r="P371" s="14"/>
      <c r="Q371" s="14"/>
      <c r="R371" s="14"/>
      <c r="S371" s="14"/>
      <c r="T371" s="14"/>
      <c r="U371" s="14"/>
    </row>
    <row r="372">
      <c r="D372" s="114"/>
      <c r="E372" s="114"/>
      <c r="J372" s="14"/>
      <c r="K372" s="14"/>
      <c r="L372" s="14"/>
      <c r="M372" s="14"/>
      <c r="N372" s="14"/>
      <c r="O372" s="14"/>
      <c r="P372" s="14"/>
      <c r="Q372" s="14"/>
      <c r="R372" s="14"/>
      <c r="S372" s="14"/>
      <c r="T372" s="14"/>
      <c r="U372" s="14"/>
    </row>
    <row r="373">
      <c r="D373" s="114"/>
      <c r="E373" s="114"/>
      <c r="J373" s="14"/>
      <c r="K373" s="14"/>
      <c r="L373" s="14"/>
      <c r="M373" s="14"/>
      <c r="N373" s="14"/>
      <c r="O373" s="14"/>
      <c r="P373" s="14"/>
      <c r="Q373" s="14"/>
      <c r="R373" s="14"/>
      <c r="S373" s="14"/>
      <c r="T373" s="14"/>
      <c r="U373" s="14"/>
    </row>
    <row r="374">
      <c r="D374" s="114"/>
      <c r="E374" s="114"/>
      <c r="J374" s="14"/>
      <c r="K374" s="14"/>
      <c r="L374" s="14"/>
      <c r="M374" s="14"/>
      <c r="N374" s="14"/>
      <c r="O374" s="14"/>
      <c r="P374" s="14"/>
      <c r="Q374" s="14"/>
      <c r="R374" s="14"/>
      <c r="S374" s="14"/>
      <c r="T374" s="14"/>
      <c r="U374" s="14"/>
    </row>
    <row r="375">
      <c r="D375" s="114"/>
      <c r="E375" s="114"/>
      <c r="J375" s="14"/>
      <c r="K375" s="14"/>
      <c r="L375" s="14"/>
      <c r="M375" s="14"/>
      <c r="N375" s="14"/>
      <c r="O375" s="14"/>
      <c r="P375" s="14"/>
      <c r="Q375" s="14"/>
      <c r="R375" s="14"/>
      <c r="S375" s="14"/>
      <c r="T375" s="14"/>
      <c r="U375" s="14"/>
    </row>
    <row r="376">
      <c r="D376" s="114"/>
      <c r="E376" s="114"/>
      <c r="J376" s="14"/>
      <c r="K376" s="14"/>
      <c r="L376" s="14"/>
      <c r="M376" s="14"/>
      <c r="N376" s="14"/>
      <c r="O376" s="14"/>
      <c r="P376" s="14"/>
      <c r="Q376" s="14"/>
      <c r="R376" s="14"/>
      <c r="S376" s="14"/>
      <c r="T376" s="14"/>
      <c r="U376" s="14"/>
    </row>
    <row r="377">
      <c r="D377" s="114"/>
      <c r="E377" s="114"/>
      <c r="J377" s="14"/>
      <c r="K377" s="14"/>
      <c r="L377" s="14"/>
      <c r="M377" s="14"/>
      <c r="N377" s="14"/>
      <c r="O377" s="14"/>
      <c r="P377" s="14"/>
      <c r="Q377" s="14"/>
      <c r="R377" s="14"/>
      <c r="S377" s="14"/>
      <c r="T377" s="14"/>
      <c r="U377" s="14"/>
    </row>
    <row r="378">
      <c r="D378" s="114"/>
      <c r="E378" s="114"/>
      <c r="J378" s="14"/>
      <c r="K378" s="14"/>
      <c r="L378" s="14"/>
      <c r="M378" s="14"/>
      <c r="N378" s="14"/>
      <c r="O378" s="14"/>
      <c r="P378" s="14"/>
      <c r="Q378" s="14"/>
      <c r="R378" s="14"/>
      <c r="S378" s="14"/>
      <c r="T378" s="14"/>
      <c r="U378" s="14"/>
    </row>
    <row r="379">
      <c r="D379" s="114"/>
      <c r="E379" s="114"/>
      <c r="J379" s="14"/>
      <c r="K379" s="14"/>
      <c r="L379" s="14"/>
      <c r="M379" s="14"/>
      <c r="N379" s="14"/>
      <c r="O379" s="14"/>
      <c r="P379" s="14"/>
      <c r="Q379" s="14"/>
      <c r="R379" s="14"/>
      <c r="S379" s="14"/>
      <c r="T379" s="14"/>
      <c r="U379" s="14"/>
    </row>
    <row r="380">
      <c r="D380" s="114"/>
      <c r="E380" s="114"/>
      <c r="J380" s="14"/>
      <c r="K380" s="14"/>
      <c r="L380" s="14"/>
      <c r="M380" s="14"/>
      <c r="N380" s="14"/>
      <c r="O380" s="14"/>
      <c r="P380" s="14"/>
      <c r="Q380" s="14"/>
      <c r="R380" s="14"/>
      <c r="S380" s="14"/>
      <c r="T380" s="14"/>
      <c r="U380" s="14"/>
    </row>
    <row r="381">
      <c r="D381" s="114"/>
      <c r="E381" s="114"/>
      <c r="J381" s="14"/>
      <c r="K381" s="14"/>
      <c r="L381" s="14"/>
      <c r="M381" s="14"/>
      <c r="N381" s="14"/>
      <c r="O381" s="14"/>
      <c r="P381" s="14"/>
      <c r="Q381" s="14"/>
      <c r="R381" s="14"/>
      <c r="S381" s="14"/>
      <c r="T381" s="14"/>
      <c r="U381" s="14"/>
    </row>
    <row r="382">
      <c r="D382" s="114"/>
      <c r="E382" s="114"/>
      <c r="J382" s="14"/>
      <c r="K382" s="14"/>
      <c r="L382" s="14"/>
      <c r="M382" s="14"/>
      <c r="N382" s="14"/>
      <c r="O382" s="14"/>
      <c r="P382" s="14"/>
      <c r="Q382" s="14"/>
      <c r="R382" s="14"/>
      <c r="S382" s="14"/>
      <c r="T382" s="14"/>
      <c r="U382" s="14"/>
    </row>
    <row r="383">
      <c r="D383" s="114"/>
      <c r="E383" s="114"/>
      <c r="J383" s="14"/>
      <c r="K383" s="14"/>
      <c r="L383" s="14"/>
      <c r="M383" s="14"/>
      <c r="N383" s="14"/>
      <c r="O383" s="14"/>
      <c r="P383" s="14"/>
      <c r="Q383" s="14"/>
      <c r="R383" s="14"/>
      <c r="S383" s="14"/>
      <c r="T383" s="14"/>
      <c r="U383" s="14"/>
    </row>
    <row r="384">
      <c r="D384" s="114"/>
      <c r="E384" s="114"/>
      <c r="J384" s="14"/>
      <c r="K384" s="14"/>
      <c r="L384" s="14"/>
      <c r="M384" s="14"/>
      <c r="N384" s="14"/>
      <c r="O384" s="14"/>
      <c r="P384" s="14"/>
      <c r="Q384" s="14"/>
      <c r="R384" s="14"/>
      <c r="S384" s="14"/>
      <c r="T384" s="14"/>
      <c r="U384" s="14"/>
    </row>
    <row r="385">
      <c r="D385" s="114"/>
      <c r="E385" s="114"/>
      <c r="J385" s="14"/>
      <c r="K385" s="14"/>
      <c r="L385" s="14"/>
      <c r="M385" s="14"/>
      <c r="N385" s="14"/>
      <c r="O385" s="14"/>
      <c r="P385" s="14"/>
      <c r="Q385" s="14"/>
      <c r="R385" s="14"/>
      <c r="S385" s="14"/>
      <c r="T385" s="14"/>
      <c r="U385" s="14"/>
    </row>
    <row r="386">
      <c r="D386" s="114"/>
      <c r="E386" s="114"/>
      <c r="J386" s="14"/>
      <c r="K386" s="14"/>
      <c r="L386" s="14"/>
      <c r="M386" s="14"/>
      <c r="N386" s="14"/>
      <c r="O386" s="14"/>
      <c r="P386" s="14"/>
      <c r="Q386" s="14"/>
      <c r="R386" s="14"/>
      <c r="S386" s="14"/>
      <c r="T386" s="14"/>
      <c r="U386" s="14"/>
    </row>
    <row r="387">
      <c r="D387" s="114"/>
      <c r="E387" s="114"/>
      <c r="J387" s="14"/>
      <c r="K387" s="14"/>
      <c r="L387" s="14"/>
      <c r="M387" s="14"/>
      <c r="N387" s="14"/>
      <c r="O387" s="14"/>
      <c r="P387" s="14"/>
      <c r="Q387" s="14"/>
      <c r="R387" s="14"/>
      <c r="S387" s="14"/>
      <c r="T387" s="14"/>
      <c r="U387" s="14"/>
    </row>
    <row r="388">
      <c r="D388" s="114"/>
      <c r="E388" s="114"/>
      <c r="J388" s="14"/>
      <c r="K388" s="14"/>
      <c r="L388" s="14"/>
      <c r="M388" s="14"/>
      <c r="N388" s="14"/>
      <c r="O388" s="14"/>
      <c r="P388" s="14"/>
      <c r="Q388" s="14"/>
      <c r="R388" s="14"/>
      <c r="S388" s="14"/>
      <c r="T388" s="14"/>
      <c r="U388" s="14"/>
    </row>
    <row r="389">
      <c r="D389" s="114"/>
      <c r="E389" s="114"/>
      <c r="J389" s="14"/>
      <c r="K389" s="14"/>
      <c r="L389" s="14"/>
      <c r="M389" s="14"/>
      <c r="N389" s="14"/>
      <c r="O389" s="14"/>
      <c r="P389" s="14"/>
      <c r="Q389" s="14"/>
      <c r="R389" s="14"/>
      <c r="S389" s="14"/>
      <c r="T389" s="14"/>
      <c r="U389" s="14"/>
    </row>
    <row r="390">
      <c r="D390" s="114"/>
      <c r="E390" s="114"/>
      <c r="J390" s="14"/>
      <c r="K390" s="14"/>
      <c r="L390" s="14"/>
      <c r="M390" s="14"/>
      <c r="N390" s="14"/>
      <c r="O390" s="14"/>
      <c r="P390" s="14"/>
      <c r="Q390" s="14"/>
      <c r="R390" s="14"/>
      <c r="S390" s="14"/>
      <c r="T390" s="14"/>
      <c r="U390" s="14"/>
    </row>
    <row r="391">
      <c r="D391" s="114"/>
      <c r="E391" s="114"/>
      <c r="J391" s="14"/>
      <c r="K391" s="14"/>
      <c r="L391" s="14"/>
      <c r="M391" s="14"/>
      <c r="N391" s="14"/>
      <c r="O391" s="14"/>
      <c r="P391" s="14"/>
      <c r="Q391" s="14"/>
      <c r="R391" s="14"/>
      <c r="S391" s="14"/>
      <c r="T391" s="14"/>
      <c r="U391" s="14"/>
    </row>
    <row r="392">
      <c r="D392" s="114"/>
      <c r="E392" s="114"/>
      <c r="J392" s="14"/>
      <c r="K392" s="14"/>
      <c r="L392" s="14"/>
      <c r="M392" s="14"/>
      <c r="N392" s="14"/>
      <c r="O392" s="14"/>
      <c r="P392" s="14"/>
      <c r="Q392" s="14"/>
      <c r="R392" s="14"/>
      <c r="S392" s="14"/>
      <c r="T392" s="14"/>
      <c r="U392" s="14"/>
    </row>
    <row r="393">
      <c r="D393" s="114"/>
      <c r="E393" s="114"/>
      <c r="J393" s="14"/>
      <c r="K393" s="14"/>
      <c r="L393" s="14"/>
      <c r="M393" s="14"/>
      <c r="N393" s="14"/>
      <c r="O393" s="14"/>
      <c r="P393" s="14"/>
      <c r="Q393" s="14"/>
      <c r="R393" s="14"/>
      <c r="S393" s="14"/>
      <c r="T393" s="14"/>
      <c r="U393" s="14"/>
    </row>
    <row r="394">
      <c r="D394" s="114"/>
      <c r="E394" s="114"/>
      <c r="J394" s="14"/>
      <c r="K394" s="14"/>
      <c r="L394" s="14"/>
      <c r="M394" s="14"/>
      <c r="N394" s="14"/>
      <c r="O394" s="14"/>
      <c r="P394" s="14"/>
      <c r="Q394" s="14"/>
      <c r="R394" s="14"/>
      <c r="S394" s="14"/>
      <c r="T394" s="14"/>
      <c r="U394" s="14"/>
    </row>
    <row r="395">
      <c r="D395" s="114"/>
      <c r="E395" s="114"/>
      <c r="J395" s="14"/>
      <c r="K395" s="14"/>
      <c r="L395" s="14"/>
      <c r="M395" s="14"/>
      <c r="N395" s="14"/>
      <c r="O395" s="14"/>
      <c r="P395" s="14"/>
      <c r="Q395" s="14"/>
      <c r="R395" s="14"/>
      <c r="S395" s="14"/>
      <c r="T395" s="14"/>
      <c r="U395" s="14"/>
    </row>
    <row r="396">
      <c r="D396" s="114"/>
      <c r="E396" s="114"/>
      <c r="J396" s="14"/>
      <c r="K396" s="14"/>
      <c r="L396" s="14"/>
      <c r="M396" s="14"/>
      <c r="N396" s="14"/>
      <c r="O396" s="14"/>
      <c r="P396" s="14"/>
      <c r="Q396" s="14"/>
      <c r="R396" s="14"/>
      <c r="S396" s="14"/>
      <c r="T396" s="14"/>
      <c r="U396" s="14"/>
    </row>
    <row r="397">
      <c r="D397" s="114"/>
      <c r="E397" s="114"/>
      <c r="J397" s="14"/>
      <c r="K397" s="14"/>
      <c r="L397" s="14"/>
      <c r="M397" s="14"/>
      <c r="N397" s="14"/>
      <c r="O397" s="14"/>
      <c r="P397" s="14"/>
      <c r="Q397" s="14"/>
      <c r="R397" s="14"/>
      <c r="S397" s="14"/>
      <c r="T397" s="14"/>
      <c r="U397" s="14"/>
    </row>
    <row r="398">
      <c r="D398" s="114"/>
      <c r="E398" s="114"/>
      <c r="J398" s="14"/>
      <c r="K398" s="14"/>
      <c r="L398" s="14"/>
      <c r="M398" s="14"/>
      <c r="N398" s="14"/>
      <c r="O398" s="14"/>
      <c r="P398" s="14"/>
      <c r="Q398" s="14"/>
      <c r="R398" s="14"/>
      <c r="S398" s="14"/>
      <c r="T398" s="14"/>
      <c r="U398" s="14"/>
    </row>
    <row r="399">
      <c r="D399" s="114"/>
      <c r="E399" s="114"/>
      <c r="J399" s="14"/>
      <c r="K399" s="14"/>
      <c r="L399" s="14"/>
      <c r="M399" s="14"/>
      <c r="N399" s="14"/>
      <c r="O399" s="14"/>
      <c r="P399" s="14"/>
      <c r="Q399" s="14"/>
      <c r="R399" s="14"/>
      <c r="S399" s="14"/>
      <c r="T399" s="14"/>
      <c r="U399" s="14"/>
    </row>
    <row r="400">
      <c r="D400" s="114"/>
      <c r="E400" s="114"/>
      <c r="J400" s="14"/>
      <c r="K400" s="14"/>
      <c r="L400" s="14"/>
      <c r="M400" s="14"/>
      <c r="N400" s="14"/>
      <c r="O400" s="14"/>
      <c r="P400" s="14"/>
      <c r="Q400" s="14"/>
      <c r="R400" s="14"/>
      <c r="S400" s="14"/>
      <c r="T400" s="14"/>
      <c r="U400" s="14"/>
    </row>
    <row r="401">
      <c r="D401" s="114"/>
      <c r="E401" s="114"/>
      <c r="J401" s="14"/>
      <c r="K401" s="14"/>
      <c r="L401" s="14"/>
      <c r="M401" s="14"/>
      <c r="N401" s="14"/>
      <c r="O401" s="14"/>
      <c r="P401" s="14"/>
      <c r="Q401" s="14"/>
      <c r="R401" s="14"/>
      <c r="S401" s="14"/>
      <c r="T401" s="14"/>
      <c r="U401" s="14"/>
    </row>
    <row r="402">
      <c r="D402" s="114"/>
      <c r="E402" s="114"/>
      <c r="J402" s="14"/>
      <c r="K402" s="14"/>
      <c r="L402" s="14"/>
      <c r="M402" s="14"/>
      <c r="N402" s="14"/>
      <c r="O402" s="14"/>
      <c r="P402" s="14"/>
      <c r="Q402" s="14"/>
      <c r="R402" s="14"/>
      <c r="S402" s="14"/>
      <c r="T402" s="14"/>
      <c r="U402" s="14"/>
    </row>
    <row r="403">
      <c r="D403" s="114"/>
      <c r="E403" s="114"/>
      <c r="J403" s="14"/>
      <c r="K403" s="14"/>
      <c r="L403" s="14"/>
      <c r="M403" s="14"/>
      <c r="N403" s="14"/>
      <c r="O403" s="14"/>
      <c r="P403" s="14"/>
      <c r="Q403" s="14"/>
      <c r="R403" s="14"/>
      <c r="S403" s="14"/>
      <c r="T403" s="14"/>
      <c r="U403" s="14"/>
    </row>
    <row r="404">
      <c r="D404" s="114"/>
      <c r="E404" s="114"/>
      <c r="J404" s="14"/>
      <c r="K404" s="14"/>
      <c r="L404" s="14"/>
      <c r="M404" s="14"/>
      <c r="N404" s="14"/>
      <c r="O404" s="14"/>
      <c r="P404" s="14"/>
      <c r="Q404" s="14"/>
      <c r="R404" s="14"/>
      <c r="S404" s="14"/>
      <c r="T404" s="14"/>
      <c r="U404" s="14"/>
    </row>
    <row r="405">
      <c r="D405" s="114"/>
      <c r="E405" s="114"/>
      <c r="J405" s="14"/>
      <c r="K405" s="14"/>
      <c r="L405" s="14"/>
      <c r="M405" s="14"/>
      <c r="N405" s="14"/>
      <c r="O405" s="14"/>
      <c r="P405" s="14"/>
      <c r="Q405" s="14"/>
      <c r="R405" s="14"/>
      <c r="S405" s="14"/>
      <c r="T405" s="14"/>
      <c r="U405" s="14"/>
    </row>
    <row r="406">
      <c r="D406" s="114"/>
      <c r="E406" s="114"/>
      <c r="J406" s="14"/>
      <c r="K406" s="14"/>
      <c r="L406" s="14"/>
      <c r="M406" s="14"/>
      <c r="N406" s="14"/>
      <c r="O406" s="14"/>
      <c r="P406" s="14"/>
      <c r="Q406" s="14"/>
      <c r="R406" s="14"/>
      <c r="S406" s="14"/>
      <c r="T406" s="14"/>
      <c r="U406" s="14"/>
    </row>
    <row r="407">
      <c r="D407" s="114"/>
      <c r="E407" s="114"/>
      <c r="J407" s="14"/>
      <c r="K407" s="14"/>
      <c r="L407" s="14"/>
      <c r="M407" s="14"/>
      <c r="N407" s="14"/>
      <c r="O407" s="14"/>
      <c r="P407" s="14"/>
      <c r="Q407" s="14"/>
      <c r="R407" s="14"/>
      <c r="S407" s="14"/>
      <c r="T407" s="14"/>
      <c r="U407" s="14"/>
    </row>
    <row r="408">
      <c r="D408" s="114"/>
      <c r="E408" s="114"/>
      <c r="J408" s="14"/>
      <c r="K408" s="14"/>
      <c r="L408" s="14"/>
      <c r="M408" s="14"/>
      <c r="N408" s="14"/>
      <c r="O408" s="14"/>
      <c r="P408" s="14"/>
      <c r="Q408" s="14"/>
      <c r="R408" s="14"/>
      <c r="S408" s="14"/>
      <c r="T408" s="14"/>
      <c r="U408" s="14"/>
    </row>
    <row r="409">
      <c r="D409" s="114"/>
      <c r="E409" s="114"/>
      <c r="J409" s="14"/>
      <c r="K409" s="14"/>
      <c r="L409" s="14"/>
      <c r="M409" s="14"/>
      <c r="N409" s="14"/>
      <c r="O409" s="14"/>
      <c r="P409" s="14"/>
      <c r="Q409" s="14"/>
      <c r="R409" s="14"/>
      <c r="S409" s="14"/>
      <c r="T409" s="14"/>
      <c r="U409" s="14"/>
    </row>
    <row r="410">
      <c r="D410" s="114"/>
      <c r="E410" s="114"/>
      <c r="J410" s="14"/>
      <c r="K410" s="14"/>
      <c r="L410" s="14"/>
      <c r="M410" s="14"/>
      <c r="N410" s="14"/>
      <c r="O410" s="14"/>
      <c r="P410" s="14"/>
      <c r="Q410" s="14"/>
      <c r="R410" s="14"/>
      <c r="S410" s="14"/>
      <c r="T410" s="14"/>
      <c r="U410" s="14"/>
    </row>
    <row r="411">
      <c r="D411" s="114"/>
      <c r="E411" s="114"/>
      <c r="J411" s="14"/>
      <c r="K411" s="14"/>
      <c r="L411" s="14"/>
      <c r="M411" s="14"/>
      <c r="N411" s="14"/>
      <c r="O411" s="14"/>
      <c r="P411" s="14"/>
      <c r="Q411" s="14"/>
      <c r="R411" s="14"/>
      <c r="S411" s="14"/>
      <c r="T411" s="14"/>
      <c r="U411" s="14"/>
    </row>
    <row r="412">
      <c r="D412" s="114"/>
      <c r="E412" s="114"/>
      <c r="J412" s="14"/>
      <c r="K412" s="14"/>
      <c r="L412" s="14"/>
      <c r="M412" s="14"/>
      <c r="N412" s="14"/>
      <c r="O412" s="14"/>
      <c r="P412" s="14"/>
      <c r="Q412" s="14"/>
      <c r="R412" s="14"/>
      <c r="S412" s="14"/>
      <c r="T412" s="14"/>
      <c r="U412" s="14"/>
    </row>
    <row r="413">
      <c r="D413" s="114"/>
      <c r="E413" s="114"/>
      <c r="J413" s="14"/>
      <c r="K413" s="14"/>
      <c r="L413" s="14"/>
      <c r="M413" s="14"/>
      <c r="N413" s="14"/>
      <c r="O413" s="14"/>
      <c r="P413" s="14"/>
      <c r="Q413" s="14"/>
      <c r="R413" s="14"/>
      <c r="S413" s="14"/>
      <c r="T413" s="14"/>
      <c r="U413" s="14"/>
    </row>
    <row r="414">
      <c r="D414" s="114"/>
      <c r="E414" s="114"/>
      <c r="J414" s="14"/>
      <c r="K414" s="14"/>
      <c r="L414" s="14"/>
      <c r="M414" s="14"/>
      <c r="N414" s="14"/>
      <c r="O414" s="14"/>
      <c r="P414" s="14"/>
      <c r="Q414" s="14"/>
      <c r="R414" s="14"/>
      <c r="S414" s="14"/>
      <c r="T414" s="14"/>
      <c r="U414" s="14"/>
    </row>
    <row r="415">
      <c r="D415" s="114"/>
      <c r="E415" s="114"/>
      <c r="J415" s="14"/>
      <c r="K415" s="14"/>
      <c r="L415" s="14"/>
      <c r="M415" s="14"/>
      <c r="N415" s="14"/>
      <c r="O415" s="14"/>
      <c r="P415" s="14"/>
      <c r="Q415" s="14"/>
      <c r="R415" s="14"/>
      <c r="S415" s="14"/>
      <c r="T415" s="14"/>
      <c r="U415" s="14"/>
    </row>
    <row r="416">
      <c r="D416" s="114"/>
      <c r="E416" s="114"/>
      <c r="J416" s="14"/>
      <c r="K416" s="14"/>
      <c r="L416" s="14"/>
      <c r="M416" s="14"/>
      <c r="N416" s="14"/>
      <c r="O416" s="14"/>
      <c r="P416" s="14"/>
      <c r="Q416" s="14"/>
      <c r="R416" s="14"/>
      <c r="S416" s="14"/>
      <c r="T416" s="14"/>
      <c r="U416" s="14"/>
    </row>
    <row r="417">
      <c r="D417" s="114"/>
      <c r="E417" s="114"/>
      <c r="J417" s="14"/>
      <c r="K417" s="14"/>
      <c r="L417" s="14"/>
      <c r="M417" s="14"/>
      <c r="N417" s="14"/>
      <c r="O417" s="14"/>
      <c r="P417" s="14"/>
      <c r="Q417" s="14"/>
      <c r="R417" s="14"/>
      <c r="S417" s="14"/>
      <c r="T417" s="14"/>
      <c r="U417" s="14"/>
    </row>
    <row r="418">
      <c r="D418" s="114"/>
      <c r="E418" s="114"/>
      <c r="J418" s="14"/>
      <c r="K418" s="14"/>
      <c r="L418" s="14"/>
      <c r="M418" s="14"/>
      <c r="N418" s="14"/>
      <c r="O418" s="14"/>
      <c r="P418" s="14"/>
      <c r="Q418" s="14"/>
      <c r="R418" s="14"/>
      <c r="S418" s="14"/>
      <c r="T418" s="14"/>
      <c r="U418" s="14"/>
    </row>
    <row r="419">
      <c r="D419" s="114"/>
      <c r="E419" s="114"/>
      <c r="J419" s="14"/>
      <c r="K419" s="14"/>
      <c r="L419" s="14"/>
      <c r="M419" s="14"/>
      <c r="N419" s="14"/>
      <c r="O419" s="14"/>
      <c r="P419" s="14"/>
      <c r="Q419" s="14"/>
      <c r="R419" s="14"/>
      <c r="S419" s="14"/>
      <c r="T419" s="14"/>
      <c r="U419" s="14"/>
    </row>
    <row r="420">
      <c r="D420" s="114"/>
      <c r="E420" s="114"/>
      <c r="J420" s="14"/>
      <c r="K420" s="14"/>
      <c r="L420" s="14"/>
      <c r="M420" s="14"/>
      <c r="N420" s="14"/>
      <c r="O420" s="14"/>
      <c r="P420" s="14"/>
      <c r="Q420" s="14"/>
      <c r="R420" s="14"/>
      <c r="S420" s="14"/>
      <c r="T420" s="14"/>
      <c r="U420" s="14"/>
    </row>
    <row r="421">
      <c r="D421" s="114"/>
      <c r="E421" s="114"/>
      <c r="J421" s="14"/>
      <c r="K421" s="14"/>
      <c r="L421" s="14"/>
      <c r="M421" s="14"/>
      <c r="N421" s="14"/>
      <c r="O421" s="14"/>
      <c r="P421" s="14"/>
      <c r="Q421" s="14"/>
      <c r="R421" s="14"/>
      <c r="S421" s="14"/>
      <c r="T421" s="14"/>
      <c r="U421" s="14"/>
    </row>
    <row r="422">
      <c r="D422" s="114"/>
      <c r="E422" s="114"/>
      <c r="J422" s="14"/>
      <c r="K422" s="14"/>
      <c r="L422" s="14"/>
      <c r="M422" s="14"/>
      <c r="N422" s="14"/>
      <c r="O422" s="14"/>
      <c r="P422" s="14"/>
      <c r="Q422" s="14"/>
      <c r="R422" s="14"/>
      <c r="S422" s="14"/>
      <c r="T422" s="14"/>
      <c r="U422" s="14"/>
    </row>
    <row r="423">
      <c r="D423" s="114"/>
      <c r="E423" s="114"/>
      <c r="J423" s="14"/>
      <c r="K423" s="14"/>
      <c r="L423" s="14"/>
      <c r="M423" s="14"/>
      <c r="N423" s="14"/>
      <c r="O423" s="14"/>
      <c r="P423" s="14"/>
      <c r="Q423" s="14"/>
      <c r="R423" s="14"/>
      <c r="S423" s="14"/>
      <c r="T423" s="14"/>
      <c r="U423" s="14"/>
    </row>
    <row r="424">
      <c r="D424" s="114"/>
      <c r="E424" s="114"/>
      <c r="J424" s="14"/>
      <c r="K424" s="14"/>
      <c r="L424" s="14"/>
      <c r="M424" s="14"/>
      <c r="N424" s="14"/>
      <c r="O424" s="14"/>
      <c r="P424" s="14"/>
      <c r="Q424" s="14"/>
      <c r="R424" s="14"/>
      <c r="S424" s="14"/>
      <c r="T424" s="14"/>
      <c r="U424" s="14"/>
    </row>
    <row r="425">
      <c r="D425" s="114"/>
      <c r="E425" s="114"/>
      <c r="J425" s="14"/>
      <c r="K425" s="14"/>
      <c r="L425" s="14"/>
      <c r="M425" s="14"/>
      <c r="N425" s="14"/>
      <c r="O425" s="14"/>
      <c r="P425" s="14"/>
      <c r="Q425" s="14"/>
      <c r="R425" s="14"/>
      <c r="S425" s="14"/>
      <c r="T425" s="14"/>
      <c r="U425" s="14"/>
    </row>
    <row r="426">
      <c r="D426" s="114"/>
      <c r="E426" s="114"/>
      <c r="J426" s="14"/>
      <c r="K426" s="14"/>
      <c r="L426" s="14"/>
      <c r="M426" s="14"/>
      <c r="N426" s="14"/>
      <c r="O426" s="14"/>
      <c r="P426" s="14"/>
      <c r="Q426" s="14"/>
      <c r="R426" s="14"/>
      <c r="S426" s="14"/>
      <c r="T426" s="14"/>
      <c r="U426" s="14"/>
    </row>
    <row r="427">
      <c r="D427" s="114"/>
      <c r="E427" s="114"/>
      <c r="J427" s="14"/>
      <c r="K427" s="14"/>
      <c r="L427" s="14"/>
      <c r="M427" s="14"/>
      <c r="N427" s="14"/>
      <c r="O427" s="14"/>
      <c r="P427" s="14"/>
      <c r="Q427" s="14"/>
      <c r="R427" s="14"/>
      <c r="S427" s="14"/>
      <c r="T427" s="14"/>
      <c r="U427" s="14"/>
    </row>
    <row r="428">
      <c r="D428" s="114"/>
      <c r="E428" s="114"/>
      <c r="J428" s="14"/>
      <c r="K428" s="14"/>
      <c r="L428" s="14"/>
      <c r="M428" s="14"/>
      <c r="N428" s="14"/>
      <c r="O428" s="14"/>
      <c r="P428" s="14"/>
      <c r="Q428" s="14"/>
      <c r="R428" s="14"/>
      <c r="S428" s="14"/>
      <c r="T428" s="14"/>
      <c r="U428" s="14"/>
    </row>
    <row r="429">
      <c r="D429" s="114"/>
      <c r="E429" s="114"/>
      <c r="J429" s="14"/>
      <c r="K429" s="14"/>
      <c r="L429" s="14"/>
      <c r="M429" s="14"/>
      <c r="N429" s="14"/>
      <c r="O429" s="14"/>
      <c r="P429" s="14"/>
      <c r="Q429" s="14"/>
      <c r="R429" s="14"/>
      <c r="S429" s="14"/>
      <c r="T429" s="14"/>
      <c r="U429" s="14"/>
    </row>
    <row r="430">
      <c r="D430" s="114"/>
      <c r="E430" s="114"/>
      <c r="J430" s="14"/>
      <c r="K430" s="14"/>
      <c r="L430" s="14"/>
      <c r="M430" s="14"/>
      <c r="N430" s="14"/>
      <c r="O430" s="14"/>
      <c r="P430" s="14"/>
      <c r="Q430" s="14"/>
      <c r="R430" s="14"/>
      <c r="S430" s="14"/>
      <c r="T430" s="14"/>
      <c r="U430" s="14"/>
    </row>
    <row r="431">
      <c r="D431" s="114"/>
      <c r="E431" s="114"/>
      <c r="J431" s="14"/>
      <c r="K431" s="14"/>
      <c r="L431" s="14"/>
      <c r="M431" s="14"/>
      <c r="N431" s="14"/>
      <c r="O431" s="14"/>
      <c r="P431" s="14"/>
      <c r="Q431" s="14"/>
      <c r="R431" s="14"/>
      <c r="S431" s="14"/>
      <c r="T431" s="14"/>
      <c r="U431" s="14"/>
    </row>
    <row r="432">
      <c r="D432" s="114"/>
      <c r="E432" s="114"/>
      <c r="J432" s="14"/>
      <c r="K432" s="14"/>
      <c r="L432" s="14"/>
      <c r="M432" s="14"/>
      <c r="N432" s="14"/>
      <c r="O432" s="14"/>
      <c r="P432" s="14"/>
      <c r="Q432" s="14"/>
      <c r="R432" s="14"/>
      <c r="S432" s="14"/>
      <c r="T432" s="14"/>
      <c r="U432" s="14"/>
    </row>
    <row r="433">
      <c r="D433" s="114"/>
      <c r="E433" s="114"/>
      <c r="J433" s="14"/>
      <c r="K433" s="14"/>
      <c r="L433" s="14"/>
      <c r="M433" s="14"/>
      <c r="N433" s="14"/>
      <c r="O433" s="14"/>
      <c r="P433" s="14"/>
      <c r="Q433" s="14"/>
      <c r="R433" s="14"/>
      <c r="S433" s="14"/>
      <c r="T433" s="14"/>
      <c r="U433" s="14"/>
    </row>
    <row r="434">
      <c r="D434" s="114"/>
      <c r="E434" s="114"/>
      <c r="J434" s="14"/>
      <c r="K434" s="14"/>
      <c r="L434" s="14"/>
      <c r="M434" s="14"/>
      <c r="N434" s="14"/>
      <c r="O434" s="14"/>
      <c r="P434" s="14"/>
      <c r="Q434" s="14"/>
      <c r="R434" s="14"/>
      <c r="S434" s="14"/>
      <c r="T434" s="14"/>
      <c r="U434" s="14"/>
    </row>
    <row r="435">
      <c r="D435" s="114"/>
      <c r="E435" s="114"/>
      <c r="J435" s="14"/>
      <c r="K435" s="14"/>
      <c r="L435" s="14"/>
      <c r="M435" s="14"/>
      <c r="N435" s="14"/>
      <c r="O435" s="14"/>
      <c r="P435" s="14"/>
      <c r="Q435" s="14"/>
      <c r="R435" s="14"/>
      <c r="S435" s="14"/>
      <c r="T435" s="14"/>
      <c r="U435" s="14"/>
    </row>
    <row r="436">
      <c r="D436" s="114"/>
      <c r="E436" s="114"/>
      <c r="J436" s="14"/>
      <c r="K436" s="14"/>
      <c r="L436" s="14"/>
      <c r="M436" s="14"/>
      <c r="N436" s="14"/>
      <c r="O436" s="14"/>
      <c r="P436" s="14"/>
      <c r="Q436" s="14"/>
      <c r="R436" s="14"/>
      <c r="S436" s="14"/>
      <c r="T436" s="14"/>
      <c r="U436" s="14"/>
    </row>
    <row r="437">
      <c r="D437" s="114"/>
      <c r="E437" s="114"/>
      <c r="J437" s="14"/>
      <c r="K437" s="14"/>
      <c r="L437" s="14"/>
      <c r="M437" s="14"/>
      <c r="N437" s="14"/>
      <c r="O437" s="14"/>
      <c r="P437" s="14"/>
      <c r="Q437" s="14"/>
      <c r="R437" s="14"/>
      <c r="S437" s="14"/>
      <c r="T437" s="14"/>
      <c r="U437" s="14"/>
    </row>
    <row r="438">
      <c r="D438" s="114"/>
      <c r="E438" s="114"/>
      <c r="J438" s="14"/>
      <c r="K438" s="14"/>
      <c r="L438" s="14"/>
      <c r="M438" s="14"/>
      <c r="N438" s="14"/>
      <c r="O438" s="14"/>
      <c r="P438" s="14"/>
      <c r="Q438" s="14"/>
      <c r="R438" s="14"/>
      <c r="S438" s="14"/>
      <c r="T438" s="14"/>
      <c r="U438" s="14"/>
    </row>
    <row r="439">
      <c r="D439" s="114"/>
      <c r="E439" s="114"/>
      <c r="J439" s="14"/>
      <c r="K439" s="14"/>
      <c r="L439" s="14"/>
      <c r="M439" s="14"/>
      <c r="N439" s="14"/>
      <c r="O439" s="14"/>
      <c r="P439" s="14"/>
      <c r="Q439" s="14"/>
      <c r="R439" s="14"/>
      <c r="S439" s="14"/>
      <c r="T439" s="14"/>
      <c r="U439" s="14"/>
    </row>
    <row r="440">
      <c r="D440" s="114"/>
      <c r="E440" s="114"/>
      <c r="J440" s="14"/>
      <c r="K440" s="14"/>
      <c r="L440" s="14"/>
      <c r="M440" s="14"/>
      <c r="N440" s="14"/>
      <c r="O440" s="14"/>
      <c r="P440" s="14"/>
      <c r="Q440" s="14"/>
      <c r="R440" s="14"/>
      <c r="S440" s="14"/>
      <c r="T440" s="14"/>
      <c r="U440" s="14"/>
    </row>
    <row r="441">
      <c r="D441" s="114"/>
      <c r="E441" s="114"/>
      <c r="J441" s="14"/>
      <c r="K441" s="14"/>
      <c r="L441" s="14"/>
      <c r="M441" s="14"/>
      <c r="N441" s="14"/>
      <c r="O441" s="14"/>
      <c r="P441" s="14"/>
      <c r="Q441" s="14"/>
      <c r="R441" s="14"/>
      <c r="S441" s="14"/>
      <c r="T441" s="14"/>
      <c r="U441" s="14"/>
    </row>
    <row r="442">
      <c r="D442" s="114"/>
      <c r="E442" s="114"/>
      <c r="J442" s="14"/>
      <c r="K442" s="14"/>
      <c r="L442" s="14"/>
      <c r="M442" s="14"/>
      <c r="N442" s="14"/>
      <c r="O442" s="14"/>
      <c r="P442" s="14"/>
      <c r="Q442" s="14"/>
      <c r="R442" s="14"/>
      <c r="S442" s="14"/>
      <c r="T442" s="14"/>
      <c r="U442" s="14"/>
    </row>
    <row r="443">
      <c r="D443" s="114"/>
      <c r="E443" s="114"/>
      <c r="J443" s="14"/>
      <c r="K443" s="14"/>
      <c r="L443" s="14"/>
      <c r="M443" s="14"/>
      <c r="N443" s="14"/>
      <c r="O443" s="14"/>
      <c r="P443" s="14"/>
      <c r="Q443" s="14"/>
      <c r="R443" s="14"/>
      <c r="S443" s="14"/>
      <c r="T443" s="14"/>
      <c r="U443" s="14"/>
    </row>
    <row r="444">
      <c r="D444" s="114"/>
      <c r="E444" s="114"/>
      <c r="J444" s="14"/>
      <c r="K444" s="14"/>
      <c r="L444" s="14"/>
      <c r="M444" s="14"/>
      <c r="N444" s="14"/>
      <c r="O444" s="14"/>
      <c r="P444" s="14"/>
      <c r="Q444" s="14"/>
      <c r="R444" s="14"/>
      <c r="S444" s="14"/>
      <c r="T444" s="14"/>
      <c r="U444" s="14"/>
    </row>
    <row r="445">
      <c r="D445" s="114"/>
      <c r="E445" s="114"/>
      <c r="J445" s="14"/>
      <c r="K445" s="14"/>
      <c r="L445" s="14"/>
      <c r="M445" s="14"/>
      <c r="N445" s="14"/>
      <c r="O445" s="14"/>
      <c r="P445" s="14"/>
      <c r="Q445" s="14"/>
      <c r="R445" s="14"/>
      <c r="S445" s="14"/>
      <c r="T445" s="14"/>
      <c r="U445" s="14"/>
    </row>
    <row r="446">
      <c r="D446" s="114"/>
      <c r="E446" s="114"/>
      <c r="J446" s="14"/>
      <c r="K446" s="14"/>
      <c r="L446" s="14"/>
      <c r="M446" s="14"/>
      <c r="N446" s="14"/>
      <c r="O446" s="14"/>
      <c r="P446" s="14"/>
      <c r="Q446" s="14"/>
      <c r="R446" s="14"/>
      <c r="S446" s="14"/>
      <c r="T446" s="14"/>
      <c r="U446" s="14"/>
    </row>
    <row r="447">
      <c r="D447" s="114"/>
      <c r="E447" s="114"/>
      <c r="J447" s="14"/>
      <c r="K447" s="14"/>
      <c r="L447" s="14"/>
      <c r="M447" s="14"/>
      <c r="N447" s="14"/>
      <c r="O447" s="14"/>
      <c r="P447" s="14"/>
      <c r="Q447" s="14"/>
      <c r="R447" s="14"/>
      <c r="S447" s="14"/>
      <c r="T447" s="14"/>
      <c r="U447" s="14"/>
    </row>
    <row r="448">
      <c r="D448" s="114"/>
      <c r="E448" s="114"/>
      <c r="J448" s="14"/>
      <c r="K448" s="14"/>
      <c r="L448" s="14"/>
      <c r="M448" s="14"/>
      <c r="N448" s="14"/>
      <c r="O448" s="14"/>
      <c r="P448" s="14"/>
      <c r="Q448" s="14"/>
      <c r="R448" s="14"/>
      <c r="S448" s="14"/>
      <c r="T448" s="14"/>
      <c r="U448" s="14"/>
    </row>
    <row r="449">
      <c r="D449" s="114"/>
      <c r="E449" s="114"/>
      <c r="J449" s="14"/>
      <c r="K449" s="14"/>
      <c r="L449" s="14"/>
      <c r="M449" s="14"/>
      <c r="N449" s="14"/>
      <c r="O449" s="14"/>
      <c r="P449" s="14"/>
      <c r="Q449" s="14"/>
      <c r="R449" s="14"/>
      <c r="S449" s="14"/>
      <c r="T449" s="14"/>
      <c r="U449" s="14"/>
    </row>
    <row r="450">
      <c r="D450" s="114"/>
      <c r="E450" s="114"/>
      <c r="J450" s="14"/>
      <c r="K450" s="14"/>
      <c r="L450" s="14"/>
      <c r="M450" s="14"/>
      <c r="N450" s="14"/>
      <c r="O450" s="14"/>
      <c r="P450" s="14"/>
      <c r="Q450" s="14"/>
      <c r="R450" s="14"/>
      <c r="S450" s="14"/>
      <c r="T450" s="14"/>
      <c r="U450" s="14"/>
    </row>
    <row r="451">
      <c r="D451" s="114"/>
      <c r="E451" s="114"/>
      <c r="J451" s="14"/>
      <c r="K451" s="14"/>
      <c r="L451" s="14"/>
      <c r="M451" s="14"/>
      <c r="N451" s="14"/>
      <c r="O451" s="14"/>
      <c r="P451" s="14"/>
      <c r="Q451" s="14"/>
      <c r="R451" s="14"/>
      <c r="S451" s="14"/>
      <c r="T451" s="14"/>
      <c r="U451" s="14"/>
    </row>
    <row r="452">
      <c r="D452" s="114"/>
      <c r="E452" s="114"/>
      <c r="J452" s="14"/>
      <c r="K452" s="14"/>
      <c r="L452" s="14"/>
      <c r="M452" s="14"/>
      <c r="N452" s="14"/>
      <c r="O452" s="14"/>
      <c r="P452" s="14"/>
      <c r="Q452" s="14"/>
      <c r="R452" s="14"/>
      <c r="S452" s="14"/>
      <c r="T452" s="14"/>
      <c r="U452" s="14"/>
    </row>
    <row r="453">
      <c r="D453" s="114"/>
      <c r="E453" s="114"/>
      <c r="J453" s="14"/>
      <c r="K453" s="14"/>
      <c r="L453" s="14"/>
      <c r="M453" s="14"/>
      <c r="N453" s="14"/>
      <c r="O453" s="14"/>
      <c r="P453" s="14"/>
      <c r="Q453" s="14"/>
      <c r="R453" s="14"/>
      <c r="S453" s="14"/>
      <c r="T453" s="14"/>
      <c r="U453" s="14"/>
    </row>
    <row r="454">
      <c r="D454" s="114"/>
      <c r="E454" s="114"/>
      <c r="J454" s="14"/>
      <c r="K454" s="14"/>
      <c r="L454" s="14"/>
      <c r="M454" s="14"/>
      <c r="N454" s="14"/>
      <c r="O454" s="14"/>
      <c r="P454" s="14"/>
      <c r="Q454" s="14"/>
      <c r="R454" s="14"/>
      <c r="S454" s="14"/>
      <c r="T454" s="14"/>
      <c r="U454" s="14"/>
    </row>
    <row r="455">
      <c r="D455" s="114"/>
      <c r="E455" s="114"/>
      <c r="J455" s="14"/>
      <c r="K455" s="14"/>
      <c r="L455" s="14"/>
      <c r="M455" s="14"/>
      <c r="N455" s="14"/>
      <c r="O455" s="14"/>
      <c r="P455" s="14"/>
      <c r="Q455" s="14"/>
      <c r="R455" s="14"/>
      <c r="S455" s="14"/>
      <c r="T455" s="14"/>
      <c r="U455" s="14"/>
    </row>
    <row r="456">
      <c r="D456" s="114"/>
      <c r="E456" s="114"/>
      <c r="J456" s="14"/>
      <c r="K456" s="14"/>
      <c r="L456" s="14"/>
      <c r="M456" s="14"/>
      <c r="N456" s="14"/>
      <c r="O456" s="14"/>
      <c r="P456" s="14"/>
      <c r="Q456" s="14"/>
      <c r="R456" s="14"/>
      <c r="S456" s="14"/>
      <c r="T456" s="14"/>
      <c r="U456" s="14"/>
    </row>
    <row r="457">
      <c r="D457" s="114"/>
      <c r="E457" s="114"/>
      <c r="J457" s="14"/>
      <c r="K457" s="14"/>
      <c r="L457" s="14"/>
      <c r="M457" s="14"/>
      <c r="N457" s="14"/>
      <c r="O457" s="14"/>
      <c r="P457" s="14"/>
      <c r="Q457" s="14"/>
      <c r="R457" s="14"/>
      <c r="S457" s="14"/>
      <c r="T457" s="14"/>
      <c r="U457" s="14"/>
    </row>
    <row r="458">
      <c r="D458" s="114"/>
      <c r="E458" s="114"/>
      <c r="J458" s="14"/>
      <c r="K458" s="14"/>
      <c r="L458" s="14"/>
      <c r="M458" s="14"/>
      <c r="N458" s="14"/>
      <c r="O458" s="14"/>
      <c r="P458" s="14"/>
      <c r="Q458" s="14"/>
      <c r="R458" s="14"/>
      <c r="S458" s="14"/>
      <c r="T458" s="14"/>
      <c r="U458" s="14"/>
    </row>
    <row r="459">
      <c r="D459" s="114"/>
      <c r="E459" s="114"/>
      <c r="J459" s="14"/>
      <c r="K459" s="14"/>
      <c r="L459" s="14"/>
      <c r="M459" s="14"/>
      <c r="N459" s="14"/>
      <c r="O459" s="14"/>
      <c r="P459" s="14"/>
      <c r="Q459" s="14"/>
      <c r="R459" s="14"/>
      <c r="S459" s="14"/>
      <c r="T459" s="14"/>
      <c r="U459" s="14"/>
    </row>
    <row r="460">
      <c r="D460" s="114"/>
      <c r="E460" s="114"/>
      <c r="J460" s="14"/>
      <c r="K460" s="14"/>
      <c r="L460" s="14"/>
      <c r="M460" s="14"/>
      <c r="N460" s="14"/>
      <c r="O460" s="14"/>
      <c r="P460" s="14"/>
      <c r="Q460" s="14"/>
      <c r="R460" s="14"/>
      <c r="S460" s="14"/>
      <c r="T460" s="14"/>
      <c r="U460" s="14"/>
    </row>
    <row r="461">
      <c r="D461" s="114"/>
      <c r="E461" s="114"/>
      <c r="J461" s="14"/>
      <c r="K461" s="14"/>
      <c r="L461" s="14"/>
      <c r="M461" s="14"/>
      <c r="N461" s="14"/>
      <c r="O461" s="14"/>
      <c r="P461" s="14"/>
      <c r="Q461" s="14"/>
      <c r="R461" s="14"/>
      <c r="S461" s="14"/>
      <c r="T461" s="14"/>
      <c r="U461" s="14"/>
    </row>
    <row r="462">
      <c r="D462" s="114"/>
      <c r="E462" s="114"/>
      <c r="J462" s="14"/>
      <c r="K462" s="14"/>
      <c r="L462" s="14"/>
      <c r="M462" s="14"/>
      <c r="N462" s="14"/>
      <c r="O462" s="14"/>
      <c r="P462" s="14"/>
      <c r="Q462" s="14"/>
      <c r="R462" s="14"/>
      <c r="S462" s="14"/>
      <c r="T462" s="14"/>
      <c r="U462" s="14"/>
    </row>
    <row r="463">
      <c r="D463" s="114"/>
      <c r="E463" s="114"/>
      <c r="J463" s="14"/>
      <c r="K463" s="14"/>
      <c r="L463" s="14"/>
      <c r="M463" s="14"/>
      <c r="N463" s="14"/>
      <c r="O463" s="14"/>
      <c r="P463" s="14"/>
      <c r="Q463" s="14"/>
      <c r="R463" s="14"/>
      <c r="S463" s="14"/>
      <c r="T463" s="14"/>
      <c r="U463" s="14"/>
    </row>
    <row r="464">
      <c r="D464" s="114"/>
      <c r="E464" s="114"/>
      <c r="J464" s="14"/>
      <c r="K464" s="14"/>
      <c r="L464" s="14"/>
      <c r="M464" s="14"/>
      <c r="N464" s="14"/>
      <c r="O464" s="14"/>
      <c r="P464" s="14"/>
      <c r="Q464" s="14"/>
      <c r="R464" s="14"/>
      <c r="S464" s="14"/>
      <c r="T464" s="14"/>
      <c r="U464" s="14"/>
    </row>
    <row r="465">
      <c r="D465" s="114"/>
      <c r="E465" s="114"/>
      <c r="J465" s="14"/>
      <c r="K465" s="14"/>
      <c r="L465" s="14"/>
      <c r="M465" s="14"/>
      <c r="N465" s="14"/>
      <c r="O465" s="14"/>
      <c r="P465" s="14"/>
      <c r="Q465" s="14"/>
      <c r="R465" s="14"/>
      <c r="S465" s="14"/>
      <c r="T465" s="14"/>
      <c r="U465" s="14"/>
    </row>
    <row r="466">
      <c r="D466" s="114"/>
      <c r="E466" s="114"/>
      <c r="J466" s="14"/>
      <c r="K466" s="14"/>
      <c r="L466" s="14"/>
      <c r="M466" s="14"/>
      <c r="N466" s="14"/>
      <c r="O466" s="14"/>
      <c r="P466" s="14"/>
      <c r="Q466" s="14"/>
      <c r="R466" s="14"/>
      <c r="S466" s="14"/>
      <c r="T466" s="14"/>
      <c r="U466" s="14"/>
    </row>
    <row r="467">
      <c r="D467" s="114"/>
      <c r="E467" s="114"/>
      <c r="J467" s="14"/>
      <c r="K467" s="14"/>
      <c r="L467" s="14"/>
      <c r="M467" s="14"/>
      <c r="N467" s="14"/>
      <c r="O467" s="14"/>
      <c r="P467" s="14"/>
      <c r="Q467" s="14"/>
      <c r="R467" s="14"/>
      <c r="S467" s="14"/>
      <c r="T467" s="14"/>
      <c r="U467" s="14"/>
    </row>
    <row r="468">
      <c r="D468" s="114"/>
      <c r="E468" s="114"/>
      <c r="J468" s="14"/>
      <c r="K468" s="14"/>
      <c r="L468" s="14"/>
      <c r="M468" s="14"/>
      <c r="N468" s="14"/>
      <c r="O468" s="14"/>
      <c r="P468" s="14"/>
      <c r="Q468" s="14"/>
      <c r="R468" s="14"/>
      <c r="S468" s="14"/>
      <c r="T468" s="14"/>
      <c r="U468" s="14"/>
    </row>
    <row r="469">
      <c r="D469" s="114"/>
      <c r="E469" s="114"/>
      <c r="J469" s="14"/>
      <c r="K469" s="14"/>
      <c r="L469" s="14"/>
      <c r="M469" s="14"/>
      <c r="N469" s="14"/>
      <c r="O469" s="14"/>
      <c r="P469" s="14"/>
      <c r="Q469" s="14"/>
      <c r="R469" s="14"/>
      <c r="S469" s="14"/>
      <c r="T469" s="14"/>
      <c r="U469" s="14"/>
    </row>
    <row r="470">
      <c r="D470" s="114"/>
      <c r="E470" s="114"/>
      <c r="J470" s="14"/>
      <c r="K470" s="14"/>
      <c r="L470" s="14"/>
      <c r="M470" s="14"/>
      <c r="N470" s="14"/>
      <c r="O470" s="14"/>
      <c r="P470" s="14"/>
      <c r="Q470" s="14"/>
      <c r="R470" s="14"/>
      <c r="S470" s="14"/>
      <c r="T470" s="14"/>
      <c r="U470" s="14"/>
    </row>
    <row r="471">
      <c r="D471" s="114"/>
      <c r="E471" s="114"/>
      <c r="J471" s="14"/>
      <c r="K471" s="14"/>
      <c r="L471" s="14"/>
      <c r="M471" s="14"/>
      <c r="N471" s="14"/>
      <c r="O471" s="14"/>
      <c r="P471" s="14"/>
      <c r="Q471" s="14"/>
      <c r="R471" s="14"/>
      <c r="S471" s="14"/>
      <c r="T471" s="14"/>
      <c r="U471" s="14"/>
    </row>
    <row r="472">
      <c r="D472" s="114"/>
      <c r="E472" s="114"/>
      <c r="J472" s="14"/>
      <c r="K472" s="14"/>
      <c r="L472" s="14"/>
      <c r="M472" s="14"/>
      <c r="N472" s="14"/>
      <c r="O472" s="14"/>
      <c r="P472" s="14"/>
      <c r="Q472" s="14"/>
      <c r="R472" s="14"/>
      <c r="S472" s="14"/>
      <c r="T472" s="14"/>
      <c r="U472" s="14"/>
    </row>
    <row r="473">
      <c r="D473" s="114"/>
      <c r="E473" s="114"/>
      <c r="J473" s="14"/>
      <c r="K473" s="14"/>
      <c r="L473" s="14"/>
      <c r="M473" s="14"/>
      <c r="N473" s="14"/>
      <c r="O473" s="14"/>
      <c r="P473" s="14"/>
      <c r="Q473" s="14"/>
      <c r="R473" s="14"/>
      <c r="S473" s="14"/>
      <c r="T473" s="14"/>
      <c r="U473" s="14"/>
    </row>
    <row r="474">
      <c r="D474" s="114"/>
      <c r="E474" s="114"/>
      <c r="J474" s="14"/>
      <c r="K474" s="14"/>
      <c r="L474" s="14"/>
      <c r="M474" s="14"/>
      <c r="N474" s="14"/>
      <c r="O474" s="14"/>
      <c r="P474" s="14"/>
      <c r="Q474" s="14"/>
      <c r="R474" s="14"/>
      <c r="S474" s="14"/>
      <c r="T474" s="14"/>
      <c r="U474" s="14"/>
    </row>
    <row r="475">
      <c r="D475" s="114"/>
      <c r="E475" s="114"/>
      <c r="J475" s="14"/>
      <c r="K475" s="14"/>
      <c r="L475" s="14"/>
      <c r="M475" s="14"/>
      <c r="N475" s="14"/>
      <c r="O475" s="14"/>
      <c r="P475" s="14"/>
      <c r="Q475" s="14"/>
      <c r="R475" s="14"/>
      <c r="S475" s="14"/>
      <c r="T475" s="14"/>
      <c r="U475" s="14"/>
    </row>
    <row r="476">
      <c r="D476" s="114"/>
      <c r="E476" s="114"/>
      <c r="J476" s="14"/>
      <c r="K476" s="14"/>
      <c r="L476" s="14"/>
      <c r="M476" s="14"/>
      <c r="N476" s="14"/>
      <c r="O476" s="14"/>
      <c r="P476" s="14"/>
      <c r="Q476" s="14"/>
      <c r="R476" s="14"/>
      <c r="S476" s="14"/>
      <c r="T476" s="14"/>
      <c r="U476" s="14"/>
    </row>
    <row r="477">
      <c r="D477" s="114"/>
      <c r="E477" s="114"/>
      <c r="J477" s="14"/>
      <c r="K477" s="14"/>
      <c r="L477" s="14"/>
      <c r="M477" s="14"/>
      <c r="N477" s="14"/>
      <c r="O477" s="14"/>
      <c r="P477" s="14"/>
      <c r="Q477" s="14"/>
      <c r="R477" s="14"/>
      <c r="S477" s="14"/>
      <c r="T477" s="14"/>
      <c r="U477" s="14"/>
    </row>
    <row r="478">
      <c r="D478" s="114"/>
      <c r="E478" s="114"/>
      <c r="J478" s="14"/>
      <c r="K478" s="14"/>
      <c r="L478" s="14"/>
      <c r="M478" s="14"/>
      <c r="N478" s="14"/>
      <c r="O478" s="14"/>
      <c r="P478" s="14"/>
      <c r="Q478" s="14"/>
      <c r="R478" s="14"/>
      <c r="S478" s="14"/>
      <c r="T478" s="14"/>
      <c r="U478" s="14"/>
    </row>
    <row r="479">
      <c r="D479" s="114"/>
      <c r="E479" s="114"/>
      <c r="J479" s="14"/>
      <c r="K479" s="14"/>
      <c r="L479" s="14"/>
      <c r="M479" s="14"/>
      <c r="N479" s="14"/>
      <c r="O479" s="14"/>
      <c r="P479" s="14"/>
      <c r="Q479" s="14"/>
      <c r="R479" s="14"/>
      <c r="S479" s="14"/>
      <c r="T479" s="14"/>
      <c r="U479" s="14"/>
    </row>
    <row r="480">
      <c r="D480" s="114"/>
      <c r="E480" s="114"/>
      <c r="J480" s="14"/>
      <c r="K480" s="14"/>
      <c r="L480" s="14"/>
      <c r="M480" s="14"/>
      <c r="N480" s="14"/>
      <c r="O480" s="14"/>
      <c r="P480" s="14"/>
      <c r="Q480" s="14"/>
      <c r="R480" s="14"/>
      <c r="S480" s="14"/>
      <c r="T480" s="14"/>
      <c r="U480" s="14"/>
    </row>
    <row r="481">
      <c r="D481" s="114"/>
      <c r="E481" s="114"/>
      <c r="J481" s="14"/>
      <c r="K481" s="14"/>
      <c r="L481" s="14"/>
      <c r="M481" s="14"/>
      <c r="N481" s="14"/>
      <c r="O481" s="14"/>
      <c r="P481" s="14"/>
      <c r="Q481" s="14"/>
      <c r="R481" s="14"/>
      <c r="S481" s="14"/>
      <c r="T481" s="14"/>
      <c r="U481" s="14"/>
    </row>
    <row r="482">
      <c r="D482" s="114"/>
      <c r="E482" s="114"/>
      <c r="J482" s="14"/>
      <c r="K482" s="14"/>
      <c r="L482" s="14"/>
      <c r="M482" s="14"/>
      <c r="N482" s="14"/>
      <c r="O482" s="14"/>
      <c r="P482" s="14"/>
      <c r="Q482" s="14"/>
      <c r="R482" s="14"/>
      <c r="S482" s="14"/>
      <c r="T482" s="14"/>
      <c r="U482" s="14"/>
    </row>
    <row r="483">
      <c r="D483" s="114"/>
      <c r="E483" s="114"/>
      <c r="J483" s="14"/>
      <c r="K483" s="14"/>
      <c r="L483" s="14"/>
      <c r="M483" s="14"/>
      <c r="N483" s="14"/>
      <c r="O483" s="14"/>
      <c r="P483" s="14"/>
      <c r="Q483" s="14"/>
      <c r="R483" s="14"/>
      <c r="S483" s="14"/>
      <c r="T483" s="14"/>
      <c r="U483" s="14"/>
    </row>
    <row r="484">
      <c r="D484" s="114"/>
      <c r="E484" s="114"/>
      <c r="J484" s="14"/>
      <c r="K484" s="14"/>
      <c r="L484" s="14"/>
      <c r="M484" s="14"/>
      <c r="N484" s="14"/>
      <c r="O484" s="14"/>
      <c r="P484" s="14"/>
      <c r="Q484" s="14"/>
      <c r="R484" s="14"/>
      <c r="S484" s="14"/>
      <c r="T484" s="14"/>
      <c r="U484" s="14"/>
    </row>
    <row r="485">
      <c r="D485" s="114"/>
      <c r="E485" s="114"/>
      <c r="J485" s="14"/>
      <c r="K485" s="14"/>
      <c r="L485" s="14"/>
      <c r="M485" s="14"/>
      <c r="N485" s="14"/>
      <c r="O485" s="14"/>
      <c r="P485" s="14"/>
      <c r="Q485" s="14"/>
      <c r="R485" s="14"/>
      <c r="S485" s="14"/>
      <c r="T485" s="14"/>
      <c r="U485" s="14"/>
    </row>
    <row r="486">
      <c r="D486" s="114"/>
      <c r="E486" s="114"/>
      <c r="J486" s="14"/>
      <c r="K486" s="14"/>
      <c r="L486" s="14"/>
      <c r="M486" s="14"/>
      <c r="N486" s="14"/>
      <c r="O486" s="14"/>
      <c r="P486" s="14"/>
      <c r="Q486" s="14"/>
      <c r="R486" s="14"/>
      <c r="S486" s="14"/>
      <c r="T486" s="14"/>
      <c r="U486" s="14"/>
    </row>
    <row r="487">
      <c r="D487" s="114"/>
      <c r="E487" s="114"/>
      <c r="J487" s="14"/>
      <c r="K487" s="14"/>
      <c r="L487" s="14"/>
      <c r="M487" s="14"/>
      <c r="N487" s="14"/>
      <c r="O487" s="14"/>
      <c r="P487" s="14"/>
      <c r="Q487" s="14"/>
      <c r="R487" s="14"/>
      <c r="S487" s="14"/>
      <c r="T487" s="14"/>
      <c r="U487" s="14"/>
    </row>
    <row r="488">
      <c r="D488" s="114"/>
      <c r="E488" s="114"/>
      <c r="J488" s="14"/>
      <c r="K488" s="14"/>
      <c r="L488" s="14"/>
      <c r="M488" s="14"/>
      <c r="N488" s="14"/>
      <c r="O488" s="14"/>
      <c r="P488" s="14"/>
      <c r="Q488" s="14"/>
      <c r="R488" s="14"/>
      <c r="S488" s="14"/>
      <c r="T488" s="14"/>
      <c r="U488" s="14"/>
    </row>
    <row r="489">
      <c r="D489" s="114"/>
      <c r="E489" s="114"/>
      <c r="J489" s="14"/>
      <c r="K489" s="14"/>
      <c r="L489" s="14"/>
      <c r="M489" s="14"/>
      <c r="N489" s="14"/>
      <c r="O489" s="14"/>
      <c r="P489" s="14"/>
      <c r="Q489" s="14"/>
      <c r="R489" s="14"/>
      <c r="S489" s="14"/>
      <c r="T489" s="14"/>
      <c r="U489" s="14"/>
    </row>
    <row r="490">
      <c r="D490" s="114"/>
      <c r="E490" s="114"/>
      <c r="J490" s="14"/>
      <c r="K490" s="14"/>
      <c r="L490" s="14"/>
      <c r="M490" s="14"/>
      <c r="N490" s="14"/>
      <c r="O490" s="14"/>
      <c r="P490" s="14"/>
      <c r="Q490" s="14"/>
      <c r="R490" s="14"/>
      <c r="S490" s="14"/>
      <c r="T490" s="14"/>
      <c r="U490" s="14"/>
    </row>
    <row r="491">
      <c r="D491" s="114"/>
      <c r="E491" s="114"/>
      <c r="J491" s="14"/>
      <c r="K491" s="14"/>
      <c r="L491" s="14"/>
      <c r="M491" s="14"/>
      <c r="N491" s="14"/>
      <c r="O491" s="14"/>
      <c r="P491" s="14"/>
      <c r="Q491" s="14"/>
      <c r="R491" s="14"/>
      <c r="S491" s="14"/>
      <c r="T491" s="14"/>
      <c r="U491" s="14"/>
    </row>
    <row r="492">
      <c r="D492" s="114"/>
      <c r="E492" s="114"/>
      <c r="J492" s="14"/>
      <c r="K492" s="14"/>
      <c r="L492" s="14"/>
      <c r="M492" s="14"/>
      <c r="N492" s="14"/>
      <c r="O492" s="14"/>
      <c r="P492" s="14"/>
      <c r="Q492" s="14"/>
      <c r="R492" s="14"/>
      <c r="S492" s="14"/>
      <c r="T492" s="14"/>
      <c r="U492" s="14"/>
    </row>
    <row r="493">
      <c r="D493" s="114"/>
      <c r="E493" s="114"/>
      <c r="J493" s="14"/>
      <c r="K493" s="14"/>
      <c r="L493" s="14"/>
      <c r="M493" s="14"/>
      <c r="N493" s="14"/>
      <c r="O493" s="14"/>
      <c r="P493" s="14"/>
      <c r="Q493" s="14"/>
      <c r="R493" s="14"/>
      <c r="S493" s="14"/>
      <c r="T493" s="14"/>
      <c r="U493" s="14"/>
    </row>
    <row r="494">
      <c r="D494" s="114"/>
      <c r="E494" s="114"/>
      <c r="J494" s="14"/>
      <c r="K494" s="14"/>
      <c r="L494" s="14"/>
      <c r="M494" s="14"/>
      <c r="N494" s="14"/>
      <c r="O494" s="14"/>
      <c r="P494" s="14"/>
      <c r="Q494" s="14"/>
      <c r="R494" s="14"/>
      <c r="S494" s="14"/>
      <c r="T494" s="14"/>
      <c r="U494" s="14"/>
    </row>
    <row r="495">
      <c r="D495" s="114"/>
      <c r="E495" s="114"/>
      <c r="J495" s="14"/>
      <c r="K495" s="14"/>
      <c r="L495" s="14"/>
      <c r="M495" s="14"/>
      <c r="N495" s="14"/>
      <c r="O495" s="14"/>
      <c r="P495" s="14"/>
      <c r="Q495" s="14"/>
      <c r="R495" s="14"/>
      <c r="S495" s="14"/>
      <c r="T495" s="14"/>
      <c r="U495" s="14"/>
    </row>
    <row r="496">
      <c r="D496" s="114"/>
      <c r="E496" s="114"/>
      <c r="J496" s="14"/>
      <c r="K496" s="14"/>
      <c r="L496" s="14"/>
      <c r="M496" s="14"/>
      <c r="N496" s="14"/>
      <c r="O496" s="14"/>
      <c r="P496" s="14"/>
      <c r="Q496" s="14"/>
      <c r="R496" s="14"/>
      <c r="S496" s="14"/>
      <c r="T496" s="14"/>
      <c r="U496" s="14"/>
    </row>
    <row r="497">
      <c r="D497" s="114"/>
      <c r="E497" s="114"/>
      <c r="J497" s="14"/>
      <c r="K497" s="14"/>
      <c r="L497" s="14"/>
      <c r="M497" s="14"/>
      <c r="N497" s="14"/>
      <c r="O497" s="14"/>
      <c r="P497" s="14"/>
      <c r="Q497" s="14"/>
      <c r="R497" s="14"/>
      <c r="S497" s="14"/>
      <c r="T497" s="14"/>
      <c r="U497" s="14"/>
    </row>
    <row r="498">
      <c r="D498" s="114"/>
      <c r="E498" s="114"/>
      <c r="J498" s="14"/>
      <c r="K498" s="14"/>
      <c r="L498" s="14"/>
      <c r="M498" s="14"/>
      <c r="N498" s="14"/>
      <c r="O498" s="14"/>
      <c r="P498" s="14"/>
      <c r="Q498" s="14"/>
      <c r="R498" s="14"/>
      <c r="S498" s="14"/>
      <c r="T498" s="14"/>
      <c r="U498" s="14"/>
    </row>
    <row r="499">
      <c r="D499" s="114"/>
      <c r="E499" s="114"/>
      <c r="J499" s="14"/>
      <c r="K499" s="14"/>
      <c r="L499" s="14"/>
      <c r="M499" s="14"/>
      <c r="N499" s="14"/>
      <c r="O499" s="14"/>
      <c r="P499" s="14"/>
      <c r="Q499" s="14"/>
      <c r="R499" s="14"/>
      <c r="S499" s="14"/>
      <c r="T499" s="14"/>
      <c r="U499" s="14"/>
    </row>
    <row r="500">
      <c r="D500" s="114"/>
      <c r="E500" s="114"/>
      <c r="J500" s="14"/>
      <c r="K500" s="14"/>
      <c r="L500" s="14"/>
      <c r="M500" s="14"/>
      <c r="N500" s="14"/>
      <c r="O500" s="14"/>
      <c r="P500" s="14"/>
      <c r="Q500" s="14"/>
      <c r="R500" s="14"/>
      <c r="S500" s="14"/>
      <c r="T500" s="14"/>
      <c r="U500" s="14"/>
    </row>
    <row r="501">
      <c r="D501" s="114"/>
      <c r="E501" s="114"/>
      <c r="J501" s="14"/>
      <c r="K501" s="14"/>
      <c r="L501" s="14"/>
      <c r="M501" s="14"/>
      <c r="N501" s="14"/>
      <c r="O501" s="14"/>
      <c r="P501" s="14"/>
      <c r="Q501" s="14"/>
      <c r="R501" s="14"/>
      <c r="S501" s="14"/>
      <c r="T501" s="14"/>
      <c r="U501" s="14"/>
    </row>
    <row r="502">
      <c r="D502" s="114"/>
      <c r="E502" s="114"/>
      <c r="J502" s="14"/>
      <c r="K502" s="14"/>
      <c r="L502" s="14"/>
      <c r="M502" s="14"/>
      <c r="N502" s="14"/>
      <c r="O502" s="14"/>
      <c r="P502" s="14"/>
      <c r="Q502" s="14"/>
      <c r="R502" s="14"/>
      <c r="S502" s="14"/>
      <c r="T502" s="14"/>
      <c r="U502" s="14"/>
    </row>
    <row r="503">
      <c r="D503" s="114"/>
      <c r="E503" s="114"/>
      <c r="J503" s="14"/>
      <c r="K503" s="14"/>
      <c r="L503" s="14"/>
      <c r="M503" s="14"/>
      <c r="N503" s="14"/>
      <c r="O503" s="14"/>
      <c r="P503" s="14"/>
      <c r="Q503" s="14"/>
      <c r="R503" s="14"/>
      <c r="S503" s="14"/>
      <c r="T503" s="14"/>
      <c r="U503" s="14"/>
    </row>
    <row r="504">
      <c r="D504" s="114"/>
      <c r="E504" s="114"/>
      <c r="J504" s="14"/>
      <c r="K504" s="14"/>
      <c r="L504" s="14"/>
      <c r="M504" s="14"/>
      <c r="N504" s="14"/>
      <c r="O504" s="14"/>
      <c r="P504" s="14"/>
      <c r="Q504" s="14"/>
      <c r="R504" s="14"/>
      <c r="S504" s="14"/>
      <c r="T504" s="14"/>
      <c r="U504" s="14"/>
    </row>
    <row r="505">
      <c r="D505" s="114"/>
      <c r="E505" s="114"/>
      <c r="J505" s="14"/>
      <c r="K505" s="14"/>
      <c r="L505" s="14"/>
      <c r="M505" s="14"/>
      <c r="N505" s="14"/>
      <c r="O505" s="14"/>
      <c r="P505" s="14"/>
      <c r="Q505" s="14"/>
      <c r="R505" s="14"/>
      <c r="S505" s="14"/>
      <c r="T505" s="14"/>
      <c r="U505" s="14"/>
    </row>
    <row r="506">
      <c r="D506" s="114"/>
      <c r="E506" s="114"/>
      <c r="J506" s="14"/>
      <c r="K506" s="14"/>
      <c r="L506" s="14"/>
      <c r="M506" s="14"/>
      <c r="N506" s="14"/>
      <c r="O506" s="14"/>
      <c r="P506" s="14"/>
      <c r="Q506" s="14"/>
      <c r="R506" s="14"/>
      <c r="S506" s="14"/>
      <c r="T506" s="14"/>
      <c r="U506" s="14"/>
    </row>
    <row r="507">
      <c r="D507" s="114"/>
      <c r="E507" s="114"/>
      <c r="J507" s="14"/>
      <c r="K507" s="14"/>
      <c r="L507" s="14"/>
      <c r="M507" s="14"/>
      <c r="N507" s="14"/>
      <c r="O507" s="14"/>
      <c r="P507" s="14"/>
      <c r="Q507" s="14"/>
      <c r="R507" s="14"/>
      <c r="S507" s="14"/>
      <c r="T507" s="14"/>
      <c r="U507" s="14"/>
    </row>
    <row r="508">
      <c r="D508" s="114"/>
      <c r="E508" s="114"/>
      <c r="J508" s="14"/>
      <c r="K508" s="14"/>
      <c r="L508" s="14"/>
      <c r="M508" s="14"/>
      <c r="N508" s="14"/>
      <c r="O508" s="14"/>
      <c r="P508" s="14"/>
      <c r="Q508" s="14"/>
      <c r="R508" s="14"/>
      <c r="S508" s="14"/>
      <c r="T508" s="14"/>
      <c r="U508" s="14"/>
    </row>
    <row r="509">
      <c r="D509" s="114"/>
      <c r="E509" s="114"/>
      <c r="J509" s="14"/>
      <c r="K509" s="14"/>
      <c r="L509" s="14"/>
      <c r="M509" s="14"/>
      <c r="N509" s="14"/>
      <c r="O509" s="14"/>
      <c r="P509" s="14"/>
      <c r="Q509" s="14"/>
      <c r="R509" s="14"/>
      <c r="S509" s="14"/>
      <c r="T509" s="14"/>
      <c r="U509" s="14"/>
    </row>
    <row r="510">
      <c r="D510" s="114"/>
      <c r="E510" s="114"/>
      <c r="J510" s="14"/>
      <c r="K510" s="14"/>
      <c r="L510" s="14"/>
      <c r="M510" s="14"/>
      <c r="N510" s="14"/>
      <c r="O510" s="14"/>
      <c r="P510" s="14"/>
      <c r="Q510" s="14"/>
      <c r="R510" s="14"/>
      <c r="S510" s="14"/>
      <c r="T510" s="14"/>
      <c r="U510" s="14"/>
    </row>
    <row r="511">
      <c r="D511" s="114"/>
      <c r="E511" s="114"/>
      <c r="J511" s="14"/>
      <c r="K511" s="14"/>
      <c r="L511" s="14"/>
      <c r="M511" s="14"/>
      <c r="N511" s="14"/>
      <c r="O511" s="14"/>
      <c r="P511" s="14"/>
      <c r="Q511" s="14"/>
      <c r="R511" s="14"/>
      <c r="S511" s="14"/>
      <c r="T511" s="14"/>
      <c r="U511" s="14"/>
    </row>
    <row r="512">
      <c r="D512" s="114"/>
      <c r="E512" s="114"/>
      <c r="J512" s="14"/>
      <c r="K512" s="14"/>
      <c r="L512" s="14"/>
      <c r="M512" s="14"/>
      <c r="N512" s="14"/>
      <c r="O512" s="14"/>
      <c r="P512" s="14"/>
      <c r="Q512" s="14"/>
      <c r="R512" s="14"/>
      <c r="S512" s="14"/>
      <c r="T512" s="14"/>
      <c r="U512" s="14"/>
    </row>
    <row r="513">
      <c r="D513" s="114"/>
      <c r="E513" s="114"/>
      <c r="J513" s="14"/>
      <c r="K513" s="14"/>
      <c r="L513" s="14"/>
      <c r="M513" s="14"/>
      <c r="N513" s="14"/>
      <c r="O513" s="14"/>
      <c r="P513" s="14"/>
      <c r="Q513" s="14"/>
      <c r="R513" s="14"/>
      <c r="S513" s="14"/>
      <c r="T513" s="14"/>
      <c r="U513" s="14"/>
    </row>
    <row r="514">
      <c r="D514" s="114"/>
      <c r="E514" s="114"/>
      <c r="J514" s="14"/>
      <c r="K514" s="14"/>
      <c r="L514" s="14"/>
      <c r="M514" s="14"/>
      <c r="N514" s="14"/>
      <c r="O514" s="14"/>
      <c r="P514" s="14"/>
      <c r="Q514" s="14"/>
      <c r="R514" s="14"/>
      <c r="S514" s="14"/>
      <c r="T514" s="14"/>
      <c r="U514" s="14"/>
    </row>
    <row r="515">
      <c r="D515" s="114"/>
      <c r="E515" s="114"/>
      <c r="J515" s="14"/>
      <c r="K515" s="14"/>
      <c r="L515" s="14"/>
      <c r="M515" s="14"/>
      <c r="N515" s="14"/>
      <c r="O515" s="14"/>
      <c r="P515" s="14"/>
      <c r="Q515" s="14"/>
      <c r="R515" s="14"/>
      <c r="S515" s="14"/>
      <c r="T515" s="14"/>
      <c r="U515" s="14"/>
    </row>
    <row r="516">
      <c r="D516" s="114"/>
      <c r="E516" s="114"/>
      <c r="J516" s="14"/>
      <c r="K516" s="14"/>
      <c r="L516" s="14"/>
      <c r="M516" s="14"/>
      <c r="N516" s="14"/>
      <c r="O516" s="14"/>
      <c r="P516" s="14"/>
      <c r="Q516" s="14"/>
      <c r="R516" s="14"/>
      <c r="S516" s="14"/>
      <c r="T516" s="14"/>
      <c r="U516" s="14"/>
    </row>
    <row r="517">
      <c r="D517" s="114"/>
      <c r="E517" s="114"/>
      <c r="J517" s="14"/>
      <c r="K517" s="14"/>
      <c r="L517" s="14"/>
      <c r="M517" s="14"/>
      <c r="N517" s="14"/>
      <c r="O517" s="14"/>
      <c r="P517" s="14"/>
      <c r="Q517" s="14"/>
      <c r="R517" s="14"/>
      <c r="S517" s="14"/>
      <c r="T517" s="14"/>
      <c r="U517" s="14"/>
    </row>
    <row r="518">
      <c r="D518" s="114"/>
      <c r="E518" s="114"/>
      <c r="J518" s="14"/>
      <c r="K518" s="14"/>
      <c r="L518" s="14"/>
      <c r="M518" s="14"/>
      <c r="N518" s="14"/>
      <c r="O518" s="14"/>
      <c r="P518" s="14"/>
      <c r="Q518" s="14"/>
      <c r="R518" s="14"/>
      <c r="S518" s="14"/>
      <c r="T518" s="14"/>
      <c r="U518" s="14"/>
    </row>
    <row r="519">
      <c r="D519" s="114"/>
      <c r="E519" s="114"/>
      <c r="J519" s="14"/>
      <c r="K519" s="14"/>
      <c r="L519" s="14"/>
      <c r="M519" s="14"/>
      <c r="N519" s="14"/>
      <c r="O519" s="14"/>
      <c r="P519" s="14"/>
      <c r="Q519" s="14"/>
      <c r="R519" s="14"/>
      <c r="S519" s="14"/>
      <c r="T519" s="14"/>
      <c r="U519" s="14"/>
    </row>
    <row r="520">
      <c r="D520" s="114"/>
      <c r="E520" s="114"/>
      <c r="J520" s="14"/>
      <c r="K520" s="14"/>
      <c r="L520" s="14"/>
      <c r="M520" s="14"/>
      <c r="N520" s="14"/>
      <c r="O520" s="14"/>
      <c r="P520" s="14"/>
      <c r="Q520" s="14"/>
      <c r="R520" s="14"/>
      <c r="S520" s="14"/>
      <c r="T520" s="14"/>
      <c r="U520" s="14"/>
    </row>
    <row r="521">
      <c r="D521" s="114"/>
      <c r="E521" s="114"/>
      <c r="J521" s="14"/>
      <c r="K521" s="14"/>
      <c r="L521" s="14"/>
      <c r="M521" s="14"/>
      <c r="N521" s="14"/>
      <c r="O521" s="14"/>
      <c r="P521" s="14"/>
      <c r="Q521" s="14"/>
      <c r="R521" s="14"/>
      <c r="S521" s="14"/>
      <c r="T521" s="14"/>
      <c r="U521" s="14"/>
    </row>
    <row r="522">
      <c r="D522" s="114"/>
      <c r="E522" s="114"/>
      <c r="J522" s="14"/>
      <c r="K522" s="14"/>
      <c r="L522" s="14"/>
      <c r="M522" s="14"/>
      <c r="N522" s="14"/>
      <c r="O522" s="14"/>
      <c r="P522" s="14"/>
      <c r="Q522" s="14"/>
      <c r="R522" s="14"/>
      <c r="S522" s="14"/>
      <c r="T522" s="14"/>
      <c r="U522" s="14"/>
    </row>
    <row r="523">
      <c r="D523" s="114"/>
      <c r="E523" s="114"/>
      <c r="J523" s="14"/>
      <c r="K523" s="14"/>
      <c r="L523" s="14"/>
      <c r="M523" s="14"/>
      <c r="N523" s="14"/>
      <c r="O523" s="14"/>
      <c r="P523" s="14"/>
      <c r="Q523" s="14"/>
      <c r="R523" s="14"/>
      <c r="S523" s="14"/>
      <c r="T523" s="14"/>
      <c r="U523" s="14"/>
    </row>
    <row r="524">
      <c r="D524" s="114"/>
      <c r="E524" s="114"/>
      <c r="J524" s="14"/>
      <c r="K524" s="14"/>
      <c r="L524" s="14"/>
      <c r="M524" s="14"/>
      <c r="N524" s="14"/>
      <c r="O524" s="14"/>
      <c r="P524" s="14"/>
      <c r="Q524" s="14"/>
      <c r="R524" s="14"/>
      <c r="S524" s="14"/>
      <c r="T524" s="14"/>
      <c r="U524" s="14"/>
    </row>
    <row r="525">
      <c r="D525" s="114"/>
      <c r="E525" s="114"/>
      <c r="J525" s="14"/>
      <c r="K525" s="14"/>
      <c r="L525" s="14"/>
      <c r="M525" s="14"/>
      <c r="N525" s="14"/>
      <c r="O525" s="14"/>
      <c r="P525" s="14"/>
      <c r="Q525" s="14"/>
      <c r="R525" s="14"/>
      <c r="S525" s="14"/>
      <c r="T525" s="14"/>
      <c r="U525" s="14"/>
    </row>
    <row r="526">
      <c r="D526" s="114"/>
      <c r="E526" s="114"/>
      <c r="J526" s="14"/>
      <c r="K526" s="14"/>
      <c r="L526" s="14"/>
      <c r="M526" s="14"/>
      <c r="N526" s="14"/>
      <c r="O526" s="14"/>
      <c r="P526" s="14"/>
      <c r="Q526" s="14"/>
      <c r="R526" s="14"/>
      <c r="S526" s="14"/>
      <c r="T526" s="14"/>
      <c r="U526" s="14"/>
    </row>
    <row r="527">
      <c r="D527" s="114"/>
      <c r="E527" s="114"/>
      <c r="J527" s="14"/>
      <c r="K527" s="14"/>
      <c r="L527" s="14"/>
      <c r="M527" s="14"/>
      <c r="N527" s="14"/>
      <c r="O527" s="14"/>
      <c r="P527" s="14"/>
      <c r="Q527" s="14"/>
      <c r="R527" s="14"/>
      <c r="S527" s="14"/>
      <c r="T527" s="14"/>
      <c r="U527" s="14"/>
    </row>
    <row r="528">
      <c r="D528" s="114"/>
      <c r="E528" s="114"/>
      <c r="J528" s="14"/>
      <c r="K528" s="14"/>
      <c r="L528" s="14"/>
      <c r="M528" s="14"/>
      <c r="N528" s="14"/>
      <c r="O528" s="14"/>
      <c r="P528" s="14"/>
      <c r="Q528" s="14"/>
      <c r="R528" s="14"/>
      <c r="S528" s="14"/>
      <c r="T528" s="14"/>
      <c r="U528" s="14"/>
    </row>
    <row r="529">
      <c r="D529" s="114"/>
      <c r="E529" s="114"/>
      <c r="J529" s="14"/>
      <c r="K529" s="14"/>
      <c r="L529" s="14"/>
      <c r="M529" s="14"/>
      <c r="N529" s="14"/>
      <c r="O529" s="14"/>
      <c r="P529" s="14"/>
      <c r="Q529" s="14"/>
      <c r="R529" s="14"/>
      <c r="S529" s="14"/>
      <c r="T529" s="14"/>
      <c r="U529" s="14"/>
    </row>
    <row r="530">
      <c r="D530" s="114"/>
      <c r="E530" s="114"/>
      <c r="J530" s="14"/>
      <c r="K530" s="14"/>
      <c r="L530" s="14"/>
      <c r="M530" s="14"/>
      <c r="N530" s="14"/>
      <c r="O530" s="14"/>
      <c r="P530" s="14"/>
      <c r="Q530" s="14"/>
      <c r="R530" s="14"/>
      <c r="S530" s="14"/>
      <c r="T530" s="14"/>
      <c r="U530" s="14"/>
    </row>
    <row r="531">
      <c r="D531" s="114"/>
      <c r="E531" s="114"/>
      <c r="J531" s="14"/>
      <c r="K531" s="14"/>
      <c r="L531" s="14"/>
      <c r="M531" s="14"/>
      <c r="N531" s="14"/>
      <c r="O531" s="14"/>
      <c r="P531" s="14"/>
      <c r="Q531" s="14"/>
      <c r="R531" s="14"/>
      <c r="S531" s="14"/>
      <c r="T531" s="14"/>
      <c r="U531" s="14"/>
    </row>
    <row r="532">
      <c r="D532" s="114"/>
      <c r="E532" s="114"/>
      <c r="J532" s="14"/>
      <c r="K532" s="14"/>
      <c r="L532" s="14"/>
      <c r="M532" s="14"/>
      <c r="N532" s="14"/>
      <c r="O532" s="14"/>
      <c r="P532" s="14"/>
      <c r="Q532" s="14"/>
      <c r="R532" s="14"/>
      <c r="S532" s="14"/>
      <c r="T532" s="14"/>
      <c r="U532" s="14"/>
    </row>
    <row r="533">
      <c r="D533" s="114"/>
      <c r="E533" s="114"/>
      <c r="J533" s="14"/>
      <c r="K533" s="14"/>
      <c r="L533" s="14"/>
      <c r="M533" s="14"/>
      <c r="N533" s="14"/>
      <c r="O533" s="14"/>
      <c r="P533" s="14"/>
      <c r="Q533" s="14"/>
      <c r="R533" s="14"/>
      <c r="S533" s="14"/>
      <c r="T533" s="14"/>
      <c r="U533" s="14"/>
    </row>
    <row r="534">
      <c r="D534" s="114"/>
      <c r="E534" s="114"/>
      <c r="J534" s="14"/>
      <c r="K534" s="14"/>
      <c r="L534" s="14"/>
      <c r="M534" s="14"/>
      <c r="N534" s="14"/>
      <c r="O534" s="14"/>
      <c r="P534" s="14"/>
      <c r="Q534" s="14"/>
      <c r="R534" s="14"/>
      <c r="S534" s="14"/>
      <c r="T534" s="14"/>
      <c r="U534" s="14"/>
    </row>
    <row r="535">
      <c r="D535" s="114"/>
      <c r="E535" s="114"/>
      <c r="J535" s="14"/>
      <c r="K535" s="14"/>
      <c r="L535" s="14"/>
      <c r="M535" s="14"/>
      <c r="N535" s="14"/>
      <c r="O535" s="14"/>
      <c r="P535" s="14"/>
      <c r="Q535" s="14"/>
      <c r="R535" s="14"/>
      <c r="S535" s="14"/>
      <c r="T535" s="14"/>
      <c r="U535" s="14"/>
    </row>
    <row r="536">
      <c r="D536" s="114"/>
      <c r="E536" s="114"/>
      <c r="J536" s="14"/>
      <c r="K536" s="14"/>
      <c r="L536" s="14"/>
      <c r="M536" s="14"/>
      <c r="N536" s="14"/>
      <c r="O536" s="14"/>
      <c r="P536" s="14"/>
      <c r="Q536" s="14"/>
      <c r="R536" s="14"/>
      <c r="S536" s="14"/>
      <c r="T536" s="14"/>
      <c r="U536" s="14"/>
    </row>
    <row r="537">
      <c r="D537" s="114"/>
      <c r="E537" s="114"/>
      <c r="J537" s="14"/>
      <c r="K537" s="14"/>
      <c r="L537" s="14"/>
      <c r="M537" s="14"/>
      <c r="N537" s="14"/>
      <c r="O537" s="14"/>
      <c r="P537" s="14"/>
      <c r="Q537" s="14"/>
      <c r="R537" s="14"/>
      <c r="S537" s="14"/>
      <c r="T537" s="14"/>
      <c r="U537" s="14"/>
    </row>
    <row r="538">
      <c r="D538" s="114"/>
      <c r="E538" s="114"/>
      <c r="J538" s="14"/>
      <c r="K538" s="14"/>
      <c r="L538" s="14"/>
      <c r="M538" s="14"/>
      <c r="N538" s="14"/>
      <c r="O538" s="14"/>
      <c r="P538" s="14"/>
      <c r="Q538" s="14"/>
      <c r="R538" s="14"/>
      <c r="S538" s="14"/>
      <c r="T538" s="14"/>
      <c r="U538" s="14"/>
    </row>
    <row r="539">
      <c r="D539" s="114"/>
      <c r="E539" s="114"/>
      <c r="J539" s="14"/>
      <c r="K539" s="14"/>
      <c r="L539" s="14"/>
      <c r="M539" s="14"/>
      <c r="N539" s="14"/>
      <c r="O539" s="14"/>
      <c r="P539" s="14"/>
      <c r="Q539" s="14"/>
      <c r="R539" s="14"/>
      <c r="S539" s="14"/>
      <c r="T539" s="14"/>
      <c r="U539" s="14"/>
    </row>
    <row r="540">
      <c r="D540" s="114"/>
      <c r="E540" s="114"/>
      <c r="J540" s="14"/>
      <c r="K540" s="14"/>
      <c r="L540" s="14"/>
      <c r="M540" s="14"/>
      <c r="N540" s="14"/>
      <c r="O540" s="14"/>
      <c r="P540" s="14"/>
      <c r="Q540" s="14"/>
      <c r="R540" s="14"/>
      <c r="S540" s="14"/>
      <c r="T540" s="14"/>
      <c r="U540" s="14"/>
    </row>
    <row r="541">
      <c r="D541" s="114"/>
      <c r="E541" s="114"/>
      <c r="J541" s="14"/>
      <c r="K541" s="14"/>
      <c r="L541" s="14"/>
      <c r="M541" s="14"/>
      <c r="N541" s="14"/>
      <c r="O541" s="14"/>
      <c r="P541" s="14"/>
      <c r="Q541" s="14"/>
      <c r="R541" s="14"/>
      <c r="S541" s="14"/>
      <c r="T541" s="14"/>
      <c r="U541" s="14"/>
    </row>
    <row r="542">
      <c r="D542" s="114"/>
      <c r="E542" s="114"/>
      <c r="J542" s="14"/>
      <c r="K542" s="14"/>
      <c r="L542" s="14"/>
      <c r="M542" s="14"/>
      <c r="N542" s="14"/>
      <c r="O542" s="14"/>
      <c r="P542" s="14"/>
      <c r="Q542" s="14"/>
      <c r="R542" s="14"/>
      <c r="S542" s="14"/>
      <c r="T542" s="14"/>
      <c r="U542" s="14"/>
    </row>
    <row r="543">
      <c r="D543" s="114"/>
      <c r="E543" s="114"/>
      <c r="J543" s="14"/>
      <c r="K543" s="14"/>
      <c r="L543" s="14"/>
      <c r="M543" s="14"/>
      <c r="N543" s="14"/>
      <c r="O543" s="14"/>
      <c r="P543" s="14"/>
      <c r="Q543" s="14"/>
      <c r="R543" s="14"/>
      <c r="S543" s="14"/>
      <c r="T543" s="14"/>
      <c r="U543" s="14"/>
    </row>
    <row r="544">
      <c r="D544" s="114"/>
      <c r="E544" s="114"/>
      <c r="J544" s="14"/>
      <c r="K544" s="14"/>
      <c r="L544" s="14"/>
      <c r="M544" s="14"/>
      <c r="N544" s="14"/>
      <c r="O544" s="14"/>
      <c r="P544" s="14"/>
      <c r="Q544" s="14"/>
      <c r="R544" s="14"/>
      <c r="S544" s="14"/>
      <c r="T544" s="14"/>
      <c r="U544" s="14"/>
    </row>
    <row r="545">
      <c r="D545" s="114"/>
      <c r="E545" s="114"/>
      <c r="J545" s="14"/>
      <c r="K545" s="14"/>
      <c r="L545" s="14"/>
      <c r="M545" s="14"/>
      <c r="N545" s="14"/>
      <c r="O545" s="14"/>
      <c r="P545" s="14"/>
      <c r="Q545" s="14"/>
      <c r="R545" s="14"/>
      <c r="S545" s="14"/>
      <c r="T545" s="14"/>
      <c r="U545" s="14"/>
    </row>
    <row r="546">
      <c r="D546" s="114"/>
      <c r="E546" s="114"/>
      <c r="J546" s="14"/>
      <c r="K546" s="14"/>
      <c r="L546" s="14"/>
      <c r="M546" s="14"/>
      <c r="N546" s="14"/>
      <c r="O546" s="14"/>
      <c r="P546" s="14"/>
      <c r="Q546" s="14"/>
      <c r="R546" s="14"/>
      <c r="S546" s="14"/>
      <c r="T546" s="14"/>
      <c r="U546" s="14"/>
    </row>
    <row r="547">
      <c r="D547" s="114"/>
      <c r="E547" s="114"/>
      <c r="J547" s="14"/>
      <c r="K547" s="14"/>
      <c r="L547" s="14"/>
      <c r="M547" s="14"/>
      <c r="N547" s="14"/>
      <c r="O547" s="14"/>
      <c r="P547" s="14"/>
      <c r="Q547" s="14"/>
      <c r="R547" s="14"/>
      <c r="S547" s="14"/>
      <c r="T547" s="14"/>
      <c r="U547" s="14"/>
    </row>
    <row r="548">
      <c r="D548" s="114"/>
      <c r="E548" s="114"/>
      <c r="J548" s="14"/>
      <c r="K548" s="14"/>
      <c r="L548" s="14"/>
      <c r="M548" s="14"/>
      <c r="N548" s="14"/>
      <c r="O548" s="14"/>
      <c r="P548" s="14"/>
      <c r="Q548" s="14"/>
      <c r="R548" s="14"/>
      <c r="S548" s="14"/>
      <c r="T548" s="14"/>
      <c r="U548" s="14"/>
    </row>
    <row r="549">
      <c r="D549" s="114"/>
      <c r="E549" s="114"/>
      <c r="J549" s="14"/>
      <c r="K549" s="14"/>
      <c r="L549" s="14"/>
      <c r="M549" s="14"/>
      <c r="N549" s="14"/>
      <c r="O549" s="14"/>
      <c r="P549" s="14"/>
      <c r="Q549" s="14"/>
      <c r="R549" s="14"/>
      <c r="S549" s="14"/>
      <c r="T549" s="14"/>
      <c r="U549" s="14"/>
    </row>
    <row r="550">
      <c r="D550" s="114"/>
      <c r="E550" s="114"/>
      <c r="J550" s="14"/>
      <c r="K550" s="14"/>
      <c r="L550" s="14"/>
      <c r="M550" s="14"/>
      <c r="N550" s="14"/>
      <c r="O550" s="14"/>
      <c r="P550" s="14"/>
      <c r="Q550" s="14"/>
      <c r="R550" s="14"/>
      <c r="S550" s="14"/>
      <c r="T550" s="14"/>
      <c r="U550" s="14"/>
    </row>
    <row r="551">
      <c r="D551" s="114"/>
      <c r="E551" s="114"/>
      <c r="J551" s="14"/>
      <c r="K551" s="14"/>
      <c r="L551" s="14"/>
      <c r="M551" s="14"/>
      <c r="N551" s="14"/>
      <c r="O551" s="14"/>
      <c r="P551" s="14"/>
      <c r="Q551" s="14"/>
      <c r="R551" s="14"/>
      <c r="S551" s="14"/>
      <c r="T551" s="14"/>
      <c r="U551" s="14"/>
    </row>
    <row r="552">
      <c r="D552" s="114"/>
      <c r="E552" s="114"/>
      <c r="J552" s="14"/>
      <c r="K552" s="14"/>
      <c r="L552" s="14"/>
      <c r="M552" s="14"/>
      <c r="N552" s="14"/>
      <c r="O552" s="14"/>
      <c r="P552" s="14"/>
      <c r="Q552" s="14"/>
      <c r="R552" s="14"/>
      <c r="S552" s="14"/>
      <c r="T552" s="14"/>
      <c r="U552" s="14"/>
    </row>
    <row r="553">
      <c r="D553" s="114"/>
      <c r="E553" s="114"/>
      <c r="J553" s="14"/>
      <c r="K553" s="14"/>
      <c r="L553" s="14"/>
      <c r="M553" s="14"/>
      <c r="N553" s="14"/>
      <c r="O553" s="14"/>
      <c r="P553" s="14"/>
      <c r="Q553" s="14"/>
      <c r="R553" s="14"/>
      <c r="S553" s="14"/>
      <c r="T553" s="14"/>
      <c r="U553" s="14"/>
    </row>
    <row r="554">
      <c r="D554" s="114"/>
      <c r="E554" s="114"/>
      <c r="J554" s="14"/>
      <c r="K554" s="14"/>
      <c r="L554" s="14"/>
      <c r="M554" s="14"/>
      <c r="N554" s="14"/>
      <c r="O554" s="14"/>
      <c r="P554" s="14"/>
      <c r="Q554" s="14"/>
      <c r="R554" s="14"/>
      <c r="S554" s="14"/>
      <c r="T554" s="14"/>
      <c r="U554" s="14"/>
    </row>
    <row r="555">
      <c r="D555" s="114"/>
      <c r="E555" s="114"/>
      <c r="J555" s="14"/>
      <c r="K555" s="14"/>
      <c r="L555" s="14"/>
      <c r="M555" s="14"/>
      <c r="N555" s="14"/>
      <c r="O555" s="14"/>
      <c r="P555" s="14"/>
      <c r="Q555" s="14"/>
      <c r="R555" s="14"/>
      <c r="S555" s="14"/>
      <c r="T555" s="14"/>
      <c r="U555" s="14"/>
    </row>
    <row r="556">
      <c r="D556" s="114"/>
      <c r="E556" s="114"/>
      <c r="J556" s="14"/>
      <c r="K556" s="14"/>
      <c r="L556" s="14"/>
      <c r="M556" s="14"/>
      <c r="N556" s="14"/>
      <c r="O556" s="14"/>
      <c r="P556" s="14"/>
      <c r="Q556" s="14"/>
      <c r="R556" s="14"/>
      <c r="S556" s="14"/>
      <c r="T556" s="14"/>
      <c r="U556" s="14"/>
    </row>
    <row r="557">
      <c r="D557" s="114"/>
      <c r="E557" s="114"/>
      <c r="J557" s="14"/>
      <c r="K557" s="14"/>
      <c r="L557" s="14"/>
      <c r="M557" s="14"/>
      <c r="N557" s="14"/>
      <c r="O557" s="14"/>
      <c r="P557" s="14"/>
      <c r="Q557" s="14"/>
      <c r="R557" s="14"/>
      <c r="S557" s="14"/>
      <c r="T557" s="14"/>
      <c r="U557" s="14"/>
    </row>
    <row r="558">
      <c r="D558" s="114"/>
      <c r="E558" s="114"/>
      <c r="J558" s="14"/>
      <c r="K558" s="14"/>
      <c r="L558" s="14"/>
      <c r="M558" s="14"/>
      <c r="N558" s="14"/>
      <c r="O558" s="14"/>
      <c r="P558" s="14"/>
      <c r="Q558" s="14"/>
      <c r="R558" s="14"/>
      <c r="S558" s="14"/>
      <c r="T558" s="14"/>
      <c r="U558" s="14"/>
    </row>
    <row r="559">
      <c r="D559" s="114"/>
      <c r="E559" s="114"/>
      <c r="J559" s="14"/>
      <c r="K559" s="14"/>
      <c r="L559" s="14"/>
      <c r="M559" s="14"/>
      <c r="N559" s="14"/>
      <c r="O559" s="14"/>
      <c r="P559" s="14"/>
      <c r="Q559" s="14"/>
      <c r="R559" s="14"/>
      <c r="S559" s="14"/>
      <c r="T559" s="14"/>
      <c r="U559" s="14"/>
    </row>
    <row r="560">
      <c r="D560" s="114"/>
      <c r="E560" s="114"/>
      <c r="J560" s="14"/>
      <c r="K560" s="14"/>
      <c r="L560" s="14"/>
      <c r="M560" s="14"/>
      <c r="N560" s="14"/>
      <c r="O560" s="14"/>
      <c r="P560" s="14"/>
      <c r="Q560" s="14"/>
      <c r="R560" s="14"/>
      <c r="S560" s="14"/>
      <c r="T560" s="14"/>
      <c r="U560" s="14"/>
    </row>
    <row r="561">
      <c r="D561" s="114"/>
      <c r="E561" s="114"/>
      <c r="J561" s="14"/>
      <c r="K561" s="14"/>
      <c r="L561" s="14"/>
      <c r="M561" s="14"/>
      <c r="N561" s="14"/>
      <c r="O561" s="14"/>
      <c r="P561" s="14"/>
      <c r="Q561" s="14"/>
      <c r="R561" s="14"/>
      <c r="S561" s="14"/>
      <c r="T561" s="14"/>
      <c r="U561" s="14"/>
    </row>
    <row r="562">
      <c r="D562" s="114"/>
      <c r="E562" s="114"/>
      <c r="J562" s="14"/>
      <c r="K562" s="14"/>
      <c r="L562" s="14"/>
      <c r="M562" s="14"/>
      <c r="N562" s="14"/>
      <c r="O562" s="14"/>
      <c r="P562" s="14"/>
      <c r="Q562" s="14"/>
      <c r="R562" s="14"/>
      <c r="S562" s="14"/>
      <c r="T562" s="14"/>
      <c r="U562" s="14"/>
    </row>
    <row r="563">
      <c r="D563" s="114"/>
      <c r="E563" s="114"/>
      <c r="J563" s="14"/>
      <c r="K563" s="14"/>
      <c r="L563" s="14"/>
      <c r="M563" s="14"/>
      <c r="N563" s="14"/>
      <c r="O563" s="14"/>
      <c r="P563" s="14"/>
      <c r="Q563" s="14"/>
      <c r="R563" s="14"/>
      <c r="S563" s="14"/>
      <c r="T563" s="14"/>
      <c r="U563" s="14"/>
    </row>
    <row r="564">
      <c r="D564" s="114"/>
      <c r="E564" s="114"/>
      <c r="J564" s="14"/>
      <c r="K564" s="14"/>
      <c r="L564" s="14"/>
      <c r="M564" s="14"/>
      <c r="N564" s="14"/>
      <c r="O564" s="14"/>
      <c r="P564" s="14"/>
      <c r="Q564" s="14"/>
      <c r="R564" s="14"/>
      <c r="S564" s="14"/>
      <c r="T564" s="14"/>
      <c r="U564" s="14"/>
    </row>
    <row r="565">
      <c r="D565" s="114"/>
      <c r="E565" s="114"/>
      <c r="J565" s="14"/>
      <c r="K565" s="14"/>
      <c r="L565" s="14"/>
      <c r="M565" s="14"/>
      <c r="N565" s="14"/>
      <c r="O565" s="14"/>
      <c r="P565" s="14"/>
      <c r="Q565" s="14"/>
      <c r="R565" s="14"/>
      <c r="S565" s="14"/>
      <c r="T565" s="14"/>
      <c r="U565" s="14"/>
    </row>
    <row r="566">
      <c r="D566" s="114"/>
      <c r="E566" s="114"/>
      <c r="J566" s="14"/>
      <c r="K566" s="14"/>
      <c r="L566" s="14"/>
      <c r="M566" s="14"/>
      <c r="N566" s="14"/>
      <c r="O566" s="14"/>
      <c r="P566" s="14"/>
      <c r="Q566" s="14"/>
      <c r="R566" s="14"/>
      <c r="S566" s="14"/>
      <c r="T566" s="14"/>
      <c r="U566" s="14"/>
    </row>
    <row r="567">
      <c r="D567" s="114"/>
      <c r="E567" s="114"/>
      <c r="J567" s="14"/>
      <c r="K567" s="14"/>
      <c r="L567" s="14"/>
      <c r="M567" s="14"/>
      <c r="N567" s="14"/>
      <c r="O567" s="14"/>
      <c r="P567" s="14"/>
      <c r="Q567" s="14"/>
      <c r="R567" s="14"/>
      <c r="S567" s="14"/>
      <c r="T567" s="14"/>
      <c r="U567" s="14"/>
    </row>
    <row r="568">
      <c r="D568" s="114"/>
      <c r="E568" s="114"/>
      <c r="J568" s="14"/>
      <c r="K568" s="14"/>
      <c r="L568" s="14"/>
      <c r="M568" s="14"/>
      <c r="N568" s="14"/>
      <c r="O568" s="14"/>
      <c r="P568" s="14"/>
      <c r="Q568" s="14"/>
      <c r="R568" s="14"/>
      <c r="S568" s="14"/>
      <c r="T568" s="14"/>
      <c r="U568" s="14"/>
    </row>
    <row r="569">
      <c r="D569" s="114"/>
      <c r="E569" s="114"/>
      <c r="J569" s="14"/>
      <c r="K569" s="14"/>
      <c r="L569" s="14"/>
      <c r="M569" s="14"/>
      <c r="N569" s="14"/>
      <c r="O569" s="14"/>
      <c r="P569" s="14"/>
      <c r="Q569" s="14"/>
      <c r="R569" s="14"/>
      <c r="S569" s="14"/>
      <c r="T569" s="14"/>
      <c r="U569" s="14"/>
    </row>
    <row r="570">
      <c r="D570" s="114"/>
      <c r="E570" s="114"/>
      <c r="J570" s="14"/>
      <c r="K570" s="14"/>
      <c r="L570" s="14"/>
      <c r="M570" s="14"/>
      <c r="N570" s="14"/>
      <c r="O570" s="14"/>
      <c r="P570" s="14"/>
      <c r="Q570" s="14"/>
      <c r="R570" s="14"/>
      <c r="S570" s="14"/>
      <c r="T570" s="14"/>
      <c r="U570" s="14"/>
    </row>
    <row r="571">
      <c r="D571" s="114"/>
      <c r="E571" s="114"/>
      <c r="J571" s="14"/>
      <c r="K571" s="14"/>
      <c r="L571" s="14"/>
      <c r="M571" s="14"/>
      <c r="N571" s="14"/>
      <c r="O571" s="14"/>
      <c r="P571" s="14"/>
      <c r="Q571" s="14"/>
      <c r="R571" s="14"/>
      <c r="S571" s="14"/>
      <c r="T571" s="14"/>
      <c r="U571" s="14"/>
    </row>
    <row r="572">
      <c r="D572" s="114"/>
      <c r="E572" s="114"/>
      <c r="J572" s="14"/>
      <c r="K572" s="14"/>
      <c r="L572" s="14"/>
      <c r="M572" s="14"/>
      <c r="N572" s="14"/>
      <c r="O572" s="14"/>
      <c r="P572" s="14"/>
      <c r="Q572" s="14"/>
      <c r="R572" s="14"/>
      <c r="S572" s="14"/>
      <c r="T572" s="14"/>
      <c r="U572" s="14"/>
    </row>
    <row r="573">
      <c r="D573" s="114"/>
      <c r="E573" s="114"/>
      <c r="J573" s="14"/>
      <c r="K573" s="14"/>
      <c r="L573" s="14"/>
      <c r="M573" s="14"/>
      <c r="N573" s="14"/>
      <c r="O573" s="14"/>
      <c r="P573" s="14"/>
      <c r="Q573" s="14"/>
      <c r="R573" s="14"/>
      <c r="S573" s="14"/>
      <c r="T573" s="14"/>
      <c r="U573" s="14"/>
    </row>
    <row r="574">
      <c r="D574" s="114"/>
      <c r="E574" s="114"/>
      <c r="J574" s="14"/>
      <c r="K574" s="14"/>
      <c r="L574" s="14"/>
      <c r="M574" s="14"/>
      <c r="N574" s="14"/>
      <c r="O574" s="14"/>
      <c r="P574" s="14"/>
      <c r="Q574" s="14"/>
      <c r="R574" s="14"/>
      <c r="S574" s="14"/>
      <c r="T574" s="14"/>
      <c r="U574" s="14"/>
    </row>
    <row r="575">
      <c r="D575" s="114"/>
      <c r="E575" s="114"/>
      <c r="J575" s="14"/>
      <c r="K575" s="14"/>
      <c r="L575" s="14"/>
      <c r="M575" s="14"/>
      <c r="N575" s="14"/>
      <c r="O575" s="14"/>
      <c r="P575" s="14"/>
      <c r="Q575" s="14"/>
      <c r="R575" s="14"/>
      <c r="S575" s="14"/>
      <c r="T575" s="14"/>
      <c r="U575" s="14"/>
    </row>
    <row r="576">
      <c r="D576" s="114"/>
      <c r="E576" s="114"/>
      <c r="J576" s="14"/>
      <c r="K576" s="14"/>
      <c r="L576" s="14"/>
      <c r="M576" s="14"/>
      <c r="N576" s="14"/>
      <c r="O576" s="14"/>
      <c r="P576" s="14"/>
      <c r="Q576" s="14"/>
      <c r="R576" s="14"/>
      <c r="S576" s="14"/>
      <c r="T576" s="14"/>
      <c r="U576" s="14"/>
    </row>
    <row r="577">
      <c r="D577" s="114"/>
      <c r="E577" s="114"/>
      <c r="J577" s="14"/>
      <c r="K577" s="14"/>
      <c r="L577" s="14"/>
      <c r="M577" s="14"/>
      <c r="N577" s="14"/>
      <c r="O577" s="14"/>
      <c r="P577" s="14"/>
      <c r="Q577" s="14"/>
      <c r="R577" s="14"/>
      <c r="S577" s="14"/>
      <c r="T577" s="14"/>
      <c r="U577" s="14"/>
    </row>
    <row r="578">
      <c r="D578" s="114"/>
      <c r="E578" s="114"/>
      <c r="J578" s="14"/>
      <c r="K578" s="14"/>
      <c r="L578" s="14"/>
      <c r="M578" s="14"/>
      <c r="N578" s="14"/>
      <c r="O578" s="14"/>
      <c r="P578" s="14"/>
      <c r="Q578" s="14"/>
      <c r="R578" s="14"/>
      <c r="S578" s="14"/>
      <c r="T578" s="14"/>
      <c r="U578" s="14"/>
    </row>
    <row r="579">
      <c r="D579" s="114"/>
      <c r="E579" s="114"/>
      <c r="J579" s="14"/>
      <c r="K579" s="14"/>
      <c r="L579" s="14"/>
      <c r="M579" s="14"/>
      <c r="N579" s="14"/>
      <c r="O579" s="14"/>
      <c r="P579" s="14"/>
      <c r="Q579" s="14"/>
      <c r="R579" s="14"/>
      <c r="S579" s="14"/>
      <c r="T579" s="14"/>
      <c r="U579" s="14"/>
    </row>
    <row r="580">
      <c r="D580" s="114"/>
      <c r="E580" s="114"/>
      <c r="J580" s="14"/>
      <c r="K580" s="14"/>
      <c r="L580" s="14"/>
      <c r="M580" s="14"/>
      <c r="N580" s="14"/>
      <c r="O580" s="14"/>
      <c r="P580" s="14"/>
      <c r="Q580" s="14"/>
      <c r="R580" s="14"/>
      <c r="S580" s="14"/>
      <c r="T580" s="14"/>
      <c r="U580" s="14"/>
    </row>
    <row r="581">
      <c r="D581" s="114"/>
      <c r="E581" s="114"/>
      <c r="J581" s="14"/>
      <c r="K581" s="14"/>
      <c r="L581" s="14"/>
      <c r="M581" s="14"/>
      <c r="N581" s="14"/>
      <c r="O581" s="14"/>
      <c r="P581" s="14"/>
      <c r="Q581" s="14"/>
      <c r="R581" s="14"/>
      <c r="S581" s="14"/>
      <c r="T581" s="14"/>
      <c r="U581" s="14"/>
    </row>
    <row r="582">
      <c r="D582" s="114"/>
      <c r="E582" s="114"/>
      <c r="J582" s="14"/>
      <c r="K582" s="14"/>
      <c r="L582" s="14"/>
      <c r="M582" s="14"/>
      <c r="N582" s="14"/>
      <c r="O582" s="14"/>
      <c r="P582" s="14"/>
      <c r="Q582" s="14"/>
      <c r="R582" s="14"/>
      <c r="S582" s="14"/>
      <c r="T582" s="14"/>
      <c r="U582" s="14"/>
    </row>
    <row r="583">
      <c r="D583" s="114"/>
      <c r="E583" s="114"/>
      <c r="J583" s="14"/>
      <c r="K583" s="14"/>
      <c r="L583" s="14"/>
      <c r="M583" s="14"/>
      <c r="N583" s="14"/>
      <c r="O583" s="14"/>
      <c r="P583" s="14"/>
      <c r="Q583" s="14"/>
      <c r="R583" s="14"/>
      <c r="S583" s="14"/>
      <c r="T583" s="14"/>
      <c r="U583" s="14"/>
    </row>
    <row r="584">
      <c r="D584" s="114"/>
      <c r="E584" s="114"/>
      <c r="J584" s="14"/>
      <c r="K584" s="14"/>
      <c r="L584" s="14"/>
      <c r="M584" s="14"/>
      <c r="N584" s="14"/>
      <c r="O584" s="14"/>
      <c r="P584" s="14"/>
      <c r="Q584" s="14"/>
      <c r="R584" s="14"/>
      <c r="S584" s="14"/>
      <c r="T584" s="14"/>
      <c r="U584" s="14"/>
    </row>
    <row r="585">
      <c r="D585" s="114"/>
      <c r="E585" s="114"/>
      <c r="J585" s="14"/>
      <c r="K585" s="14"/>
      <c r="L585" s="14"/>
      <c r="M585" s="14"/>
      <c r="N585" s="14"/>
      <c r="O585" s="14"/>
      <c r="P585" s="14"/>
      <c r="Q585" s="14"/>
      <c r="R585" s="14"/>
      <c r="S585" s="14"/>
      <c r="T585" s="14"/>
      <c r="U585" s="14"/>
    </row>
    <row r="586">
      <c r="D586" s="114"/>
      <c r="E586" s="114"/>
      <c r="J586" s="14"/>
      <c r="K586" s="14"/>
      <c r="L586" s="14"/>
      <c r="M586" s="14"/>
      <c r="N586" s="14"/>
      <c r="O586" s="14"/>
      <c r="P586" s="14"/>
      <c r="Q586" s="14"/>
      <c r="R586" s="14"/>
      <c r="S586" s="14"/>
      <c r="T586" s="14"/>
      <c r="U586" s="14"/>
    </row>
    <row r="587">
      <c r="D587" s="114"/>
      <c r="E587" s="114"/>
      <c r="J587" s="14"/>
      <c r="K587" s="14"/>
      <c r="L587" s="14"/>
      <c r="M587" s="14"/>
      <c r="N587" s="14"/>
      <c r="O587" s="14"/>
      <c r="P587" s="14"/>
      <c r="Q587" s="14"/>
      <c r="R587" s="14"/>
      <c r="S587" s="14"/>
      <c r="T587" s="14"/>
      <c r="U587" s="14"/>
    </row>
    <row r="588">
      <c r="D588" s="114"/>
      <c r="E588" s="114"/>
      <c r="J588" s="14"/>
      <c r="K588" s="14"/>
      <c r="L588" s="14"/>
      <c r="M588" s="14"/>
      <c r="N588" s="14"/>
      <c r="O588" s="14"/>
      <c r="P588" s="14"/>
      <c r="Q588" s="14"/>
      <c r="R588" s="14"/>
      <c r="S588" s="14"/>
      <c r="T588" s="14"/>
      <c r="U588" s="14"/>
    </row>
    <row r="589">
      <c r="D589" s="114"/>
      <c r="E589" s="114"/>
      <c r="J589" s="14"/>
      <c r="K589" s="14"/>
      <c r="L589" s="14"/>
      <c r="M589" s="14"/>
      <c r="N589" s="14"/>
      <c r="O589" s="14"/>
      <c r="P589" s="14"/>
      <c r="Q589" s="14"/>
      <c r="R589" s="14"/>
      <c r="S589" s="14"/>
      <c r="T589" s="14"/>
      <c r="U589" s="14"/>
    </row>
    <row r="590">
      <c r="D590" s="114"/>
      <c r="E590" s="114"/>
      <c r="J590" s="14"/>
      <c r="K590" s="14"/>
      <c r="L590" s="14"/>
      <c r="M590" s="14"/>
      <c r="N590" s="14"/>
      <c r="O590" s="14"/>
      <c r="P590" s="14"/>
      <c r="Q590" s="14"/>
      <c r="R590" s="14"/>
      <c r="S590" s="14"/>
      <c r="T590" s="14"/>
      <c r="U590" s="14"/>
    </row>
    <row r="591">
      <c r="D591" s="114"/>
      <c r="E591" s="114"/>
      <c r="J591" s="14"/>
      <c r="K591" s="14"/>
      <c r="L591" s="14"/>
      <c r="M591" s="14"/>
      <c r="N591" s="14"/>
      <c r="O591" s="14"/>
      <c r="P591" s="14"/>
      <c r="Q591" s="14"/>
      <c r="R591" s="14"/>
      <c r="S591" s="14"/>
      <c r="T591" s="14"/>
      <c r="U591" s="14"/>
    </row>
    <row r="592">
      <c r="D592" s="114"/>
      <c r="E592" s="114"/>
      <c r="J592" s="14"/>
      <c r="K592" s="14"/>
      <c r="L592" s="14"/>
      <c r="M592" s="14"/>
      <c r="N592" s="14"/>
      <c r="O592" s="14"/>
      <c r="P592" s="14"/>
      <c r="Q592" s="14"/>
      <c r="R592" s="14"/>
      <c r="S592" s="14"/>
      <c r="T592" s="14"/>
      <c r="U592" s="14"/>
    </row>
    <row r="593">
      <c r="D593" s="114"/>
      <c r="E593" s="114"/>
      <c r="J593" s="14"/>
      <c r="K593" s="14"/>
      <c r="L593" s="14"/>
      <c r="M593" s="14"/>
      <c r="N593" s="14"/>
      <c r="O593" s="14"/>
      <c r="P593" s="14"/>
      <c r="Q593" s="14"/>
      <c r="R593" s="14"/>
      <c r="S593" s="14"/>
      <c r="T593" s="14"/>
      <c r="U593" s="14"/>
    </row>
    <row r="594">
      <c r="D594" s="114"/>
      <c r="E594" s="114"/>
      <c r="J594" s="14"/>
      <c r="K594" s="14"/>
      <c r="L594" s="14"/>
      <c r="M594" s="14"/>
      <c r="N594" s="14"/>
      <c r="O594" s="14"/>
      <c r="P594" s="14"/>
      <c r="Q594" s="14"/>
      <c r="R594" s="14"/>
      <c r="S594" s="14"/>
      <c r="T594" s="14"/>
      <c r="U594" s="14"/>
    </row>
    <row r="595">
      <c r="D595" s="114"/>
      <c r="E595" s="114"/>
      <c r="J595" s="14"/>
      <c r="K595" s="14"/>
      <c r="L595" s="14"/>
      <c r="M595" s="14"/>
      <c r="N595" s="14"/>
      <c r="O595" s="14"/>
      <c r="P595" s="14"/>
      <c r="Q595" s="14"/>
      <c r="R595" s="14"/>
      <c r="S595" s="14"/>
      <c r="T595" s="14"/>
      <c r="U595" s="14"/>
    </row>
    <row r="596">
      <c r="D596" s="114"/>
      <c r="E596" s="114"/>
      <c r="J596" s="14"/>
      <c r="K596" s="14"/>
      <c r="L596" s="14"/>
      <c r="M596" s="14"/>
      <c r="N596" s="14"/>
      <c r="O596" s="14"/>
      <c r="P596" s="14"/>
      <c r="Q596" s="14"/>
      <c r="R596" s="14"/>
      <c r="S596" s="14"/>
      <c r="T596" s="14"/>
      <c r="U596" s="14"/>
    </row>
    <row r="597">
      <c r="D597" s="114"/>
      <c r="E597" s="114"/>
      <c r="J597" s="14"/>
      <c r="K597" s="14"/>
      <c r="L597" s="14"/>
      <c r="M597" s="14"/>
      <c r="N597" s="14"/>
      <c r="O597" s="14"/>
      <c r="P597" s="14"/>
      <c r="Q597" s="14"/>
      <c r="R597" s="14"/>
      <c r="S597" s="14"/>
      <c r="T597" s="14"/>
      <c r="U597" s="14"/>
    </row>
    <row r="598">
      <c r="D598" s="114"/>
      <c r="E598" s="114"/>
      <c r="J598" s="14"/>
      <c r="K598" s="14"/>
      <c r="L598" s="14"/>
      <c r="M598" s="14"/>
      <c r="N598" s="14"/>
      <c r="O598" s="14"/>
      <c r="P598" s="14"/>
      <c r="Q598" s="14"/>
      <c r="R598" s="14"/>
      <c r="S598" s="14"/>
      <c r="T598" s="14"/>
      <c r="U598" s="14"/>
    </row>
    <row r="599">
      <c r="D599" s="114"/>
      <c r="E599" s="114"/>
      <c r="J599" s="14"/>
      <c r="K599" s="14"/>
      <c r="L599" s="14"/>
      <c r="M599" s="14"/>
      <c r="N599" s="14"/>
      <c r="O599" s="14"/>
      <c r="P599" s="14"/>
      <c r="Q599" s="14"/>
      <c r="R599" s="14"/>
      <c r="S599" s="14"/>
      <c r="T599" s="14"/>
      <c r="U599" s="14"/>
    </row>
    <row r="600">
      <c r="D600" s="114"/>
      <c r="E600" s="114"/>
      <c r="J600" s="14"/>
      <c r="K600" s="14"/>
      <c r="L600" s="14"/>
      <c r="M600" s="14"/>
      <c r="N600" s="14"/>
      <c r="O600" s="14"/>
      <c r="P600" s="14"/>
      <c r="Q600" s="14"/>
      <c r="R600" s="14"/>
      <c r="S600" s="14"/>
      <c r="T600" s="14"/>
      <c r="U600" s="14"/>
    </row>
    <row r="601">
      <c r="D601" s="114"/>
      <c r="E601" s="114"/>
      <c r="J601" s="14"/>
      <c r="K601" s="14"/>
      <c r="L601" s="14"/>
      <c r="M601" s="14"/>
      <c r="N601" s="14"/>
      <c r="O601" s="14"/>
      <c r="P601" s="14"/>
      <c r="Q601" s="14"/>
      <c r="R601" s="14"/>
      <c r="S601" s="14"/>
      <c r="T601" s="14"/>
      <c r="U601" s="14"/>
    </row>
    <row r="602">
      <c r="D602" s="114"/>
      <c r="E602" s="114"/>
      <c r="J602" s="14"/>
      <c r="K602" s="14"/>
      <c r="L602" s="14"/>
      <c r="M602" s="14"/>
      <c r="N602" s="14"/>
      <c r="O602" s="14"/>
      <c r="P602" s="14"/>
      <c r="Q602" s="14"/>
      <c r="R602" s="14"/>
      <c r="S602" s="14"/>
      <c r="T602" s="14"/>
      <c r="U602" s="14"/>
    </row>
    <row r="603">
      <c r="D603" s="114"/>
      <c r="E603" s="114"/>
      <c r="J603" s="14"/>
      <c r="K603" s="14"/>
      <c r="L603" s="14"/>
      <c r="M603" s="14"/>
      <c r="N603" s="14"/>
      <c r="O603" s="14"/>
      <c r="P603" s="14"/>
      <c r="Q603" s="14"/>
      <c r="R603" s="14"/>
      <c r="S603" s="14"/>
      <c r="T603" s="14"/>
      <c r="U603" s="14"/>
    </row>
    <row r="604">
      <c r="D604" s="114"/>
      <c r="E604" s="114"/>
      <c r="J604" s="14"/>
      <c r="K604" s="14"/>
      <c r="L604" s="14"/>
      <c r="M604" s="14"/>
      <c r="N604" s="14"/>
      <c r="O604" s="14"/>
      <c r="P604" s="14"/>
      <c r="Q604" s="14"/>
      <c r="R604" s="14"/>
      <c r="S604" s="14"/>
      <c r="T604" s="14"/>
      <c r="U604" s="14"/>
    </row>
    <row r="605">
      <c r="D605" s="114"/>
      <c r="E605" s="114"/>
      <c r="J605" s="14"/>
      <c r="K605" s="14"/>
      <c r="L605" s="14"/>
      <c r="M605" s="14"/>
      <c r="N605" s="14"/>
      <c r="O605" s="14"/>
      <c r="P605" s="14"/>
      <c r="Q605" s="14"/>
      <c r="R605" s="14"/>
      <c r="S605" s="14"/>
      <c r="T605" s="14"/>
      <c r="U605" s="14"/>
    </row>
    <row r="606">
      <c r="D606" s="114"/>
      <c r="E606" s="114"/>
      <c r="J606" s="14"/>
      <c r="K606" s="14"/>
      <c r="L606" s="14"/>
      <c r="M606" s="14"/>
      <c r="N606" s="14"/>
      <c r="O606" s="14"/>
      <c r="P606" s="14"/>
      <c r="Q606" s="14"/>
      <c r="R606" s="14"/>
      <c r="S606" s="14"/>
      <c r="T606" s="14"/>
      <c r="U606" s="14"/>
    </row>
    <row r="607">
      <c r="D607" s="114"/>
      <c r="E607" s="114"/>
      <c r="J607" s="14"/>
      <c r="K607" s="14"/>
      <c r="L607" s="14"/>
      <c r="M607" s="14"/>
      <c r="N607" s="14"/>
      <c r="O607" s="14"/>
      <c r="P607" s="14"/>
      <c r="Q607" s="14"/>
      <c r="R607" s="14"/>
      <c r="S607" s="14"/>
      <c r="T607" s="14"/>
      <c r="U607" s="14"/>
    </row>
    <row r="608">
      <c r="D608" s="114"/>
      <c r="E608" s="114"/>
      <c r="J608" s="14"/>
      <c r="K608" s="14"/>
      <c r="L608" s="14"/>
      <c r="M608" s="14"/>
      <c r="N608" s="14"/>
      <c r="O608" s="14"/>
      <c r="P608" s="14"/>
      <c r="Q608" s="14"/>
      <c r="R608" s="14"/>
      <c r="S608" s="14"/>
      <c r="T608" s="14"/>
      <c r="U608" s="14"/>
    </row>
    <row r="609">
      <c r="D609" s="114"/>
      <c r="E609" s="114"/>
      <c r="J609" s="14"/>
      <c r="K609" s="14"/>
      <c r="L609" s="14"/>
      <c r="M609" s="14"/>
      <c r="N609" s="14"/>
      <c r="O609" s="14"/>
      <c r="P609" s="14"/>
      <c r="Q609" s="14"/>
      <c r="R609" s="14"/>
      <c r="S609" s="14"/>
      <c r="T609" s="14"/>
      <c r="U609" s="14"/>
    </row>
    <row r="610">
      <c r="D610" s="114"/>
      <c r="E610" s="114"/>
      <c r="J610" s="14"/>
      <c r="K610" s="14"/>
      <c r="L610" s="14"/>
      <c r="M610" s="14"/>
      <c r="N610" s="14"/>
      <c r="O610" s="14"/>
      <c r="P610" s="14"/>
      <c r="Q610" s="14"/>
      <c r="R610" s="14"/>
      <c r="S610" s="14"/>
      <c r="T610" s="14"/>
      <c r="U610" s="14"/>
    </row>
    <row r="611">
      <c r="D611" s="114"/>
      <c r="E611" s="114"/>
      <c r="J611" s="14"/>
      <c r="K611" s="14"/>
      <c r="L611" s="14"/>
      <c r="M611" s="14"/>
      <c r="N611" s="14"/>
      <c r="O611" s="14"/>
      <c r="P611" s="14"/>
      <c r="Q611" s="14"/>
      <c r="R611" s="14"/>
      <c r="S611" s="14"/>
      <c r="T611" s="14"/>
      <c r="U611" s="14"/>
    </row>
    <row r="612">
      <c r="D612" s="114"/>
      <c r="E612" s="114"/>
      <c r="J612" s="14"/>
      <c r="K612" s="14"/>
      <c r="L612" s="14"/>
      <c r="M612" s="14"/>
      <c r="N612" s="14"/>
      <c r="O612" s="14"/>
      <c r="P612" s="14"/>
      <c r="Q612" s="14"/>
      <c r="R612" s="14"/>
      <c r="S612" s="14"/>
      <c r="T612" s="14"/>
      <c r="U612" s="14"/>
    </row>
    <row r="613">
      <c r="D613" s="114"/>
      <c r="E613" s="114"/>
      <c r="J613" s="14"/>
      <c r="K613" s="14"/>
      <c r="L613" s="14"/>
      <c r="M613" s="14"/>
      <c r="N613" s="14"/>
      <c r="O613" s="14"/>
      <c r="P613" s="14"/>
      <c r="Q613" s="14"/>
      <c r="R613" s="14"/>
      <c r="S613" s="14"/>
      <c r="T613" s="14"/>
      <c r="U613" s="14"/>
    </row>
    <row r="614">
      <c r="D614" s="114"/>
      <c r="E614" s="114"/>
      <c r="J614" s="14"/>
      <c r="K614" s="14"/>
      <c r="L614" s="14"/>
      <c r="M614" s="14"/>
      <c r="N614" s="14"/>
      <c r="O614" s="14"/>
      <c r="P614" s="14"/>
      <c r="Q614" s="14"/>
      <c r="R614" s="14"/>
      <c r="S614" s="14"/>
      <c r="T614" s="14"/>
      <c r="U614" s="14"/>
    </row>
    <row r="615">
      <c r="D615" s="114"/>
      <c r="E615" s="114"/>
      <c r="J615" s="14"/>
      <c r="K615" s="14"/>
      <c r="L615" s="14"/>
      <c r="M615" s="14"/>
      <c r="N615" s="14"/>
      <c r="O615" s="14"/>
      <c r="P615" s="14"/>
      <c r="Q615" s="14"/>
      <c r="R615" s="14"/>
      <c r="S615" s="14"/>
      <c r="T615" s="14"/>
      <c r="U615" s="14"/>
    </row>
    <row r="616">
      <c r="D616" s="114"/>
      <c r="E616" s="114"/>
      <c r="J616" s="14"/>
      <c r="K616" s="14"/>
      <c r="L616" s="14"/>
      <c r="M616" s="14"/>
      <c r="N616" s="14"/>
      <c r="O616" s="14"/>
      <c r="P616" s="14"/>
      <c r="Q616" s="14"/>
      <c r="R616" s="14"/>
      <c r="S616" s="14"/>
      <c r="T616" s="14"/>
      <c r="U616" s="14"/>
    </row>
    <row r="617">
      <c r="D617" s="114"/>
      <c r="E617" s="114"/>
      <c r="J617" s="14"/>
      <c r="K617" s="14"/>
      <c r="L617" s="14"/>
      <c r="M617" s="14"/>
      <c r="N617" s="14"/>
      <c r="O617" s="14"/>
      <c r="P617" s="14"/>
      <c r="Q617" s="14"/>
      <c r="R617" s="14"/>
      <c r="S617" s="14"/>
      <c r="T617" s="14"/>
      <c r="U617" s="14"/>
    </row>
    <row r="618">
      <c r="D618" s="114"/>
      <c r="E618" s="114"/>
      <c r="J618" s="14"/>
      <c r="K618" s="14"/>
      <c r="L618" s="14"/>
      <c r="M618" s="14"/>
      <c r="N618" s="14"/>
      <c r="O618" s="14"/>
      <c r="P618" s="14"/>
      <c r="Q618" s="14"/>
      <c r="R618" s="14"/>
      <c r="S618" s="14"/>
      <c r="T618" s="14"/>
      <c r="U618" s="14"/>
    </row>
    <row r="619">
      <c r="D619" s="114"/>
      <c r="E619" s="114"/>
      <c r="J619" s="14"/>
      <c r="K619" s="14"/>
      <c r="L619" s="14"/>
      <c r="M619" s="14"/>
      <c r="N619" s="14"/>
      <c r="O619" s="14"/>
      <c r="P619" s="14"/>
      <c r="Q619" s="14"/>
      <c r="R619" s="14"/>
      <c r="S619" s="14"/>
      <c r="T619" s="14"/>
      <c r="U619" s="14"/>
    </row>
    <row r="620">
      <c r="D620" s="114"/>
      <c r="E620" s="114"/>
      <c r="J620" s="14"/>
      <c r="K620" s="14"/>
      <c r="L620" s="14"/>
      <c r="M620" s="14"/>
      <c r="N620" s="14"/>
      <c r="O620" s="14"/>
      <c r="P620" s="14"/>
      <c r="Q620" s="14"/>
      <c r="R620" s="14"/>
      <c r="S620" s="14"/>
      <c r="T620" s="14"/>
      <c r="U620" s="14"/>
    </row>
    <row r="621">
      <c r="D621" s="114"/>
      <c r="E621" s="114"/>
      <c r="J621" s="14"/>
      <c r="K621" s="14"/>
      <c r="L621" s="14"/>
      <c r="M621" s="14"/>
      <c r="N621" s="14"/>
      <c r="O621" s="14"/>
      <c r="P621" s="14"/>
      <c r="Q621" s="14"/>
      <c r="R621" s="14"/>
      <c r="S621" s="14"/>
      <c r="T621" s="14"/>
      <c r="U621" s="14"/>
    </row>
    <row r="622">
      <c r="D622" s="114"/>
      <c r="E622" s="114"/>
      <c r="J622" s="14"/>
      <c r="K622" s="14"/>
      <c r="L622" s="14"/>
      <c r="M622" s="14"/>
      <c r="N622" s="14"/>
      <c r="O622" s="14"/>
      <c r="P622" s="14"/>
      <c r="Q622" s="14"/>
      <c r="R622" s="14"/>
      <c r="S622" s="14"/>
      <c r="T622" s="14"/>
      <c r="U622" s="14"/>
    </row>
    <row r="623">
      <c r="D623" s="114"/>
      <c r="E623" s="114"/>
      <c r="J623" s="14"/>
      <c r="K623" s="14"/>
      <c r="L623" s="14"/>
      <c r="M623" s="14"/>
      <c r="N623" s="14"/>
      <c r="O623" s="14"/>
      <c r="P623" s="14"/>
      <c r="Q623" s="14"/>
      <c r="R623" s="14"/>
      <c r="S623" s="14"/>
      <c r="T623" s="14"/>
      <c r="U623" s="14"/>
    </row>
    <row r="624">
      <c r="D624" s="114"/>
      <c r="E624" s="114"/>
      <c r="J624" s="14"/>
      <c r="K624" s="14"/>
      <c r="L624" s="14"/>
      <c r="M624" s="14"/>
      <c r="N624" s="14"/>
      <c r="O624" s="14"/>
      <c r="P624" s="14"/>
      <c r="Q624" s="14"/>
      <c r="R624" s="14"/>
      <c r="S624" s="14"/>
      <c r="T624" s="14"/>
      <c r="U624" s="14"/>
    </row>
    <row r="625">
      <c r="D625" s="114"/>
      <c r="E625" s="114"/>
      <c r="J625" s="14"/>
      <c r="K625" s="14"/>
      <c r="L625" s="14"/>
      <c r="M625" s="14"/>
      <c r="N625" s="14"/>
      <c r="O625" s="14"/>
      <c r="P625" s="14"/>
      <c r="Q625" s="14"/>
      <c r="R625" s="14"/>
      <c r="S625" s="14"/>
      <c r="T625" s="14"/>
      <c r="U625" s="14"/>
    </row>
    <row r="626">
      <c r="D626" s="114"/>
      <c r="E626" s="114"/>
      <c r="J626" s="14"/>
      <c r="K626" s="14"/>
      <c r="L626" s="14"/>
      <c r="M626" s="14"/>
      <c r="N626" s="14"/>
      <c r="O626" s="14"/>
      <c r="P626" s="14"/>
      <c r="Q626" s="14"/>
      <c r="R626" s="14"/>
      <c r="S626" s="14"/>
      <c r="T626" s="14"/>
      <c r="U626" s="14"/>
    </row>
    <row r="627">
      <c r="D627" s="114"/>
      <c r="E627" s="114"/>
      <c r="J627" s="14"/>
      <c r="K627" s="14"/>
      <c r="L627" s="14"/>
      <c r="M627" s="14"/>
      <c r="N627" s="14"/>
      <c r="O627" s="14"/>
      <c r="P627" s="14"/>
      <c r="Q627" s="14"/>
      <c r="R627" s="14"/>
      <c r="S627" s="14"/>
      <c r="T627" s="14"/>
      <c r="U627" s="14"/>
    </row>
    <row r="628">
      <c r="D628" s="114"/>
      <c r="E628" s="114"/>
      <c r="J628" s="14"/>
      <c r="K628" s="14"/>
      <c r="L628" s="14"/>
      <c r="M628" s="14"/>
      <c r="N628" s="14"/>
      <c r="O628" s="14"/>
      <c r="P628" s="14"/>
      <c r="Q628" s="14"/>
      <c r="R628" s="14"/>
      <c r="S628" s="14"/>
      <c r="T628" s="14"/>
      <c r="U628" s="14"/>
    </row>
    <row r="629">
      <c r="D629" s="114"/>
      <c r="E629" s="114"/>
      <c r="J629" s="14"/>
      <c r="K629" s="14"/>
      <c r="L629" s="14"/>
      <c r="M629" s="14"/>
      <c r="N629" s="14"/>
      <c r="O629" s="14"/>
      <c r="P629" s="14"/>
      <c r="Q629" s="14"/>
      <c r="R629" s="14"/>
      <c r="S629" s="14"/>
      <c r="T629" s="14"/>
      <c r="U629" s="14"/>
    </row>
    <row r="630">
      <c r="D630" s="114"/>
      <c r="E630" s="114"/>
      <c r="J630" s="14"/>
      <c r="K630" s="14"/>
      <c r="L630" s="14"/>
      <c r="M630" s="14"/>
      <c r="N630" s="14"/>
      <c r="O630" s="14"/>
      <c r="P630" s="14"/>
      <c r="Q630" s="14"/>
      <c r="R630" s="14"/>
      <c r="S630" s="14"/>
      <c r="T630" s="14"/>
      <c r="U630" s="14"/>
    </row>
    <row r="631">
      <c r="D631" s="114"/>
      <c r="E631" s="114"/>
      <c r="J631" s="14"/>
      <c r="K631" s="14"/>
      <c r="L631" s="14"/>
      <c r="M631" s="14"/>
      <c r="N631" s="14"/>
      <c r="O631" s="14"/>
      <c r="P631" s="14"/>
      <c r="Q631" s="14"/>
      <c r="R631" s="14"/>
      <c r="S631" s="14"/>
      <c r="T631" s="14"/>
      <c r="U631" s="14"/>
    </row>
    <row r="632">
      <c r="D632" s="114"/>
      <c r="E632" s="114"/>
      <c r="J632" s="14"/>
      <c r="K632" s="14"/>
      <c r="L632" s="14"/>
      <c r="M632" s="14"/>
      <c r="N632" s="14"/>
      <c r="O632" s="14"/>
      <c r="P632" s="14"/>
      <c r="Q632" s="14"/>
      <c r="R632" s="14"/>
      <c r="S632" s="14"/>
      <c r="T632" s="14"/>
      <c r="U632" s="14"/>
    </row>
    <row r="633">
      <c r="D633" s="114"/>
      <c r="E633" s="114"/>
      <c r="J633" s="14"/>
      <c r="K633" s="14"/>
      <c r="L633" s="14"/>
      <c r="M633" s="14"/>
      <c r="N633" s="14"/>
      <c r="O633" s="14"/>
      <c r="P633" s="14"/>
      <c r="Q633" s="14"/>
      <c r="R633" s="14"/>
      <c r="S633" s="14"/>
      <c r="T633" s="14"/>
      <c r="U633" s="14"/>
    </row>
    <row r="634">
      <c r="D634" s="114"/>
      <c r="E634" s="114"/>
      <c r="J634" s="14"/>
      <c r="K634" s="14"/>
      <c r="L634" s="14"/>
      <c r="M634" s="14"/>
      <c r="N634" s="14"/>
      <c r="O634" s="14"/>
      <c r="P634" s="14"/>
      <c r="Q634" s="14"/>
      <c r="R634" s="14"/>
      <c r="S634" s="14"/>
      <c r="T634" s="14"/>
      <c r="U634" s="14"/>
    </row>
    <row r="635">
      <c r="D635" s="114"/>
      <c r="E635" s="114"/>
      <c r="J635" s="14"/>
      <c r="K635" s="14"/>
      <c r="L635" s="14"/>
      <c r="M635" s="14"/>
      <c r="N635" s="14"/>
      <c r="O635" s="14"/>
      <c r="P635" s="14"/>
      <c r="Q635" s="14"/>
      <c r="R635" s="14"/>
      <c r="S635" s="14"/>
      <c r="T635" s="14"/>
      <c r="U635" s="14"/>
    </row>
    <row r="636">
      <c r="D636" s="114"/>
      <c r="E636" s="114"/>
      <c r="J636" s="14"/>
      <c r="K636" s="14"/>
      <c r="L636" s="14"/>
      <c r="M636" s="14"/>
      <c r="N636" s="14"/>
      <c r="O636" s="14"/>
      <c r="P636" s="14"/>
      <c r="Q636" s="14"/>
      <c r="R636" s="14"/>
      <c r="S636" s="14"/>
      <c r="T636" s="14"/>
      <c r="U636" s="14"/>
    </row>
    <row r="637">
      <c r="D637" s="114"/>
      <c r="E637" s="114"/>
      <c r="J637" s="14"/>
      <c r="K637" s="14"/>
      <c r="L637" s="14"/>
      <c r="M637" s="14"/>
      <c r="N637" s="14"/>
      <c r="O637" s="14"/>
      <c r="P637" s="14"/>
      <c r="Q637" s="14"/>
      <c r="R637" s="14"/>
      <c r="S637" s="14"/>
      <c r="T637" s="14"/>
      <c r="U637" s="14"/>
    </row>
    <row r="638">
      <c r="D638" s="114"/>
      <c r="E638" s="114"/>
      <c r="J638" s="14"/>
      <c r="K638" s="14"/>
      <c r="L638" s="14"/>
      <c r="M638" s="14"/>
      <c r="N638" s="14"/>
      <c r="O638" s="14"/>
      <c r="P638" s="14"/>
      <c r="Q638" s="14"/>
      <c r="R638" s="14"/>
      <c r="S638" s="14"/>
      <c r="T638" s="14"/>
      <c r="U638" s="14"/>
    </row>
    <row r="639">
      <c r="D639" s="114"/>
      <c r="E639" s="114"/>
      <c r="J639" s="14"/>
      <c r="K639" s="14"/>
      <c r="L639" s="14"/>
      <c r="M639" s="14"/>
      <c r="N639" s="14"/>
      <c r="O639" s="14"/>
      <c r="P639" s="14"/>
      <c r="Q639" s="14"/>
      <c r="R639" s="14"/>
      <c r="S639" s="14"/>
      <c r="T639" s="14"/>
      <c r="U639" s="14"/>
    </row>
    <row r="640">
      <c r="D640" s="114"/>
      <c r="E640" s="114"/>
      <c r="J640" s="14"/>
      <c r="K640" s="14"/>
      <c r="L640" s="14"/>
      <c r="M640" s="14"/>
      <c r="N640" s="14"/>
      <c r="O640" s="14"/>
      <c r="P640" s="14"/>
      <c r="Q640" s="14"/>
      <c r="R640" s="14"/>
      <c r="S640" s="14"/>
      <c r="T640" s="14"/>
      <c r="U640" s="14"/>
    </row>
    <row r="641">
      <c r="D641" s="114"/>
      <c r="E641" s="114"/>
      <c r="J641" s="14"/>
      <c r="K641" s="14"/>
      <c r="L641" s="14"/>
      <c r="M641" s="14"/>
      <c r="N641" s="14"/>
      <c r="O641" s="14"/>
      <c r="P641" s="14"/>
      <c r="Q641" s="14"/>
      <c r="R641" s="14"/>
      <c r="S641" s="14"/>
      <c r="T641" s="14"/>
      <c r="U641" s="14"/>
    </row>
    <row r="642">
      <c r="D642" s="114"/>
      <c r="E642" s="114"/>
      <c r="J642" s="14"/>
      <c r="K642" s="14"/>
      <c r="L642" s="14"/>
      <c r="M642" s="14"/>
      <c r="N642" s="14"/>
      <c r="O642" s="14"/>
      <c r="P642" s="14"/>
      <c r="Q642" s="14"/>
      <c r="R642" s="14"/>
      <c r="S642" s="14"/>
      <c r="T642" s="14"/>
      <c r="U642" s="14"/>
    </row>
    <row r="643">
      <c r="D643" s="114"/>
      <c r="E643" s="114"/>
      <c r="J643" s="14"/>
      <c r="K643" s="14"/>
      <c r="L643" s="14"/>
      <c r="M643" s="14"/>
      <c r="N643" s="14"/>
      <c r="O643" s="14"/>
      <c r="P643" s="14"/>
      <c r="Q643" s="14"/>
      <c r="R643" s="14"/>
      <c r="S643" s="14"/>
      <c r="T643" s="14"/>
      <c r="U643" s="14"/>
    </row>
    <row r="644">
      <c r="D644" s="114"/>
      <c r="E644" s="114"/>
      <c r="J644" s="14"/>
      <c r="K644" s="14"/>
      <c r="L644" s="14"/>
      <c r="M644" s="14"/>
      <c r="N644" s="14"/>
      <c r="O644" s="14"/>
      <c r="P644" s="14"/>
      <c r="Q644" s="14"/>
      <c r="R644" s="14"/>
      <c r="S644" s="14"/>
      <c r="T644" s="14"/>
      <c r="U644" s="14"/>
    </row>
    <row r="645">
      <c r="D645" s="114"/>
      <c r="E645" s="114"/>
      <c r="J645" s="14"/>
      <c r="K645" s="14"/>
      <c r="L645" s="14"/>
      <c r="M645" s="14"/>
      <c r="N645" s="14"/>
      <c r="O645" s="14"/>
      <c r="P645" s="14"/>
      <c r="Q645" s="14"/>
      <c r="R645" s="14"/>
      <c r="S645" s="14"/>
      <c r="T645" s="14"/>
      <c r="U645" s="14"/>
    </row>
    <row r="646">
      <c r="D646" s="114"/>
      <c r="E646" s="114"/>
      <c r="J646" s="14"/>
      <c r="K646" s="14"/>
      <c r="L646" s="14"/>
      <c r="M646" s="14"/>
      <c r="N646" s="14"/>
      <c r="O646" s="14"/>
      <c r="P646" s="14"/>
      <c r="Q646" s="14"/>
      <c r="R646" s="14"/>
      <c r="S646" s="14"/>
      <c r="T646" s="14"/>
      <c r="U646" s="14"/>
    </row>
    <row r="647">
      <c r="D647" s="114"/>
      <c r="E647" s="114"/>
      <c r="J647" s="14"/>
      <c r="K647" s="14"/>
      <c r="L647" s="14"/>
      <c r="M647" s="14"/>
      <c r="N647" s="14"/>
      <c r="O647" s="14"/>
      <c r="P647" s="14"/>
      <c r="Q647" s="14"/>
      <c r="R647" s="14"/>
      <c r="S647" s="14"/>
      <c r="T647" s="14"/>
      <c r="U647" s="14"/>
    </row>
    <row r="648">
      <c r="D648" s="114"/>
      <c r="E648" s="114"/>
      <c r="J648" s="14"/>
      <c r="K648" s="14"/>
      <c r="L648" s="14"/>
      <c r="M648" s="14"/>
      <c r="N648" s="14"/>
      <c r="O648" s="14"/>
      <c r="P648" s="14"/>
      <c r="Q648" s="14"/>
      <c r="R648" s="14"/>
      <c r="S648" s="14"/>
      <c r="T648" s="14"/>
      <c r="U648" s="14"/>
    </row>
    <row r="649">
      <c r="D649" s="114"/>
      <c r="E649" s="114"/>
      <c r="J649" s="14"/>
      <c r="K649" s="14"/>
      <c r="L649" s="14"/>
      <c r="M649" s="14"/>
      <c r="N649" s="14"/>
      <c r="O649" s="14"/>
      <c r="P649" s="14"/>
      <c r="Q649" s="14"/>
      <c r="R649" s="14"/>
      <c r="S649" s="14"/>
      <c r="T649" s="14"/>
      <c r="U649" s="14"/>
    </row>
    <row r="650">
      <c r="D650" s="114"/>
      <c r="E650" s="114"/>
      <c r="J650" s="14"/>
      <c r="K650" s="14"/>
      <c r="L650" s="14"/>
      <c r="M650" s="14"/>
      <c r="N650" s="14"/>
      <c r="O650" s="14"/>
      <c r="P650" s="14"/>
      <c r="Q650" s="14"/>
      <c r="R650" s="14"/>
      <c r="S650" s="14"/>
      <c r="T650" s="14"/>
      <c r="U650" s="14"/>
    </row>
    <row r="651">
      <c r="D651" s="114"/>
      <c r="E651" s="114"/>
      <c r="J651" s="14"/>
      <c r="K651" s="14"/>
      <c r="L651" s="14"/>
      <c r="M651" s="14"/>
      <c r="N651" s="14"/>
      <c r="O651" s="14"/>
      <c r="P651" s="14"/>
      <c r="Q651" s="14"/>
      <c r="R651" s="14"/>
      <c r="S651" s="14"/>
      <c r="T651" s="14"/>
      <c r="U651" s="14"/>
    </row>
    <row r="652">
      <c r="D652" s="114"/>
      <c r="E652" s="114"/>
      <c r="J652" s="14"/>
      <c r="K652" s="14"/>
      <c r="L652" s="14"/>
      <c r="M652" s="14"/>
      <c r="N652" s="14"/>
      <c r="O652" s="14"/>
      <c r="P652" s="14"/>
      <c r="Q652" s="14"/>
      <c r="R652" s="14"/>
      <c r="S652" s="14"/>
      <c r="T652" s="14"/>
      <c r="U652" s="14"/>
    </row>
    <row r="653">
      <c r="D653" s="114"/>
      <c r="E653" s="114"/>
      <c r="J653" s="14"/>
      <c r="K653" s="14"/>
      <c r="L653" s="14"/>
      <c r="M653" s="14"/>
      <c r="N653" s="14"/>
      <c r="O653" s="14"/>
      <c r="P653" s="14"/>
      <c r="Q653" s="14"/>
      <c r="R653" s="14"/>
      <c r="S653" s="14"/>
      <c r="T653" s="14"/>
      <c r="U653" s="14"/>
    </row>
    <row r="654">
      <c r="D654" s="114"/>
      <c r="E654" s="114"/>
      <c r="J654" s="14"/>
      <c r="K654" s="14"/>
      <c r="L654" s="14"/>
      <c r="M654" s="14"/>
      <c r="N654" s="14"/>
      <c r="O654" s="14"/>
      <c r="P654" s="14"/>
      <c r="Q654" s="14"/>
      <c r="R654" s="14"/>
      <c r="S654" s="14"/>
      <c r="T654" s="14"/>
      <c r="U654" s="14"/>
    </row>
    <row r="655">
      <c r="D655" s="114"/>
      <c r="E655" s="114"/>
      <c r="J655" s="14"/>
      <c r="K655" s="14"/>
      <c r="L655" s="14"/>
      <c r="M655" s="14"/>
      <c r="N655" s="14"/>
      <c r="O655" s="14"/>
      <c r="P655" s="14"/>
      <c r="Q655" s="14"/>
      <c r="R655" s="14"/>
      <c r="S655" s="14"/>
      <c r="T655" s="14"/>
      <c r="U655" s="14"/>
    </row>
    <row r="656">
      <c r="D656" s="114"/>
      <c r="E656" s="114"/>
      <c r="J656" s="14"/>
      <c r="K656" s="14"/>
      <c r="L656" s="14"/>
      <c r="M656" s="14"/>
      <c r="N656" s="14"/>
      <c r="O656" s="14"/>
      <c r="P656" s="14"/>
      <c r="Q656" s="14"/>
      <c r="R656" s="14"/>
      <c r="S656" s="14"/>
      <c r="T656" s="14"/>
      <c r="U656" s="14"/>
    </row>
    <row r="657">
      <c r="D657" s="114"/>
      <c r="E657" s="114"/>
      <c r="J657" s="14"/>
      <c r="K657" s="14"/>
      <c r="L657" s="14"/>
      <c r="M657" s="14"/>
      <c r="N657" s="14"/>
      <c r="O657" s="14"/>
      <c r="P657" s="14"/>
      <c r="Q657" s="14"/>
      <c r="R657" s="14"/>
      <c r="S657" s="14"/>
      <c r="T657" s="14"/>
      <c r="U657" s="14"/>
    </row>
    <row r="658">
      <c r="D658" s="114"/>
      <c r="E658" s="114"/>
      <c r="J658" s="14"/>
      <c r="K658" s="14"/>
      <c r="L658" s="14"/>
      <c r="M658" s="14"/>
      <c r="N658" s="14"/>
      <c r="O658" s="14"/>
      <c r="P658" s="14"/>
      <c r="Q658" s="14"/>
      <c r="R658" s="14"/>
      <c r="S658" s="14"/>
      <c r="T658" s="14"/>
      <c r="U658" s="14"/>
    </row>
    <row r="659">
      <c r="D659" s="114"/>
      <c r="E659" s="114"/>
      <c r="J659" s="14"/>
      <c r="K659" s="14"/>
      <c r="L659" s="14"/>
      <c r="M659" s="14"/>
      <c r="N659" s="14"/>
      <c r="O659" s="14"/>
      <c r="P659" s="14"/>
      <c r="Q659" s="14"/>
      <c r="R659" s="14"/>
      <c r="S659" s="14"/>
      <c r="T659" s="14"/>
      <c r="U659" s="14"/>
    </row>
    <row r="660">
      <c r="D660" s="114"/>
      <c r="E660" s="114"/>
      <c r="J660" s="14"/>
      <c r="K660" s="14"/>
      <c r="L660" s="14"/>
      <c r="M660" s="14"/>
      <c r="N660" s="14"/>
      <c r="O660" s="14"/>
      <c r="P660" s="14"/>
      <c r="Q660" s="14"/>
      <c r="R660" s="14"/>
      <c r="S660" s="14"/>
      <c r="T660" s="14"/>
      <c r="U660" s="14"/>
    </row>
    <row r="661">
      <c r="D661" s="114"/>
      <c r="E661" s="114"/>
      <c r="J661" s="14"/>
      <c r="K661" s="14"/>
      <c r="L661" s="14"/>
      <c r="M661" s="14"/>
      <c r="N661" s="14"/>
      <c r="O661" s="14"/>
      <c r="P661" s="14"/>
      <c r="Q661" s="14"/>
      <c r="R661" s="14"/>
      <c r="S661" s="14"/>
      <c r="T661" s="14"/>
      <c r="U661" s="14"/>
    </row>
    <row r="662">
      <c r="D662" s="114"/>
      <c r="E662" s="114"/>
      <c r="J662" s="14"/>
      <c r="K662" s="14"/>
      <c r="L662" s="14"/>
      <c r="M662" s="14"/>
      <c r="N662" s="14"/>
      <c r="O662" s="14"/>
      <c r="P662" s="14"/>
      <c r="Q662" s="14"/>
      <c r="R662" s="14"/>
      <c r="S662" s="14"/>
      <c r="T662" s="14"/>
      <c r="U662" s="14"/>
    </row>
    <row r="663">
      <c r="D663" s="114"/>
      <c r="E663" s="114"/>
      <c r="J663" s="14"/>
      <c r="K663" s="14"/>
      <c r="L663" s="14"/>
      <c r="M663" s="14"/>
      <c r="N663" s="14"/>
      <c r="O663" s="14"/>
      <c r="P663" s="14"/>
      <c r="Q663" s="14"/>
      <c r="R663" s="14"/>
      <c r="S663" s="14"/>
      <c r="T663" s="14"/>
      <c r="U663" s="14"/>
    </row>
    <row r="664">
      <c r="D664" s="114"/>
      <c r="E664" s="114"/>
      <c r="J664" s="14"/>
      <c r="K664" s="14"/>
      <c r="L664" s="14"/>
      <c r="M664" s="14"/>
      <c r="N664" s="14"/>
      <c r="O664" s="14"/>
      <c r="P664" s="14"/>
      <c r="Q664" s="14"/>
      <c r="R664" s="14"/>
      <c r="S664" s="14"/>
      <c r="T664" s="14"/>
      <c r="U664" s="14"/>
    </row>
    <row r="665">
      <c r="D665" s="114"/>
      <c r="E665" s="114"/>
      <c r="J665" s="14"/>
      <c r="K665" s="14"/>
      <c r="L665" s="14"/>
      <c r="M665" s="14"/>
      <c r="N665" s="14"/>
      <c r="O665" s="14"/>
      <c r="P665" s="14"/>
      <c r="Q665" s="14"/>
      <c r="R665" s="14"/>
      <c r="S665" s="14"/>
      <c r="T665" s="14"/>
      <c r="U665" s="14"/>
    </row>
    <row r="666">
      <c r="D666" s="114"/>
      <c r="E666" s="114"/>
      <c r="J666" s="14"/>
      <c r="K666" s="14"/>
      <c r="L666" s="14"/>
      <c r="M666" s="14"/>
      <c r="N666" s="14"/>
      <c r="O666" s="14"/>
      <c r="P666" s="14"/>
      <c r="Q666" s="14"/>
      <c r="R666" s="14"/>
      <c r="S666" s="14"/>
      <c r="T666" s="14"/>
      <c r="U666" s="14"/>
    </row>
    <row r="667">
      <c r="D667" s="114"/>
      <c r="E667" s="114"/>
      <c r="J667" s="14"/>
      <c r="K667" s="14"/>
      <c r="L667" s="14"/>
      <c r="M667" s="14"/>
      <c r="N667" s="14"/>
      <c r="O667" s="14"/>
      <c r="P667" s="14"/>
      <c r="Q667" s="14"/>
      <c r="R667" s="14"/>
      <c r="S667" s="14"/>
      <c r="T667" s="14"/>
      <c r="U667" s="14"/>
    </row>
    <row r="668">
      <c r="D668" s="114"/>
      <c r="E668" s="114"/>
      <c r="J668" s="14"/>
      <c r="K668" s="14"/>
      <c r="L668" s="14"/>
      <c r="M668" s="14"/>
      <c r="N668" s="14"/>
      <c r="O668" s="14"/>
      <c r="P668" s="14"/>
      <c r="Q668" s="14"/>
      <c r="R668" s="14"/>
      <c r="S668" s="14"/>
      <c r="T668" s="14"/>
      <c r="U668" s="14"/>
    </row>
    <row r="669">
      <c r="D669" s="114"/>
      <c r="E669" s="114"/>
      <c r="J669" s="14"/>
      <c r="K669" s="14"/>
      <c r="L669" s="14"/>
      <c r="M669" s="14"/>
      <c r="N669" s="14"/>
      <c r="O669" s="14"/>
      <c r="P669" s="14"/>
      <c r="Q669" s="14"/>
      <c r="R669" s="14"/>
      <c r="S669" s="14"/>
      <c r="T669" s="14"/>
      <c r="U669" s="14"/>
    </row>
    <row r="670">
      <c r="D670" s="114"/>
      <c r="E670" s="114"/>
      <c r="J670" s="14"/>
      <c r="K670" s="14"/>
      <c r="L670" s="14"/>
      <c r="M670" s="14"/>
      <c r="N670" s="14"/>
      <c r="O670" s="14"/>
      <c r="P670" s="14"/>
      <c r="Q670" s="14"/>
      <c r="R670" s="14"/>
      <c r="S670" s="14"/>
      <c r="T670" s="14"/>
      <c r="U670" s="14"/>
    </row>
    <row r="671">
      <c r="D671" s="114"/>
      <c r="E671" s="114"/>
      <c r="J671" s="14"/>
      <c r="K671" s="14"/>
      <c r="L671" s="14"/>
      <c r="M671" s="14"/>
      <c r="N671" s="14"/>
      <c r="O671" s="14"/>
      <c r="P671" s="14"/>
      <c r="Q671" s="14"/>
      <c r="R671" s="14"/>
      <c r="S671" s="14"/>
      <c r="T671" s="14"/>
      <c r="U671" s="14"/>
    </row>
    <row r="672">
      <c r="D672" s="114"/>
      <c r="E672" s="114"/>
      <c r="J672" s="14"/>
      <c r="K672" s="14"/>
      <c r="L672" s="14"/>
      <c r="M672" s="14"/>
      <c r="N672" s="14"/>
      <c r="O672" s="14"/>
      <c r="P672" s="14"/>
      <c r="Q672" s="14"/>
      <c r="R672" s="14"/>
      <c r="S672" s="14"/>
      <c r="T672" s="14"/>
      <c r="U672" s="14"/>
    </row>
    <row r="673">
      <c r="D673" s="114"/>
      <c r="E673" s="114"/>
      <c r="J673" s="14"/>
      <c r="K673" s="14"/>
      <c r="L673" s="14"/>
      <c r="M673" s="14"/>
      <c r="N673" s="14"/>
      <c r="O673" s="14"/>
      <c r="P673" s="14"/>
      <c r="Q673" s="14"/>
      <c r="R673" s="14"/>
      <c r="S673" s="14"/>
      <c r="T673" s="14"/>
      <c r="U673" s="14"/>
    </row>
    <row r="674">
      <c r="D674" s="114"/>
      <c r="E674" s="114"/>
      <c r="J674" s="14"/>
      <c r="K674" s="14"/>
      <c r="L674" s="14"/>
      <c r="M674" s="14"/>
      <c r="N674" s="14"/>
      <c r="O674" s="14"/>
      <c r="P674" s="14"/>
      <c r="Q674" s="14"/>
      <c r="R674" s="14"/>
      <c r="S674" s="14"/>
      <c r="T674" s="14"/>
      <c r="U674" s="14"/>
    </row>
    <row r="675">
      <c r="D675" s="114"/>
      <c r="E675" s="114"/>
      <c r="J675" s="14"/>
      <c r="K675" s="14"/>
      <c r="L675" s="14"/>
      <c r="M675" s="14"/>
      <c r="N675" s="14"/>
      <c r="O675" s="14"/>
      <c r="P675" s="14"/>
      <c r="Q675" s="14"/>
      <c r="R675" s="14"/>
      <c r="S675" s="14"/>
      <c r="T675" s="14"/>
      <c r="U675" s="14"/>
    </row>
    <row r="676">
      <c r="D676" s="114"/>
      <c r="E676" s="114"/>
      <c r="J676" s="14"/>
      <c r="K676" s="14"/>
      <c r="L676" s="14"/>
      <c r="M676" s="14"/>
      <c r="N676" s="14"/>
      <c r="O676" s="14"/>
      <c r="P676" s="14"/>
      <c r="Q676" s="14"/>
      <c r="R676" s="14"/>
      <c r="S676" s="14"/>
      <c r="T676" s="14"/>
      <c r="U676" s="14"/>
    </row>
    <row r="677">
      <c r="D677" s="114"/>
      <c r="E677" s="114"/>
      <c r="J677" s="14"/>
      <c r="K677" s="14"/>
      <c r="L677" s="14"/>
      <c r="M677" s="14"/>
      <c r="N677" s="14"/>
      <c r="O677" s="14"/>
      <c r="P677" s="14"/>
      <c r="Q677" s="14"/>
      <c r="R677" s="14"/>
      <c r="S677" s="14"/>
      <c r="T677" s="14"/>
      <c r="U677" s="14"/>
    </row>
    <row r="678">
      <c r="D678" s="114"/>
      <c r="E678" s="114"/>
      <c r="J678" s="14"/>
      <c r="K678" s="14"/>
      <c r="L678" s="14"/>
      <c r="M678" s="14"/>
      <c r="N678" s="14"/>
      <c r="O678" s="14"/>
      <c r="P678" s="14"/>
      <c r="Q678" s="14"/>
      <c r="R678" s="14"/>
      <c r="S678" s="14"/>
      <c r="T678" s="14"/>
      <c r="U678" s="14"/>
    </row>
    <row r="679">
      <c r="D679" s="114"/>
      <c r="E679" s="114"/>
      <c r="J679" s="14"/>
      <c r="K679" s="14"/>
      <c r="L679" s="14"/>
      <c r="M679" s="14"/>
      <c r="N679" s="14"/>
      <c r="O679" s="14"/>
      <c r="P679" s="14"/>
      <c r="Q679" s="14"/>
      <c r="R679" s="14"/>
      <c r="S679" s="14"/>
      <c r="T679" s="14"/>
      <c r="U679" s="14"/>
    </row>
    <row r="680">
      <c r="D680" s="114"/>
      <c r="E680" s="114"/>
      <c r="J680" s="14"/>
      <c r="K680" s="14"/>
      <c r="L680" s="14"/>
      <c r="M680" s="14"/>
      <c r="N680" s="14"/>
      <c r="O680" s="14"/>
      <c r="P680" s="14"/>
      <c r="Q680" s="14"/>
      <c r="R680" s="14"/>
      <c r="S680" s="14"/>
      <c r="T680" s="14"/>
      <c r="U680" s="14"/>
    </row>
    <row r="681">
      <c r="D681" s="114"/>
      <c r="E681" s="114"/>
      <c r="J681" s="14"/>
      <c r="K681" s="14"/>
      <c r="L681" s="14"/>
      <c r="M681" s="14"/>
      <c r="N681" s="14"/>
      <c r="O681" s="14"/>
      <c r="P681" s="14"/>
      <c r="Q681" s="14"/>
      <c r="R681" s="14"/>
      <c r="S681" s="14"/>
      <c r="T681" s="14"/>
      <c r="U681" s="14"/>
    </row>
    <row r="682">
      <c r="D682" s="114"/>
      <c r="E682" s="114"/>
      <c r="J682" s="14"/>
      <c r="K682" s="14"/>
      <c r="L682" s="14"/>
      <c r="M682" s="14"/>
      <c r="N682" s="14"/>
      <c r="O682" s="14"/>
      <c r="P682" s="14"/>
      <c r="Q682" s="14"/>
      <c r="R682" s="14"/>
      <c r="S682" s="14"/>
      <c r="T682" s="14"/>
      <c r="U682" s="14"/>
    </row>
    <row r="683">
      <c r="D683" s="114"/>
      <c r="E683" s="114"/>
      <c r="J683" s="14"/>
      <c r="K683" s="14"/>
      <c r="L683" s="14"/>
      <c r="M683" s="14"/>
      <c r="N683" s="14"/>
      <c r="O683" s="14"/>
      <c r="P683" s="14"/>
      <c r="Q683" s="14"/>
      <c r="R683" s="14"/>
      <c r="S683" s="14"/>
      <c r="T683" s="14"/>
      <c r="U683" s="14"/>
    </row>
    <row r="684">
      <c r="D684" s="114"/>
      <c r="E684" s="114"/>
      <c r="J684" s="14"/>
      <c r="K684" s="14"/>
      <c r="L684" s="14"/>
      <c r="M684" s="14"/>
      <c r="N684" s="14"/>
      <c r="O684" s="14"/>
      <c r="P684" s="14"/>
      <c r="Q684" s="14"/>
      <c r="R684" s="14"/>
      <c r="S684" s="14"/>
      <c r="T684" s="14"/>
      <c r="U684" s="14"/>
    </row>
    <row r="685">
      <c r="D685" s="114"/>
      <c r="E685" s="114"/>
      <c r="J685" s="14"/>
      <c r="K685" s="14"/>
      <c r="L685" s="14"/>
      <c r="M685" s="14"/>
      <c r="N685" s="14"/>
      <c r="O685" s="14"/>
      <c r="P685" s="14"/>
      <c r="Q685" s="14"/>
      <c r="R685" s="14"/>
      <c r="S685" s="14"/>
      <c r="T685" s="14"/>
      <c r="U685" s="14"/>
    </row>
    <row r="686">
      <c r="D686" s="114"/>
      <c r="E686" s="114"/>
      <c r="J686" s="14"/>
      <c r="K686" s="14"/>
      <c r="L686" s="14"/>
      <c r="M686" s="14"/>
      <c r="N686" s="14"/>
      <c r="O686" s="14"/>
      <c r="P686" s="14"/>
      <c r="Q686" s="14"/>
      <c r="R686" s="14"/>
      <c r="S686" s="14"/>
      <c r="T686" s="14"/>
      <c r="U686" s="14"/>
    </row>
    <row r="687">
      <c r="D687" s="114"/>
      <c r="E687" s="114"/>
      <c r="J687" s="14"/>
      <c r="K687" s="14"/>
      <c r="L687" s="14"/>
      <c r="M687" s="14"/>
      <c r="N687" s="14"/>
      <c r="O687" s="14"/>
      <c r="P687" s="14"/>
      <c r="Q687" s="14"/>
      <c r="R687" s="14"/>
      <c r="S687" s="14"/>
      <c r="T687" s="14"/>
      <c r="U687" s="14"/>
    </row>
    <row r="688">
      <c r="D688" s="114"/>
      <c r="E688" s="114"/>
      <c r="J688" s="14"/>
      <c r="K688" s="14"/>
      <c r="L688" s="14"/>
      <c r="M688" s="14"/>
      <c r="N688" s="14"/>
      <c r="O688" s="14"/>
      <c r="P688" s="14"/>
      <c r="Q688" s="14"/>
      <c r="R688" s="14"/>
      <c r="S688" s="14"/>
      <c r="T688" s="14"/>
      <c r="U688" s="14"/>
    </row>
    <row r="689">
      <c r="D689" s="114"/>
      <c r="E689" s="114"/>
      <c r="J689" s="14"/>
      <c r="K689" s="14"/>
      <c r="L689" s="14"/>
      <c r="M689" s="14"/>
      <c r="N689" s="14"/>
      <c r="O689" s="14"/>
      <c r="P689" s="14"/>
      <c r="Q689" s="14"/>
      <c r="R689" s="14"/>
      <c r="S689" s="14"/>
      <c r="T689" s="14"/>
      <c r="U689" s="14"/>
    </row>
    <row r="690">
      <c r="D690" s="114"/>
      <c r="E690" s="114"/>
      <c r="J690" s="14"/>
      <c r="K690" s="14"/>
      <c r="L690" s="14"/>
      <c r="M690" s="14"/>
      <c r="N690" s="14"/>
      <c r="O690" s="14"/>
      <c r="P690" s="14"/>
      <c r="Q690" s="14"/>
      <c r="R690" s="14"/>
      <c r="S690" s="14"/>
      <c r="T690" s="14"/>
      <c r="U690" s="14"/>
    </row>
    <row r="691">
      <c r="D691" s="114"/>
      <c r="E691" s="114"/>
      <c r="J691" s="14"/>
      <c r="K691" s="14"/>
      <c r="L691" s="14"/>
      <c r="M691" s="14"/>
      <c r="N691" s="14"/>
      <c r="O691" s="14"/>
      <c r="P691" s="14"/>
      <c r="Q691" s="14"/>
      <c r="R691" s="14"/>
      <c r="S691" s="14"/>
      <c r="T691" s="14"/>
      <c r="U691" s="14"/>
    </row>
    <row r="692">
      <c r="D692" s="114"/>
      <c r="E692" s="114"/>
      <c r="J692" s="14"/>
      <c r="K692" s="14"/>
      <c r="L692" s="14"/>
      <c r="M692" s="14"/>
      <c r="N692" s="14"/>
      <c r="O692" s="14"/>
      <c r="P692" s="14"/>
      <c r="Q692" s="14"/>
      <c r="R692" s="14"/>
      <c r="S692" s="14"/>
      <c r="T692" s="14"/>
      <c r="U692" s="14"/>
    </row>
    <row r="693">
      <c r="D693" s="114"/>
      <c r="E693" s="114"/>
      <c r="J693" s="14"/>
      <c r="K693" s="14"/>
      <c r="L693" s="14"/>
      <c r="M693" s="14"/>
      <c r="N693" s="14"/>
      <c r="O693" s="14"/>
      <c r="P693" s="14"/>
      <c r="Q693" s="14"/>
      <c r="R693" s="14"/>
      <c r="S693" s="14"/>
      <c r="T693" s="14"/>
      <c r="U693" s="14"/>
    </row>
    <row r="694">
      <c r="D694" s="114"/>
      <c r="E694" s="114"/>
      <c r="J694" s="14"/>
      <c r="K694" s="14"/>
      <c r="L694" s="14"/>
      <c r="M694" s="14"/>
      <c r="N694" s="14"/>
      <c r="O694" s="14"/>
      <c r="P694" s="14"/>
      <c r="Q694" s="14"/>
      <c r="R694" s="14"/>
      <c r="S694" s="14"/>
      <c r="T694" s="14"/>
      <c r="U694" s="14"/>
    </row>
    <row r="695">
      <c r="D695" s="114"/>
      <c r="E695" s="114"/>
      <c r="J695" s="14"/>
      <c r="K695" s="14"/>
      <c r="L695" s="14"/>
      <c r="M695" s="14"/>
      <c r="N695" s="14"/>
      <c r="O695" s="14"/>
      <c r="P695" s="14"/>
      <c r="Q695" s="14"/>
      <c r="R695" s="14"/>
      <c r="S695" s="14"/>
      <c r="T695" s="14"/>
      <c r="U695" s="14"/>
    </row>
    <row r="696">
      <c r="D696" s="114"/>
      <c r="E696" s="114"/>
      <c r="J696" s="14"/>
      <c r="K696" s="14"/>
      <c r="L696" s="14"/>
      <c r="M696" s="14"/>
      <c r="N696" s="14"/>
      <c r="O696" s="14"/>
      <c r="P696" s="14"/>
      <c r="Q696" s="14"/>
      <c r="R696" s="14"/>
      <c r="S696" s="14"/>
      <c r="T696" s="14"/>
      <c r="U696" s="14"/>
    </row>
    <row r="697">
      <c r="D697" s="114"/>
      <c r="E697" s="114"/>
      <c r="J697" s="14"/>
      <c r="K697" s="14"/>
      <c r="L697" s="14"/>
      <c r="M697" s="14"/>
      <c r="N697" s="14"/>
      <c r="O697" s="14"/>
      <c r="P697" s="14"/>
      <c r="Q697" s="14"/>
      <c r="R697" s="14"/>
      <c r="S697" s="14"/>
      <c r="T697" s="14"/>
      <c r="U697" s="14"/>
    </row>
    <row r="698">
      <c r="D698" s="114"/>
      <c r="E698" s="114"/>
      <c r="J698" s="14"/>
      <c r="K698" s="14"/>
      <c r="L698" s="14"/>
      <c r="M698" s="14"/>
      <c r="N698" s="14"/>
      <c r="O698" s="14"/>
      <c r="P698" s="14"/>
      <c r="Q698" s="14"/>
      <c r="R698" s="14"/>
      <c r="S698" s="14"/>
      <c r="T698" s="14"/>
      <c r="U698" s="14"/>
    </row>
    <row r="699">
      <c r="D699" s="114"/>
      <c r="E699" s="114"/>
      <c r="J699" s="14"/>
      <c r="K699" s="14"/>
      <c r="L699" s="14"/>
      <c r="M699" s="14"/>
      <c r="N699" s="14"/>
      <c r="O699" s="14"/>
      <c r="P699" s="14"/>
      <c r="Q699" s="14"/>
      <c r="R699" s="14"/>
      <c r="S699" s="14"/>
      <c r="T699" s="14"/>
      <c r="U699" s="14"/>
    </row>
    <row r="700">
      <c r="D700" s="114"/>
      <c r="E700" s="114"/>
      <c r="J700" s="14"/>
      <c r="K700" s="14"/>
      <c r="L700" s="14"/>
      <c r="M700" s="14"/>
      <c r="N700" s="14"/>
      <c r="O700" s="14"/>
      <c r="P700" s="14"/>
      <c r="Q700" s="14"/>
      <c r="R700" s="14"/>
      <c r="S700" s="14"/>
      <c r="T700" s="14"/>
      <c r="U700" s="14"/>
    </row>
    <row r="701">
      <c r="D701" s="114"/>
      <c r="E701" s="114"/>
      <c r="J701" s="14"/>
      <c r="K701" s="14"/>
      <c r="L701" s="14"/>
      <c r="M701" s="14"/>
      <c r="N701" s="14"/>
      <c r="O701" s="14"/>
      <c r="P701" s="14"/>
      <c r="Q701" s="14"/>
      <c r="R701" s="14"/>
      <c r="S701" s="14"/>
      <c r="T701" s="14"/>
      <c r="U701" s="14"/>
    </row>
    <row r="702">
      <c r="D702" s="114"/>
      <c r="E702" s="114"/>
      <c r="J702" s="14"/>
      <c r="K702" s="14"/>
      <c r="L702" s="14"/>
      <c r="M702" s="14"/>
      <c r="N702" s="14"/>
      <c r="O702" s="14"/>
      <c r="P702" s="14"/>
      <c r="Q702" s="14"/>
      <c r="R702" s="14"/>
      <c r="S702" s="14"/>
      <c r="T702" s="14"/>
      <c r="U702" s="14"/>
    </row>
    <row r="703">
      <c r="D703" s="114"/>
      <c r="E703" s="114"/>
      <c r="J703" s="14"/>
      <c r="K703" s="14"/>
      <c r="L703" s="14"/>
      <c r="M703" s="14"/>
      <c r="N703" s="14"/>
      <c r="O703" s="14"/>
      <c r="P703" s="14"/>
      <c r="Q703" s="14"/>
      <c r="R703" s="14"/>
      <c r="S703" s="14"/>
      <c r="T703" s="14"/>
      <c r="U703" s="14"/>
    </row>
    <row r="704">
      <c r="D704" s="114"/>
      <c r="E704" s="114"/>
      <c r="J704" s="14"/>
      <c r="K704" s="14"/>
      <c r="L704" s="14"/>
      <c r="M704" s="14"/>
      <c r="N704" s="14"/>
      <c r="O704" s="14"/>
      <c r="P704" s="14"/>
      <c r="Q704" s="14"/>
      <c r="R704" s="14"/>
      <c r="S704" s="14"/>
      <c r="T704" s="14"/>
      <c r="U704" s="14"/>
    </row>
    <row r="705">
      <c r="D705" s="114"/>
      <c r="E705" s="114"/>
      <c r="J705" s="14"/>
      <c r="K705" s="14"/>
      <c r="L705" s="14"/>
      <c r="M705" s="14"/>
      <c r="N705" s="14"/>
      <c r="O705" s="14"/>
      <c r="P705" s="14"/>
      <c r="Q705" s="14"/>
      <c r="R705" s="14"/>
      <c r="S705" s="14"/>
      <c r="T705" s="14"/>
      <c r="U705" s="14"/>
    </row>
    <row r="706">
      <c r="D706" s="114"/>
      <c r="E706" s="114"/>
      <c r="J706" s="14"/>
      <c r="K706" s="14"/>
      <c r="L706" s="14"/>
      <c r="M706" s="14"/>
      <c r="N706" s="14"/>
      <c r="O706" s="14"/>
      <c r="P706" s="14"/>
      <c r="Q706" s="14"/>
      <c r="R706" s="14"/>
      <c r="S706" s="14"/>
      <c r="T706" s="14"/>
      <c r="U706" s="14"/>
    </row>
    <row r="707">
      <c r="D707" s="114"/>
      <c r="E707" s="114"/>
      <c r="J707" s="14"/>
      <c r="K707" s="14"/>
      <c r="L707" s="14"/>
      <c r="M707" s="14"/>
      <c r="N707" s="14"/>
      <c r="O707" s="14"/>
      <c r="P707" s="14"/>
      <c r="Q707" s="14"/>
      <c r="R707" s="14"/>
      <c r="S707" s="14"/>
      <c r="T707" s="14"/>
      <c r="U707" s="14"/>
    </row>
    <row r="708">
      <c r="D708" s="114"/>
      <c r="E708" s="114"/>
      <c r="J708" s="14"/>
      <c r="K708" s="14"/>
      <c r="L708" s="14"/>
      <c r="M708" s="14"/>
      <c r="N708" s="14"/>
      <c r="O708" s="14"/>
      <c r="P708" s="14"/>
      <c r="Q708" s="14"/>
      <c r="R708" s="14"/>
      <c r="S708" s="14"/>
      <c r="T708" s="14"/>
      <c r="U708" s="14"/>
    </row>
    <row r="709">
      <c r="D709" s="114"/>
      <c r="E709" s="114"/>
      <c r="J709" s="14"/>
      <c r="K709" s="14"/>
      <c r="L709" s="14"/>
      <c r="M709" s="14"/>
      <c r="N709" s="14"/>
      <c r="O709" s="14"/>
      <c r="P709" s="14"/>
      <c r="Q709" s="14"/>
      <c r="R709" s="14"/>
      <c r="S709" s="14"/>
      <c r="T709" s="14"/>
      <c r="U709" s="14"/>
    </row>
    <row r="710">
      <c r="D710" s="114"/>
      <c r="E710" s="114"/>
      <c r="J710" s="14"/>
      <c r="K710" s="14"/>
      <c r="L710" s="14"/>
      <c r="M710" s="14"/>
      <c r="N710" s="14"/>
      <c r="O710" s="14"/>
      <c r="P710" s="14"/>
      <c r="Q710" s="14"/>
      <c r="R710" s="14"/>
      <c r="S710" s="14"/>
      <c r="T710" s="14"/>
      <c r="U710" s="14"/>
    </row>
    <row r="711">
      <c r="D711" s="114"/>
      <c r="E711" s="114"/>
      <c r="J711" s="14"/>
      <c r="K711" s="14"/>
      <c r="L711" s="14"/>
      <c r="M711" s="14"/>
      <c r="N711" s="14"/>
      <c r="O711" s="14"/>
      <c r="P711" s="14"/>
      <c r="Q711" s="14"/>
      <c r="R711" s="14"/>
      <c r="S711" s="14"/>
      <c r="T711" s="14"/>
      <c r="U711" s="14"/>
    </row>
    <row r="712">
      <c r="D712" s="114"/>
      <c r="E712" s="114"/>
      <c r="J712" s="14"/>
      <c r="K712" s="14"/>
      <c r="L712" s="14"/>
      <c r="M712" s="14"/>
      <c r="N712" s="14"/>
      <c r="O712" s="14"/>
      <c r="P712" s="14"/>
      <c r="Q712" s="14"/>
      <c r="R712" s="14"/>
      <c r="S712" s="14"/>
      <c r="T712" s="14"/>
      <c r="U712" s="14"/>
    </row>
    <row r="713">
      <c r="D713" s="114"/>
      <c r="E713" s="114"/>
      <c r="J713" s="14"/>
      <c r="K713" s="14"/>
      <c r="L713" s="14"/>
      <c r="M713" s="14"/>
      <c r="N713" s="14"/>
      <c r="O713" s="14"/>
      <c r="P713" s="14"/>
      <c r="Q713" s="14"/>
      <c r="R713" s="14"/>
      <c r="S713" s="14"/>
      <c r="T713" s="14"/>
      <c r="U713" s="14"/>
    </row>
    <row r="714">
      <c r="D714" s="114"/>
      <c r="E714" s="114"/>
      <c r="J714" s="14"/>
      <c r="K714" s="14"/>
      <c r="L714" s="14"/>
      <c r="M714" s="14"/>
      <c r="N714" s="14"/>
      <c r="O714" s="14"/>
      <c r="P714" s="14"/>
      <c r="Q714" s="14"/>
      <c r="R714" s="14"/>
      <c r="S714" s="14"/>
      <c r="T714" s="14"/>
      <c r="U714" s="14"/>
    </row>
    <row r="715">
      <c r="D715" s="114"/>
      <c r="E715" s="114"/>
      <c r="J715" s="14"/>
      <c r="K715" s="14"/>
      <c r="L715" s="14"/>
      <c r="M715" s="14"/>
      <c r="N715" s="14"/>
      <c r="O715" s="14"/>
      <c r="P715" s="14"/>
      <c r="Q715" s="14"/>
      <c r="R715" s="14"/>
      <c r="S715" s="14"/>
      <c r="T715" s="14"/>
      <c r="U715" s="14"/>
    </row>
    <row r="716">
      <c r="D716" s="114"/>
      <c r="E716" s="114"/>
      <c r="J716" s="14"/>
      <c r="K716" s="14"/>
      <c r="L716" s="14"/>
      <c r="M716" s="14"/>
      <c r="N716" s="14"/>
      <c r="O716" s="14"/>
      <c r="P716" s="14"/>
      <c r="Q716" s="14"/>
      <c r="R716" s="14"/>
      <c r="S716" s="14"/>
      <c r="T716" s="14"/>
      <c r="U716" s="14"/>
    </row>
    <row r="717">
      <c r="D717" s="114"/>
      <c r="E717" s="114"/>
      <c r="J717" s="14"/>
      <c r="K717" s="14"/>
      <c r="L717" s="14"/>
      <c r="M717" s="14"/>
      <c r="N717" s="14"/>
      <c r="O717" s="14"/>
      <c r="P717" s="14"/>
      <c r="Q717" s="14"/>
      <c r="R717" s="14"/>
      <c r="S717" s="14"/>
      <c r="T717" s="14"/>
      <c r="U717" s="14"/>
    </row>
    <row r="718">
      <c r="D718" s="114"/>
      <c r="E718" s="114"/>
      <c r="J718" s="14"/>
      <c r="K718" s="14"/>
      <c r="L718" s="14"/>
      <c r="M718" s="14"/>
      <c r="N718" s="14"/>
      <c r="O718" s="14"/>
      <c r="P718" s="14"/>
      <c r="Q718" s="14"/>
      <c r="R718" s="14"/>
      <c r="S718" s="14"/>
      <c r="T718" s="14"/>
      <c r="U718" s="14"/>
    </row>
    <row r="719">
      <c r="D719" s="114"/>
      <c r="E719" s="114"/>
      <c r="J719" s="14"/>
      <c r="K719" s="14"/>
      <c r="L719" s="14"/>
      <c r="M719" s="14"/>
      <c r="N719" s="14"/>
      <c r="O719" s="14"/>
      <c r="P719" s="14"/>
      <c r="Q719" s="14"/>
      <c r="R719" s="14"/>
      <c r="S719" s="14"/>
      <c r="T719" s="14"/>
      <c r="U719" s="14"/>
    </row>
    <row r="720">
      <c r="D720" s="114"/>
      <c r="E720" s="114"/>
      <c r="J720" s="14"/>
      <c r="K720" s="14"/>
      <c r="L720" s="14"/>
      <c r="M720" s="14"/>
      <c r="N720" s="14"/>
      <c r="O720" s="14"/>
      <c r="P720" s="14"/>
      <c r="Q720" s="14"/>
      <c r="R720" s="14"/>
      <c r="S720" s="14"/>
      <c r="T720" s="14"/>
      <c r="U720" s="14"/>
    </row>
    <row r="721">
      <c r="D721" s="114"/>
      <c r="E721" s="114"/>
      <c r="J721" s="14"/>
      <c r="K721" s="14"/>
      <c r="L721" s="14"/>
      <c r="M721" s="14"/>
      <c r="N721" s="14"/>
      <c r="O721" s="14"/>
      <c r="P721" s="14"/>
      <c r="Q721" s="14"/>
      <c r="R721" s="14"/>
      <c r="S721" s="14"/>
      <c r="T721" s="14"/>
      <c r="U721" s="14"/>
    </row>
    <row r="722">
      <c r="D722" s="114"/>
      <c r="E722" s="114"/>
      <c r="J722" s="14"/>
      <c r="K722" s="14"/>
      <c r="L722" s="14"/>
      <c r="M722" s="14"/>
      <c r="N722" s="14"/>
      <c r="O722" s="14"/>
      <c r="P722" s="14"/>
      <c r="Q722" s="14"/>
      <c r="R722" s="14"/>
      <c r="S722" s="14"/>
      <c r="T722" s="14"/>
      <c r="U722" s="14"/>
    </row>
    <row r="723">
      <c r="D723" s="114"/>
      <c r="E723" s="114"/>
      <c r="J723" s="14"/>
      <c r="K723" s="14"/>
      <c r="L723" s="14"/>
      <c r="M723" s="14"/>
      <c r="N723" s="14"/>
      <c r="O723" s="14"/>
      <c r="P723" s="14"/>
      <c r="Q723" s="14"/>
      <c r="R723" s="14"/>
      <c r="S723" s="14"/>
      <c r="T723" s="14"/>
      <c r="U723" s="14"/>
    </row>
    <row r="724">
      <c r="D724" s="114"/>
      <c r="E724" s="114"/>
      <c r="J724" s="14"/>
      <c r="K724" s="14"/>
      <c r="L724" s="14"/>
      <c r="M724" s="14"/>
      <c r="N724" s="14"/>
      <c r="O724" s="14"/>
      <c r="P724" s="14"/>
      <c r="Q724" s="14"/>
      <c r="R724" s="14"/>
      <c r="S724" s="14"/>
      <c r="T724" s="14"/>
      <c r="U724" s="14"/>
    </row>
    <row r="725">
      <c r="D725" s="114"/>
      <c r="E725" s="114"/>
      <c r="J725" s="14"/>
      <c r="K725" s="14"/>
      <c r="L725" s="14"/>
      <c r="M725" s="14"/>
      <c r="N725" s="14"/>
      <c r="O725" s="14"/>
      <c r="P725" s="14"/>
      <c r="Q725" s="14"/>
      <c r="R725" s="14"/>
      <c r="S725" s="14"/>
      <c r="T725" s="14"/>
      <c r="U725" s="14"/>
    </row>
    <row r="726">
      <c r="D726" s="114"/>
      <c r="E726" s="114"/>
      <c r="J726" s="14"/>
      <c r="K726" s="14"/>
      <c r="L726" s="14"/>
      <c r="M726" s="14"/>
      <c r="N726" s="14"/>
      <c r="O726" s="14"/>
      <c r="P726" s="14"/>
      <c r="Q726" s="14"/>
      <c r="R726" s="14"/>
      <c r="S726" s="14"/>
      <c r="T726" s="14"/>
      <c r="U726" s="14"/>
    </row>
    <row r="727">
      <c r="D727" s="114"/>
      <c r="E727" s="114"/>
      <c r="J727" s="14"/>
      <c r="K727" s="14"/>
      <c r="L727" s="14"/>
      <c r="M727" s="14"/>
      <c r="N727" s="14"/>
      <c r="O727" s="14"/>
      <c r="P727" s="14"/>
      <c r="Q727" s="14"/>
      <c r="R727" s="14"/>
      <c r="S727" s="14"/>
      <c r="T727" s="14"/>
      <c r="U727" s="14"/>
    </row>
    <row r="728">
      <c r="D728" s="114"/>
      <c r="E728" s="114"/>
      <c r="J728" s="14"/>
      <c r="K728" s="14"/>
      <c r="L728" s="14"/>
      <c r="M728" s="14"/>
      <c r="N728" s="14"/>
      <c r="O728" s="14"/>
      <c r="P728" s="14"/>
      <c r="Q728" s="14"/>
      <c r="R728" s="14"/>
      <c r="S728" s="14"/>
      <c r="T728" s="14"/>
      <c r="U728" s="14"/>
    </row>
    <row r="729">
      <c r="D729" s="114"/>
      <c r="E729" s="114"/>
      <c r="J729" s="14"/>
      <c r="K729" s="14"/>
      <c r="L729" s="14"/>
      <c r="M729" s="14"/>
      <c r="N729" s="14"/>
      <c r="O729" s="14"/>
      <c r="P729" s="14"/>
      <c r="Q729" s="14"/>
      <c r="R729" s="14"/>
      <c r="S729" s="14"/>
      <c r="T729" s="14"/>
      <c r="U729" s="14"/>
    </row>
    <row r="730">
      <c r="D730" s="114"/>
      <c r="E730" s="114"/>
      <c r="J730" s="14"/>
      <c r="K730" s="14"/>
      <c r="L730" s="14"/>
      <c r="M730" s="14"/>
      <c r="N730" s="14"/>
      <c r="O730" s="14"/>
      <c r="P730" s="14"/>
      <c r="Q730" s="14"/>
      <c r="R730" s="14"/>
      <c r="S730" s="14"/>
      <c r="T730" s="14"/>
      <c r="U730" s="14"/>
    </row>
    <row r="731">
      <c r="D731" s="114"/>
      <c r="E731" s="114"/>
      <c r="J731" s="14"/>
      <c r="K731" s="14"/>
      <c r="L731" s="14"/>
      <c r="M731" s="14"/>
      <c r="N731" s="14"/>
      <c r="O731" s="14"/>
      <c r="P731" s="14"/>
      <c r="Q731" s="14"/>
      <c r="R731" s="14"/>
      <c r="S731" s="14"/>
      <c r="T731" s="14"/>
      <c r="U731" s="14"/>
    </row>
    <row r="732">
      <c r="D732" s="114"/>
      <c r="E732" s="114"/>
      <c r="J732" s="14"/>
      <c r="K732" s="14"/>
      <c r="L732" s="14"/>
      <c r="M732" s="14"/>
      <c r="N732" s="14"/>
      <c r="O732" s="14"/>
      <c r="P732" s="14"/>
      <c r="Q732" s="14"/>
      <c r="R732" s="14"/>
      <c r="S732" s="14"/>
      <c r="T732" s="14"/>
      <c r="U732" s="14"/>
    </row>
    <row r="733">
      <c r="D733" s="114"/>
      <c r="E733" s="114"/>
      <c r="J733" s="14"/>
      <c r="K733" s="14"/>
      <c r="L733" s="14"/>
      <c r="M733" s="14"/>
      <c r="N733" s="14"/>
      <c r="O733" s="14"/>
      <c r="P733" s="14"/>
      <c r="Q733" s="14"/>
      <c r="R733" s="14"/>
      <c r="S733" s="14"/>
      <c r="T733" s="14"/>
      <c r="U733" s="14"/>
    </row>
    <row r="734">
      <c r="D734" s="114"/>
      <c r="E734" s="114"/>
      <c r="J734" s="14"/>
      <c r="K734" s="14"/>
      <c r="L734" s="14"/>
      <c r="M734" s="14"/>
      <c r="N734" s="14"/>
      <c r="O734" s="14"/>
      <c r="P734" s="14"/>
      <c r="Q734" s="14"/>
      <c r="R734" s="14"/>
      <c r="S734" s="14"/>
      <c r="T734" s="14"/>
      <c r="U734" s="14"/>
    </row>
    <row r="735">
      <c r="D735" s="114"/>
      <c r="E735" s="114"/>
      <c r="J735" s="14"/>
      <c r="K735" s="14"/>
      <c r="L735" s="14"/>
      <c r="M735" s="14"/>
      <c r="N735" s="14"/>
      <c r="O735" s="14"/>
      <c r="P735" s="14"/>
      <c r="Q735" s="14"/>
      <c r="R735" s="14"/>
      <c r="S735" s="14"/>
      <c r="T735" s="14"/>
      <c r="U735" s="14"/>
    </row>
    <row r="736">
      <c r="D736" s="114"/>
      <c r="E736" s="114"/>
      <c r="J736" s="14"/>
      <c r="K736" s="14"/>
      <c r="L736" s="14"/>
      <c r="M736" s="14"/>
      <c r="N736" s="14"/>
      <c r="O736" s="14"/>
      <c r="P736" s="14"/>
      <c r="Q736" s="14"/>
      <c r="R736" s="14"/>
      <c r="S736" s="14"/>
      <c r="T736" s="14"/>
      <c r="U736" s="14"/>
    </row>
    <row r="737">
      <c r="D737" s="114"/>
      <c r="E737" s="114"/>
      <c r="J737" s="14"/>
      <c r="K737" s="14"/>
      <c r="L737" s="14"/>
      <c r="M737" s="14"/>
      <c r="N737" s="14"/>
      <c r="O737" s="14"/>
      <c r="P737" s="14"/>
      <c r="Q737" s="14"/>
      <c r="R737" s="14"/>
      <c r="S737" s="14"/>
      <c r="T737" s="14"/>
      <c r="U737" s="14"/>
    </row>
    <row r="738">
      <c r="D738" s="114"/>
      <c r="E738" s="114"/>
      <c r="J738" s="14"/>
      <c r="K738" s="14"/>
      <c r="L738" s="14"/>
      <c r="M738" s="14"/>
      <c r="N738" s="14"/>
      <c r="O738" s="14"/>
      <c r="P738" s="14"/>
      <c r="Q738" s="14"/>
      <c r="R738" s="14"/>
      <c r="S738" s="14"/>
      <c r="T738" s="14"/>
      <c r="U738" s="14"/>
    </row>
    <row r="739">
      <c r="D739" s="114"/>
      <c r="E739" s="114"/>
      <c r="J739" s="14"/>
      <c r="K739" s="14"/>
      <c r="L739" s="14"/>
      <c r="M739" s="14"/>
      <c r="N739" s="14"/>
      <c r="O739" s="14"/>
      <c r="P739" s="14"/>
      <c r="Q739" s="14"/>
      <c r="R739" s="14"/>
      <c r="S739" s="14"/>
      <c r="T739" s="14"/>
      <c r="U739" s="14"/>
    </row>
    <row r="740">
      <c r="D740" s="114"/>
      <c r="E740" s="114"/>
      <c r="J740" s="14"/>
      <c r="K740" s="14"/>
      <c r="L740" s="14"/>
      <c r="M740" s="14"/>
      <c r="N740" s="14"/>
      <c r="O740" s="14"/>
      <c r="P740" s="14"/>
      <c r="Q740" s="14"/>
      <c r="R740" s="14"/>
      <c r="S740" s="14"/>
      <c r="T740" s="14"/>
      <c r="U740" s="14"/>
    </row>
    <row r="741">
      <c r="D741" s="114"/>
      <c r="E741" s="114"/>
      <c r="J741" s="14"/>
      <c r="K741" s="14"/>
      <c r="L741" s="14"/>
      <c r="M741" s="14"/>
      <c r="N741" s="14"/>
      <c r="O741" s="14"/>
      <c r="P741" s="14"/>
      <c r="Q741" s="14"/>
      <c r="R741" s="14"/>
      <c r="S741" s="14"/>
      <c r="T741" s="14"/>
      <c r="U741" s="14"/>
    </row>
    <row r="742">
      <c r="D742" s="114"/>
      <c r="E742" s="114"/>
      <c r="J742" s="14"/>
      <c r="K742" s="14"/>
      <c r="L742" s="14"/>
      <c r="M742" s="14"/>
      <c r="N742" s="14"/>
      <c r="O742" s="14"/>
      <c r="P742" s="14"/>
      <c r="Q742" s="14"/>
      <c r="R742" s="14"/>
      <c r="S742" s="14"/>
      <c r="T742" s="14"/>
      <c r="U742" s="14"/>
    </row>
    <row r="743">
      <c r="D743" s="114"/>
      <c r="E743" s="114"/>
      <c r="J743" s="14"/>
      <c r="K743" s="14"/>
      <c r="L743" s="14"/>
      <c r="M743" s="14"/>
      <c r="N743" s="14"/>
      <c r="O743" s="14"/>
      <c r="P743" s="14"/>
      <c r="Q743" s="14"/>
      <c r="R743" s="14"/>
      <c r="S743" s="14"/>
      <c r="T743" s="14"/>
      <c r="U743" s="14"/>
    </row>
    <row r="744">
      <c r="D744" s="114"/>
      <c r="E744" s="114"/>
      <c r="J744" s="14"/>
      <c r="K744" s="14"/>
      <c r="L744" s="14"/>
      <c r="M744" s="14"/>
      <c r="N744" s="14"/>
      <c r="O744" s="14"/>
      <c r="P744" s="14"/>
      <c r="Q744" s="14"/>
      <c r="R744" s="14"/>
      <c r="S744" s="14"/>
      <c r="T744" s="14"/>
      <c r="U744" s="14"/>
    </row>
    <row r="745">
      <c r="D745" s="114"/>
      <c r="E745" s="114"/>
      <c r="J745" s="14"/>
      <c r="K745" s="14"/>
      <c r="L745" s="14"/>
      <c r="M745" s="14"/>
      <c r="N745" s="14"/>
      <c r="O745" s="14"/>
      <c r="P745" s="14"/>
      <c r="Q745" s="14"/>
      <c r="R745" s="14"/>
      <c r="S745" s="14"/>
      <c r="T745" s="14"/>
      <c r="U745" s="14"/>
    </row>
    <row r="746">
      <c r="D746" s="114"/>
      <c r="E746" s="114"/>
      <c r="J746" s="14"/>
      <c r="K746" s="14"/>
      <c r="L746" s="14"/>
      <c r="M746" s="14"/>
      <c r="N746" s="14"/>
      <c r="O746" s="14"/>
      <c r="P746" s="14"/>
      <c r="Q746" s="14"/>
      <c r="R746" s="14"/>
      <c r="S746" s="14"/>
      <c r="T746" s="14"/>
      <c r="U746" s="14"/>
    </row>
    <row r="747">
      <c r="D747" s="114"/>
      <c r="E747" s="114"/>
      <c r="J747" s="14"/>
      <c r="K747" s="14"/>
      <c r="L747" s="14"/>
      <c r="M747" s="14"/>
      <c r="N747" s="14"/>
      <c r="O747" s="14"/>
      <c r="P747" s="14"/>
      <c r="Q747" s="14"/>
      <c r="R747" s="14"/>
      <c r="S747" s="14"/>
      <c r="T747" s="14"/>
      <c r="U747" s="14"/>
    </row>
    <row r="748">
      <c r="D748" s="114"/>
      <c r="E748" s="114"/>
      <c r="J748" s="14"/>
      <c r="K748" s="14"/>
      <c r="L748" s="14"/>
      <c r="M748" s="14"/>
      <c r="N748" s="14"/>
      <c r="O748" s="14"/>
      <c r="P748" s="14"/>
      <c r="Q748" s="14"/>
      <c r="R748" s="14"/>
      <c r="S748" s="14"/>
      <c r="T748" s="14"/>
      <c r="U748" s="14"/>
    </row>
    <row r="749">
      <c r="D749" s="114"/>
      <c r="E749" s="114"/>
      <c r="J749" s="14"/>
      <c r="K749" s="14"/>
      <c r="L749" s="14"/>
      <c r="M749" s="14"/>
      <c r="N749" s="14"/>
      <c r="O749" s="14"/>
      <c r="P749" s="14"/>
      <c r="Q749" s="14"/>
      <c r="R749" s="14"/>
      <c r="S749" s="14"/>
      <c r="T749" s="14"/>
      <c r="U749" s="14"/>
    </row>
    <row r="750">
      <c r="D750" s="114"/>
      <c r="E750" s="114"/>
      <c r="J750" s="14"/>
      <c r="K750" s="14"/>
      <c r="L750" s="14"/>
      <c r="M750" s="14"/>
      <c r="N750" s="14"/>
      <c r="O750" s="14"/>
      <c r="P750" s="14"/>
      <c r="Q750" s="14"/>
      <c r="R750" s="14"/>
      <c r="S750" s="14"/>
      <c r="T750" s="14"/>
      <c r="U750" s="14"/>
    </row>
    <row r="751">
      <c r="D751" s="114"/>
      <c r="E751" s="114"/>
      <c r="J751" s="14"/>
      <c r="K751" s="14"/>
      <c r="L751" s="14"/>
      <c r="M751" s="14"/>
      <c r="N751" s="14"/>
      <c r="O751" s="14"/>
      <c r="P751" s="14"/>
      <c r="Q751" s="14"/>
      <c r="R751" s="14"/>
      <c r="S751" s="14"/>
      <c r="T751" s="14"/>
      <c r="U751" s="14"/>
    </row>
    <row r="752">
      <c r="D752" s="114"/>
      <c r="E752" s="114"/>
      <c r="J752" s="14"/>
      <c r="K752" s="14"/>
      <c r="L752" s="14"/>
      <c r="M752" s="14"/>
      <c r="N752" s="14"/>
      <c r="O752" s="14"/>
      <c r="P752" s="14"/>
      <c r="Q752" s="14"/>
      <c r="R752" s="14"/>
      <c r="S752" s="14"/>
      <c r="T752" s="14"/>
      <c r="U752" s="14"/>
    </row>
    <row r="753">
      <c r="D753" s="114"/>
      <c r="E753" s="114"/>
      <c r="J753" s="14"/>
      <c r="K753" s="14"/>
      <c r="L753" s="14"/>
      <c r="M753" s="14"/>
      <c r="N753" s="14"/>
      <c r="O753" s="14"/>
      <c r="P753" s="14"/>
      <c r="Q753" s="14"/>
      <c r="R753" s="14"/>
      <c r="S753" s="14"/>
      <c r="T753" s="14"/>
      <c r="U753" s="14"/>
    </row>
    <row r="754">
      <c r="D754" s="114"/>
      <c r="E754" s="114"/>
      <c r="J754" s="14"/>
      <c r="K754" s="14"/>
      <c r="L754" s="14"/>
      <c r="M754" s="14"/>
      <c r="N754" s="14"/>
      <c r="O754" s="14"/>
      <c r="P754" s="14"/>
      <c r="Q754" s="14"/>
      <c r="R754" s="14"/>
      <c r="S754" s="14"/>
      <c r="T754" s="14"/>
      <c r="U754" s="14"/>
    </row>
    <row r="755">
      <c r="D755" s="114"/>
      <c r="E755" s="114"/>
      <c r="J755" s="14"/>
      <c r="K755" s="14"/>
      <c r="L755" s="14"/>
      <c r="M755" s="14"/>
      <c r="N755" s="14"/>
      <c r="O755" s="14"/>
      <c r="P755" s="14"/>
      <c r="Q755" s="14"/>
      <c r="R755" s="14"/>
      <c r="S755" s="14"/>
      <c r="T755" s="14"/>
      <c r="U755" s="14"/>
    </row>
    <row r="756">
      <c r="D756" s="114"/>
      <c r="E756" s="114"/>
      <c r="J756" s="14"/>
      <c r="K756" s="14"/>
      <c r="L756" s="14"/>
      <c r="M756" s="14"/>
      <c r="N756" s="14"/>
      <c r="O756" s="14"/>
      <c r="P756" s="14"/>
      <c r="Q756" s="14"/>
      <c r="R756" s="14"/>
      <c r="S756" s="14"/>
      <c r="T756" s="14"/>
      <c r="U756" s="14"/>
    </row>
    <row r="757">
      <c r="D757" s="114"/>
      <c r="E757" s="114"/>
      <c r="J757" s="14"/>
      <c r="K757" s="14"/>
      <c r="L757" s="14"/>
      <c r="M757" s="14"/>
      <c r="N757" s="14"/>
      <c r="O757" s="14"/>
      <c r="P757" s="14"/>
      <c r="Q757" s="14"/>
      <c r="R757" s="14"/>
      <c r="S757" s="14"/>
      <c r="T757" s="14"/>
      <c r="U757" s="14"/>
    </row>
    <row r="758">
      <c r="D758" s="114"/>
      <c r="E758" s="114"/>
      <c r="J758" s="14"/>
      <c r="K758" s="14"/>
      <c r="L758" s="14"/>
      <c r="M758" s="14"/>
      <c r="N758" s="14"/>
      <c r="O758" s="14"/>
      <c r="P758" s="14"/>
      <c r="Q758" s="14"/>
      <c r="R758" s="14"/>
      <c r="S758" s="14"/>
      <c r="T758" s="14"/>
      <c r="U758" s="14"/>
    </row>
    <row r="759">
      <c r="D759" s="114"/>
      <c r="E759" s="114"/>
      <c r="J759" s="14"/>
      <c r="K759" s="14"/>
      <c r="L759" s="14"/>
      <c r="M759" s="14"/>
      <c r="N759" s="14"/>
      <c r="O759" s="14"/>
      <c r="P759" s="14"/>
      <c r="Q759" s="14"/>
      <c r="R759" s="14"/>
      <c r="S759" s="14"/>
      <c r="T759" s="14"/>
      <c r="U759" s="14"/>
    </row>
    <row r="760">
      <c r="D760" s="114"/>
      <c r="E760" s="114"/>
      <c r="J760" s="14"/>
      <c r="K760" s="14"/>
      <c r="L760" s="14"/>
      <c r="M760" s="14"/>
      <c r="N760" s="14"/>
      <c r="O760" s="14"/>
      <c r="P760" s="14"/>
      <c r="Q760" s="14"/>
      <c r="R760" s="14"/>
      <c r="S760" s="14"/>
      <c r="T760" s="14"/>
      <c r="U760" s="14"/>
    </row>
    <row r="761">
      <c r="D761" s="114"/>
      <c r="E761" s="114"/>
      <c r="J761" s="14"/>
      <c r="K761" s="14"/>
      <c r="L761" s="14"/>
      <c r="M761" s="14"/>
      <c r="N761" s="14"/>
      <c r="O761" s="14"/>
      <c r="P761" s="14"/>
      <c r="Q761" s="14"/>
      <c r="R761" s="14"/>
      <c r="S761" s="14"/>
      <c r="T761" s="14"/>
      <c r="U761" s="14"/>
    </row>
    <row r="762">
      <c r="D762" s="114"/>
      <c r="E762" s="114"/>
      <c r="J762" s="14"/>
      <c r="K762" s="14"/>
      <c r="L762" s="14"/>
      <c r="M762" s="14"/>
      <c r="N762" s="14"/>
      <c r="O762" s="14"/>
      <c r="P762" s="14"/>
      <c r="Q762" s="14"/>
      <c r="R762" s="14"/>
      <c r="S762" s="14"/>
      <c r="T762" s="14"/>
      <c r="U762" s="14"/>
    </row>
    <row r="763">
      <c r="D763" s="114"/>
      <c r="E763" s="114"/>
      <c r="J763" s="14"/>
      <c r="K763" s="14"/>
      <c r="L763" s="14"/>
      <c r="M763" s="14"/>
      <c r="N763" s="14"/>
      <c r="O763" s="14"/>
      <c r="P763" s="14"/>
      <c r="Q763" s="14"/>
      <c r="R763" s="14"/>
      <c r="S763" s="14"/>
      <c r="T763" s="14"/>
      <c r="U763" s="14"/>
    </row>
    <row r="764">
      <c r="D764" s="114"/>
      <c r="E764" s="114"/>
      <c r="J764" s="14"/>
      <c r="K764" s="14"/>
      <c r="L764" s="14"/>
      <c r="M764" s="14"/>
      <c r="N764" s="14"/>
      <c r="O764" s="14"/>
      <c r="P764" s="14"/>
      <c r="Q764" s="14"/>
      <c r="R764" s="14"/>
      <c r="S764" s="14"/>
      <c r="T764" s="14"/>
      <c r="U764" s="14"/>
    </row>
    <row r="765">
      <c r="D765" s="114"/>
      <c r="E765" s="114"/>
      <c r="J765" s="14"/>
      <c r="K765" s="14"/>
      <c r="L765" s="14"/>
      <c r="M765" s="14"/>
      <c r="N765" s="14"/>
      <c r="O765" s="14"/>
      <c r="P765" s="14"/>
      <c r="Q765" s="14"/>
      <c r="R765" s="14"/>
      <c r="S765" s="14"/>
      <c r="T765" s="14"/>
      <c r="U765" s="14"/>
    </row>
    <row r="766">
      <c r="D766" s="114"/>
      <c r="E766" s="114"/>
      <c r="J766" s="14"/>
      <c r="K766" s="14"/>
      <c r="L766" s="14"/>
      <c r="M766" s="14"/>
      <c r="N766" s="14"/>
      <c r="O766" s="14"/>
      <c r="P766" s="14"/>
      <c r="Q766" s="14"/>
      <c r="R766" s="14"/>
      <c r="S766" s="14"/>
      <c r="T766" s="14"/>
      <c r="U766" s="14"/>
    </row>
    <row r="767">
      <c r="D767" s="114"/>
      <c r="E767" s="114"/>
      <c r="J767" s="14"/>
      <c r="K767" s="14"/>
      <c r="L767" s="14"/>
      <c r="M767" s="14"/>
      <c r="N767" s="14"/>
      <c r="O767" s="14"/>
      <c r="P767" s="14"/>
      <c r="Q767" s="14"/>
      <c r="R767" s="14"/>
      <c r="S767" s="14"/>
      <c r="T767" s="14"/>
      <c r="U767" s="14"/>
    </row>
    <row r="768">
      <c r="D768" s="114"/>
      <c r="E768" s="114"/>
      <c r="J768" s="14"/>
      <c r="K768" s="14"/>
      <c r="L768" s="14"/>
      <c r="M768" s="14"/>
      <c r="N768" s="14"/>
      <c r="O768" s="14"/>
      <c r="P768" s="14"/>
      <c r="Q768" s="14"/>
      <c r="R768" s="14"/>
      <c r="S768" s="14"/>
      <c r="T768" s="14"/>
      <c r="U768" s="14"/>
    </row>
    <row r="769">
      <c r="D769" s="114"/>
      <c r="E769" s="114"/>
      <c r="J769" s="14"/>
      <c r="K769" s="14"/>
      <c r="L769" s="14"/>
      <c r="M769" s="14"/>
      <c r="N769" s="14"/>
      <c r="O769" s="14"/>
      <c r="P769" s="14"/>
      <c r="Q769" s="14"/>
      <c r="R769" s="14"/>
      <c r="S769" s="14"/>
      <c r="T769" s="14"/>
      <c r="U769" s="14"/>
    </row>
    <row r="770">
      <c r="D770" s="114"/>
      <c r="E770" s="114"/>
      <c r="J770" s="14"/>
      <c r="K770" s="14"/>
      <c r="L770" s="14"/>
      <c r="M770" s="14"/>
      <c r="N770" s="14"/>
      <c r="O770" s="14"/>
      <c r="P770" s="14"/>
      <c r="Q770" s="14"/>
      <c r="R770" s="14"/>
      <c r="S770" s="14"/>
      <c r="T770" s="14"/>
      <c r="U770" s="14"/>
    </row>
    <row r="771">
      <c r="D771" s="114"/>
      <c r="E771" s="114"/>
      <c r="J771" s="14"/>
      <c r="K771" s="14"/>
      <c r="L771" s="14"/>
      <c r="M771" s="14"/>
      <c r="N771" s="14"/>
      <c r="O771" s="14"/>
      <c r="P771" s="14"/>
      <c r="Q771" s="14"/>
      <c r="R771" s="14"/>
      <c r="S771" s="14"/>
      <c r="T771" s="14"/>
      <c r="U771" s="14"/>
    </row>
    <row r="772">
      <c r="D772" s="114"/>
      <c r="E772" s="114"/>
      <c r="J772" s="14"/>
      <c r="K772" s="14"/>
      <c r="L772" s="14"/>
      <c r="M772" s="14"/>
      <c r="N772" s="14"/>
      <c r="O772" s="14"/>
      <c r="P772" s="14"/>
      <c r="Q772" s="14"/>
      <c r="R772" s="14"/>
      <c r="S772" s="14"/>
      <c r="T772" s="14"/>
      <c r="U772" s="14"/>
    </row>
    <row r="773">
      <c r="D773" s="114"/>
      <c r="E773" s="114"/>
      <c r="J773" s="14"/>
      <c r="K773" s="14"/>
      <c r="L773" s="14"/>
      <c r="M773" s="14"/>
      <c r="N773" s="14"/>
      <c r="O773" s="14"/>
      <c r="P773" s="14"/>
      <c r="Q773" s="14"/>
      <c r="R773" s="14"/>
      <c r="S773" s="14"/>
      <c r="T773" s="14"/>
      <c r="U773" s="14"/>
    </row>
    <row r="774">
      <c r="D774" s="114"/>
      <c r="E774" s="114"/>
      <c r="J774" s="14"/>
      <c r="K774" s="14"/>
      <c r="L774" s="14"/>
      <c r="M774" s="14"/>
      <c r="N774" s="14"/>
      <c r="O774" s="14"/>
      <c r="P774" s="14"/>
      <c r="Q774" s="14"/>
      <c r="R774" s="14"/>
      <c r="S774" s="14"/>
      <c r="T774" s="14"/>
      <c r="U774" s="14"/>
    </row>
    <row r="775">
      <c r="D775" s="114"/>
      <c r="E775" s="114"/>
      <c r="J775" s="14"/>
      <c r="K775" s="14"/>
      <c r="L775" s="14"/>
      <c r="M775" s="14"/>
      <c r="N775" s="14"/>
      <c r="O775" s="14"/>
      <c r="P775" s="14"/>
      <c r="Q775" s="14"/>
      <c r="R775" s="14"/>
      <c r="S775" s="14"/>
      <c r="T775" s="14"/>
      <c r="U775" s="14"/>
    </row>
    <row r="776">
      <c r="D776" s="114"/>
      <c r="E776" s="114"/>
      <c r="J776" s="14"/>
      <c r="K776" s="14"/>
      <c r="L776" s="14"/>
      <c r="M776" s="14"/>
      <c r="N776" s="14"/>
      <c r="O776" s="14"/>
      <c r="P776" s="14"/>
      <c r="Q776" s="14"/>
      <c r="R776" s="14"/>
      <c r="S776" s="14"/>
      <c r="T776" s="14"/>
      <c r="U776" s="14"/>
    </row>
    <row r="777">
      <c r="D777" s="114"/>
      <c r="E777" s="114"/>
      <c r="J777" s="14"/>
      <c r="K777" s="14"/>
      <c r="L777" s="14"/>
      <c r="M777" s="14"/>
      <c r="N777" s="14"/>
      <c r="O777" s="14"/>
      <c r="P777" s="14"/>
      <c r="Q777" s="14"/>
      <c r="R777" s="14"/>
      <c r="S777" s="14"/>
      <c r="T777" s="14"/>
      <c r="U777" s="14"/>
    </row>
    <row r="778">
      <c r="D778" s="114"/>
      <c r="E778" s="114"/>
      <c r="J778" s="14"/>
      <c r="K778" s="14"/>
      <c r="L778" s="14"/>
      <c r="M778" s="14"/>
      <c r="N778" s="14"/>
      <c r="O778" s="14"/>
      <c r="P778" s="14"/>
      <c r="Q778" s="14"/>
      <c r="R778" s="14"/>
      <c r="S778" s="14"/>
      <c r="T778" s="14"/>
      <c r="U778" s="14"/>
    </row>
    <row r="779">
      <c r="D779" s="114"/>
      <c r="E779" s="114"/>
      <c r="J779" s="14"/>
      <c r="K779" s="14"/>
      <c r="L779" s="14"/>
      <c r="M779" s="14"/>
      <c r="N779" s="14"/>
      <c r="O779" s="14"/>
      <c r="P779" s="14"/>
      <c r="Q779" s="14"/>
      <c r="R779" s="14"/>
      <c r="S779" s="14"/>
      <c r="T779" s="14"/>
      <c r="U779" s="14"/>
    </row>
    <row r="780">
      <c r="D780" s="114"/>
      <c r="E780" s="114"/>
      <c r="J780" s="14"/>
      <c r="K780" s="14"/>
      <c r="L780" s="14"/>
      <c r="M780" s="14"/>
      <c r="N780" s="14"/>
      <c r="O780" s="14"/>
      <c r="P780" s="14"/>
      <c r="Q780" s="14"/>
      <c r="R780" s="14"/>
      <c r="S780" s="14"/>
      <c r="T780" s="14"/>
      <c r="U780" s="14"/>
    </row>
    <row r="781">
      <c r="D781" s="114"/>
      <c r="E781" s="114"/>
      <c r="J781" s="14"/>
      <c r="K781" s="14"/>
      <c r="L781" s="14"/>
      <c r="M781" s="14"/>
      <c r="N781" s="14"/>
      <c r="O781" s="14"/>
      <c r="P781" s="14"/>
      <c r="Q781" s="14"/>
      <c r="R781" s="14"/>
      <c r="S781" s="14"/>
      <c r="T781" s="14"/>
      <c r="U781" s="14"/>
    </row>
    <row r="782">
      <c r="D782" s="114"/>
      <c r="E782" s="114"/>
      <c r="J782" s="14"/>
      <c r="K782" s="14"/>
      <c r="L782" s="14"/>
      <c r="M782" s="14"/>
      <c r="N782" s="14"/>
      <c r="O782" s="14"/>
      <c r="P782" s="14"/>
      <c r="Q782" s="14"/>
      <c r="R782" s="14"/>
      <c r="S782" s="14"/>
      <c r="T782" s="14"/>
      <c r="U782" s="14"/>
    </row>
    <row r="783">
      <c r="D783" s="114"/>
      <c r="E783" s="114"/>
      <c r="J783" s="14"/>
      <c r="K783" s="14"/>
      <c r="L783" s="14"/>
      <c r="M783" s="14"/>
      <c r="N783" s="14"/>
      <c r="O783" s="14"/>
      <c r="P783" s="14"/>
      <c r="Q783" s="14"/>
      <c r="R783" s="14"/>
      <c r="S783" s="14"/>
      <c r="T783" s="14"/>
      <c r="U783" s="14"/>
    </row>
    <row r="784">
      <c r="D784" s="114"/>
      <c r="E784" s="114"/>
      <c r="J784" s="14"/>
      <c r="K784" s="14"/>
      <c r="L784" s="14"/>
      <c r="M784" s="14"/>
      <c r="N784" s="14"/>
      <c r="O784" s="14"/>
      <c r="P784" s="14"/>
      <c r="Q784" s="14"/>
      <c r="R784" s="14"/>
      <c r="S784" s="14"/>
      <c r="T784" s="14"/>
      <c r="U784" s="14"/>
    </row>
    <row r="785">
      <c r="D785" s="114"/>
      <c r="E785" s="114"/>
      <c r="J785" s="14"/>
      <c r="K785" s="14"/>
      <c r="L785" s="14"/>
      <c r="M785" s="14"/>
      <c r="N785" s="14"/>
      <c r="O785" s="14"/>
      <c r="P785" s="14"/>
      <c r="Q785" s="14"/>
      <c r="R785" s="14"/>
      <c r="S785" s="14"/>
      <c r="T785" s="14"/>
      <c r="U785" s="14"/>
    </row>
    <row r="786">
      <c r="D786" s="114"/>
      <c r="E786" s="114"/>
      <c r="J786" s="14"/>
      <c r="K786" s="14"/>
      <c r="L786" s="14"/>
      <c r="M786" s="14"/>
      <c r="N786" s="14"/>
      <c r="O786" s="14"/>
      <c r="P786" s="14"/>
      <c r="Q786" s="14"/>
      <c r="R786" s="14"/>
      <c r="S786" s="14"/>
      <c r="T786" s="14"/>
      <c r="U786" s="14"/>
    </row>
    <row r="787">
      <c r="D787" s="114"/>
      <c r="E787" s="114"/>
      <c r="J787" s="14"/>
      <c r="K787" s="14"/>
      <c r="L787" s="14"/>
      <c r="M787" s="14"/>
      <c r="N787" s="14"/>
      <c r="O787" s="14"/>
      <c r="P787" s="14"/>
      <c r="Q787" s="14"/>
      <c r="R787" s="14"/>
      <c r="S787" s="14"/>
      <c r="T787" s="14"/>
      <c r="U787" s="14"/>
    </row>
    <row r="788">
      <c r="D788" s="114"/>
      <c r="E788" s="114"/>
      <c r="J788" s="14"/>
      <c r="K788" s="14"/>
      <c r="L788" s="14"/>
      <c r="M788" s="14"/>
      <c r="N788" s="14"/>
      <c r="O788" s="14"/>
      <c r="P788" s="14"/>
      <c r="Q788" s="14"/>
      <c r="R788" s="14"/>
      <c r="S788" s="14"/>
      <c r="T788" s="14"/>
      <c r="U788" s="14"/>
    </row>
    <row r="789">
      <c r="D789" s="114"/>
      <c r="E789" s="114"/>
      <c r="J789" s="14"/>
      <c r="K789" s="14"/>
      <c r="L789" s="14"/>
      <c r="M789" s="14"/>
      <c r="N789" s="14"/>
      <c r="O789" s="14"/>
      <c r="P789" s="14"/>
      <c r="Q789" s="14"/>
      <c r="R789" s="14"/>
      <c r="S789" s="14"/>
      <c r="T789" s="14"/>
      <c r="U789" s="14"/>
    </row>
    <row r="790">
      <c r="D790" s="114"/>
      <c r="E790" s="114"/>
      <c r="J790" s="14"/>
      <c r="K790" s="14"/>
      <c r="L790" s="14"/>
      <c r="M790" s="14"/>
      <c r="N790" s="14"/>
      <c r="O790" s="14"/>
      <c r="P790" s="14"/>
      <c r="Q790" s="14"/>
      <c r="R790" s="14"/>
      <c r="S790" s="14"/>
      <c r="T790" s="14"/>
      <c r="U790" s="14"/>
    </row>
    <row r="791">
      <c r="D791" s="114"/>
      <c r="E791" s="114"/>
      <c r="J791" s="14"/>
      <c r="K791" s="14"/>
      <c r="L791" s="14"/>
      <c r="M791" s="14"/>
      <c r="N791" s="14"/>
      <c r="O791" s="14"/>
      <c r="P791" s="14"/>
      <c r="Q791" s="14"/>
      <c r="R791" s="14"/>
      <c r="S791" s="14"/>
      <c r="T791" s="14"/>
      <c r="U791" s="14"/>
    </row>
    <row r="792">
      <c r="D792" s="114"/>
      <c r="E792" s="114"/>
      <c r="J792" s="14"/>
      <c r="K792" s="14"/>
      <c r="L792" s="14"/>
      <c r="M792" s="14"/>
      <c r="N792" s="14"/>
      <c r="O792" s="14"/>
      <c r="P792" s="14"/>
      <c r="Q792" s="14"/>
      <c r="R792" s="14"/>
      <c r="S792" s="14"/>
      <c r="T792" s="14"/>
      <c r="U792" s="14"/>
    </row>
    <row r="793">
      <c r="D793" s="114"/>
      <c r="E793" s="114"/>
      <c r="J793" s="14"/>
      <c r="K793" s="14"/>
      <c r="L793" s="14"/>
      <c r="M793" s="14"/>
      <c r="N793" s="14"/>
      <c r="O793" s="14"/>
      <c r="P793" s="14"/>
      <c r="Q793" s="14"/>
      <c r="R793" s="14"/>
      <c r="S793" s="14"/>
      <c r="T793" s="14"/>
      <c r="U793" s="14"/>
    </row>
    <row r="794">
      <c r="D794" s="114"/>
      <c r="E794" s="114"/>
      <c r="J794" s="14"/>
      <c r="K794" s="14"/>
      <c r="L794" s="14"/>
      <c r="M794" s="14"/>
      <c r="N794" s="14"/>
      <c r="O794" s="14"/>
      <c r="P794" s="14"/>
      <c r="Q794" s="14"/>
      <c r="R794" s="14"/>
      <c r="S794" s="14"/>
      <c r="T794" s="14"/>
      <c r="U794" s="14"/>
    </row>
    <row r="795">
      <c r="D795" s="114"/>
      <c r="E795" s="114"/>
      <c r="J795" s="14"/>
      <c r="K795" s="14"/>
      <c r="L795" s="14"/>
      <c r="M795" s="14"/>
      <c r="N795" s="14"/>
      <c r="O795" s="14"/>
      <c r="P795" s="14"/>
      <c r="Q795" s="14"/>
      <c r="R795" s="14"/>
      <c r="S795" s="14"/>
      <c r="T795" s="14"/>
      <c r="U795" s="14"/>
    </row>
    <row r="796">
      <c r="D796" s="114"/>
      <c r="E796" s="114"/>
      <c r="J796" s="14"/>
      <c r="K796" s="14"/>
      <c r="L796" s="14"/>
      <c r="M796" s="14"/>
      <c r="N796" s="14"/>
      <c r="O796" s="14"/>
      <c r="P796" s="14"/>
      <c r="Q796" s="14"/>
      <c r="R796" s="14"/>
      <c r="S796" s="14"/>
      <c r="T796" s="14"/>
      <c r="U796" s="14"/>
    </row>
    <row r="797">
      <c r="D797" s="114"/>
      <c r="E797" s="114"/>
      <c r="J797" s="14"/>
      <c r="K797" s="14"/>
      <c r="L797" s="14"/>
      <c r="M797" s="14"/>
      <c r="N797" s="14"/>
      <c r="O797" s="14"/>
      <c r="P797" s="14"/>
      <c r="Q797" s="14"/>
      <c r="R797" s="14"/>
      <c r="S797" s="14"/>
      <c r="T797" s="14"/>
      <c r="U797" s="14"/>
    </row>
    <row r="798">
      <c r="D798" s="114"/>
      <c r="E798" s="114"/>
      <c r="J798" s="14"/>
      <c r="K798" s="14"/>
      <c r="L798" s="14"/>
      <c r="M798" s="14"/>
      <c r="N798" s="14"/>
      <c r="O798" s="14"/>
      <c r="P798" s="14"/>
      <c r="Q798" s="14"/>
      <c r="R798" s="14"/>
      <c r="S798" s="14"/>
      <c r="T798" s="14"/>
      <c r="U798" s="14"/>
    </row>
    <row r="799">
      <c r="D799" s="114"/>
      <c r="E799" s="114"/>
      <c r="J799" s="14"/>
      <c r="K799" s="14"/>
      <c r="L799" s="14"/>
      <c r="M799" s="14"/>
      <c r="N799" s="14"/>
      <c r="O799" s="14"/>
      <c r="P799" s="14"/>
      <c r="Q799" s="14"/>
      <c r="R799" s="14"/>
      <c r="S799" s="14"/>
      <c r="T799" s="14"/>
      <c r="U799" s="14"/>
    </row>
    <row r="800">
      <c r="D800" s="114"/>
      <c r="E800" s="114"/>
      <c r="J800" s="14"/>
      <c r="K800" s="14"/>
      <c r="L800" s="14"/>
      <c r="M800" s="14"/>
      <c r="N800" s="14"/>
      <c r="O800" s="14"/>
      <c r="P800" s="14"/>
      <c r="Q800" s="14"/>
      <c r="R800" s="14"/>
      <c r="S800" s="14"/>
      <c r="T800" s="14"/>
      <c r="U800" s="14"/>
    </row>
    <row r="801">
      <c r="D801" s="114"/>
      <c r="E801" s="114"/>
      <c r="J801" s="14"/>
      <c r="K801" s="14"/>
      <c r="L801" s="14"/>
      <c r="M801" s="14"/>
      <c r="N801" s="14"/>
      <c r="O801" s="14"/>
      <c r="P801" s="14"/>
      <c r="Q801" s="14"/>
      <c r="R801" s="14"/>
      <c r="S801" s="14"/>
      <c r="T801" s="14"/>
      <c r="U801" s="14"/>
    </row>
    <row r="802">
      <c r="D802" s="114"/>
      <c r="E802" s="114"/>
      <c r="J802" s="14"/>
      <c r="K802" s="14"/>
      <c r="L802" s="14"/>
      <c r="M802" s="14"/>
      <c r="N802" s="14"/>
      <c r="O802" s="14"/>
      <c r="P802" s="14"/>
      <c r="Q802" s="14"/>
      <c r="R802" s="14"/>
      <c r="S802" s="14"/>
      <c r="T802" s="14"/>
      <c r="U802" s="14"/>
    </row>
    <row r="803">
      <c r="D803" s="114"/>
      <c r="E803" s="114"/>
      <c r="J803" s="14"/>
      <c r="K803" s="14"/>
      <c r="L803" s="14"/>
      <c r="M803" s="14"/>
      <c r="N803" s="14"/>
      <c r="O803" s="14"/>
      <c r="P803" s="14"/>
      <c r="Q803" s="14"/>
      <c r="R803" s="14"/>
      <c r="S803" s="14"/>
      <c r="T803" s="14"/>
      <c r="U803" s="14"/>
    </row>
    <row r="804">
      <c r="D804" s="114"/>
      <c r="E804" s="114"/>
      <c r="J804" s="14"/>
      <c r="K804" s="14"/>
      <c r="L804" s="14"/>
      <c r="M804" s="14"/>
      <c r="N804" s="14"/>
      <c r="O804" s="14"/>
      <c r="P804" s="14"/>
      <c r="Q804" s="14"/>
      <c r="R804" s="14"/>
      <c r="S804" s="14"/>
      <c r="T804" s="14"/>
      <c r="U804" s="14"/>
    </row>
    <row r="805">
      <c r="D805" s="114"/>
      <c r="E805" s="114"/>
      <c r="J805" s="14"/>
      <c r="K805" s="14"/>
      <c r="L805" s="14"/>
      <c r="M805" s="14"/>
      <c r="N805" s="14"/>
      <c r="O805" s="14"/>
      <c r="P805" s="14"/>
      <c r="Q805" s="14"/>
      <c r="R805" s="14"/>
      <c r="S805" s="14"/>
      <c r="T805" s="14"/>
      <c r="U805" s="14"/>
    </row>
    <row r="806">
      <c r="D806" s="114"/>
      <c r="E806" s="114"/>
      <c r="J806" s="14"/>
      <c r="K806" s="14"/>
      <c r="L806" s="14"/>
      <c r="M806" s="14"/>
      <c r="N806" s="14"/>
      <c r="O806" s="14"/>
      <c r="P806" s="14"/>
      <c r="Q806" s="14"/>
      <c r="R806" s="14"/>
      <c r="S806" s="14"/>
      <c r="T806" s="14"/>
      <c r="U806" s="14"/>
    </row>
    <row r="807">
      <c r="D807" s="114"/>
      <c r="E807" s="114"/>
      <c r="J807" s="14"/>
      <c r="K807" s="14"/>
      <c r="L807" s="14"/>
      <c r="M807" s="14"/>
      <c r="N807" s="14"/>
      <c r="O807" s="14"/>
      <c r="P807" s="14"/>
      <c r="Q807" s="14"/>
      <c r="R807" s="14"/>
      <c r="S807" s="14"/>
      <c r="T807" s="14"/>
      <c r="U807" s="14"/>
    </row>
    <row r="808">
      <c r="D808" s="114"/>
      <c r="E808" s="114"/>
      <c r="J808" s="14"/>
      <c r="K808" s="14"/>
      <c r="L808" s="14"/>
      <c r="M808" s="14"/>
      <c r="N808" s="14"/>
      <c r="O808" s="14"/>
      <c r="P808" s="14"/>
      <c r="Q808" s="14"/>
      <c r="R808" s="14"/>
      <c r="S808" s="14"/>
      <c r="T808" s="14"/>
      <c r="U808" s="14"/>
    </row>
    <row r="809">
      <c r="D809" s="114"/>
      <c r="E809" s="114"/>
      <c r="J809" s="14"/>
      <c r="K809" s="14"/>
      <c r="L809" s="14"/>
      <c r="M809" s="14"/>
      <c r="N809" s="14"/>
      <c r="O809" s="14"/>
      <c r="P809" s="14"/>
      <c r="Q809" s="14"/>
      <c r="R809" s="14"/>
      <c r="S809" s="14"/>
      <c r="T809" s="14"/>
      <c r="U809" s="14"/>
    </row>
    <row r="810">
      <c r="D810" s="114"/>
      <c r="E810" s="114"/>
      <c r="J810" s="14"/>
      <c r="K810" s="14"/>
      <c r="L810" s="14"/>
      <c r="M810" s="14"/>
      <c r="N810" s="14"/>
      <c r="O810" s="14"/>
      <c r="P810" s="14"/>
      <c r="Q810" s="14"/>
      <c r="R810" s="14"/>
      <c r="S810" s="14"/>
      <c r="T810" s="14"/>
      <c r="U810" s="14"/>
    </row>
    <row r="811">
      <c r="D811" s="114"/>
      <c r="E811" s="114"/>
      <c r="J811" s="14"/>
      <c r="K811" s="14"/>
      <c r="L811" s="14"/>
      <c r="M811" s="14"/>
      <c r="N811" s="14"/>
      <c r="O811" s="14"/>
      <c r="P811" s="14"/>
      <c r="Q811" s="14"/>
      <c r="R811" s="14"/>
      <c r="S811" s="14"/>
      <c r="T811" s="14"/>
      <c r="U811" s="14"/>
    </row>
    <row r="812">
      <c r="D812" s="114"/>
      <c r="E812" s="114"/>
      <c r="J812" s="14"/>
      <c r="K812" s="14"/>
      <c r="L812" s="14"/>
      <c r="M812" s="14"/>
      <c r="N812" s="14"/>
      <c r="O812" s="14"/>
      <c r="P812" s="14"/>
      <c r="Q812" s="14"/>
      <c r="R812" s="14"/>
      <c r="S812" s="14"/>
      <c r="T812" s="14"/>
      <c r="U812" s="14"/>
    </row>
    <row r="813">
      <c r="D813" s="114"/>
      <c r="E813" s="114"/>
      <c r="J813" s="14"/>
      <c r="K813" s="14"/>
      <c r="L813" s="14"/>
      <c r="M813" s="14"/>
      <c r="N813" s="14"/>
      <c r="O813" s="14"/>
      <c r="P813" s="14"/>
      <c r="Q813" s="14"/>
      <c r="R813" s="14"/>
      <c r="S813" s="14"/>
      <c r="T813" s="14"/>
      <c r="U813" s="14"/>
    </row>
    <row r="814">
      <c r="D814" s="114"/>
      <c r="E814" s="114"/>
      <c r="J814" s="14"/>
      <c r="K814" s="14"/>
      <c r="L814" s="14"/>
      <c r="M814" s="14"/>
      <c r="N814" s="14"/>
      <c r="O814" s="14"/>
      <c r="P814" s="14"/>
      <c r="Q814" s="14"/>
      <c r="R814" s="14"/>
      <c r="S814" s="14"/>
      <c r="T814" s="14"/>
      <c r="U814" s="14"/>
    </row>
    <row r="815">
      <c r="D815" s="114"/>
      <c r="E815" s="114"/>
      <c r="J815" s="14"/>
      <c r="K815" s="14"/>
      <c r="L815" s="14"/>
      <c r="M815" s="14"/>
      <c r="N815" s="14"/>
      <c r="O815" s="14"/>
      <c r="P815" s="14"/>
      <c r="Q815" s="14"/>
      <c r="R815" s="14"/>
      <c r="S815" s="14"/>
      <c r="T815" s="14"/>
      <c r="U815" s="14"/>
    </row>
    <row r="816">
      <c r="D816" s="114"/>
      <c r="E816" s="114"/>
      <c r="J816" s="14"/>
      <c r="K816" s="14"/>
      <c r="L816" s="14"/>
      <c r="M816" s="14"/>
      <c r="N816" s="14"/>
      <c r="O816" s="14"/>
      <c r="P816" s="14"/>
      <c r="Q816" s="14"/>
      <c r="R816" s="14"/>
      <c r="S816" s="14"/>
      <c r="T816" s="14"/>
      <c r="U816" s="14"/>
    </row>
    <row r="817">
      <c r="D817" s="114"/>
      <c r="E817" s="114"/>
      <c r="J817" s="14"/>
      <c r="K817" s="14"/>
      <c r="L817" s="14"/>
      <c r="M817" s="14"/>
      <c r="N817" s="14"/>
      <c r="O817" s="14"/>
      <c r="P817" s="14"/>
      <c r="Q817" s="14"/>
      <c r="R817" s="14"/>
      <c r="S817" s="14"/>
      <c r="T817" s="14"/>
      <c r="U817" s="14"/>
    </row>
    <row r="818">
      <c r="D818" s="114"/>
      <c r="E818" s="114"/>
      <c r="J818" s="14"/>
      <c r="K818" s="14"/>
      <c r="L818" s="14"/>
      <c r="M818" s="14"/>
      <c r="N818" s="14"/>
      <c r="O818" s="14"/>
      <c r="P818" s="14"/>
      <c r="Q818" s="14"/>
      <c r="R818" s="14"/>
      <c r="S818" s="14"/>
      <c r="T818" s="14"/>
      <c r="U818" s="14"/>
    </row>
    <row r="819">
      <c r="D819" s="114"/>
      <c r="E819" s="114"/>
      <c r="J819" s="14"/>
      <c r="K819" s="14"/>
      <c r="L819" s="14"/>
      <c r="M819" s="14"/>
      <c r="N819" s="14"/>
      <c r="O819" s="14"/>
      <c r="P819" s="14"/>
      <c r="Q819" s="14"/>
      <c r="R819" s="14"/>
      <c r="S819" s="14"/>
      <c r="T819" s="14"/>
      <c r="U819" s="14"/>
    </row>
    <row r="820">
      <c r="D820" s="114"/>
      <c r="E820" s="114"/>
      <c r="J820" s="14"/>
      <c r="K820" s="14"/>
      <c r="L820" s="14"/>
      <c r="M820" s="14"/>
      <c r="N820" s="14"/>
      <c r="O820" s="14"/>
      <c r="P820" s="14"/>
      <c r="Q820" s="14"/>
      <c r="R820" s="14"/>
      <c r="S820" s="14"/>
      <c r="T820" s="14"/>
      <c r="U820" s="14"/>
    </row>
    <row r="821">
      <c r="D821" s="114"/>
      <c r="E821" s="114"/>
      <c r="J821" s="14"/>
      <c r="K821" s="14"/>
      <c r="L821" s="14"/>
      <c r="M821" s="14"/>
      <c r="N821" s="14"/>
      <c r="O821" s="14"/>
      <c r="P821" s="14"/>
      <c r="Q821" s="14"/>
      <c r="R821" s="14"/>
      <c r="S821" s="14"/>
      <c r="T821" s="14"/>
      <c r="U821" s="14"/>
    </row>
    <row r="822">
      <c r="D822" s="114"/>
      <c r="E822" s="114"/>
      <c r="J822" s="14"/>
      <c r="K822" s="14"/>
      <c r="L822" s="14"/>
      <c r="M822" s="14"/>
      <c r="N822" s="14"/>
      <c r="O822" s="14"/>
      <c r="P822" s="14"/>
      <c r="Q822" s="14"/>
      <c r="R822" s="14"/>
      <c r="S822" s="14"/>
      <c r="T822" s="14"/>
      <c r="U822" s="14"/>
    </row>
    <row r="823">
      <c r="D823" s="114"/>
      <c r="E823" s="114"/>
      <c r="J823" s="14"/>
      <c r="K823" s="14"/>
      <c r="L823" s="14"/>
      <c r="M823" s="14"/>
      <c r="N823" s="14"/>
      <c r="O823" s="14"/>
      <c r="P823" s="14"/>
      <c r="Q823" s="14"/>
      <c r="R823" s="14"/>
      <c r="S823" s="14"/>
      <c r="T823" s="14"/>
      <c r="U823" s="14"/>
    </row>
    <row r="824">
      <c r="D824" s="114"/>
      <c r="E824" s="114"/>
      <c r="J824" s="14"/>
      <c r="K824" s="14"/>
      <c r="L824" s="14"/>
      <c r="M824" s="14"/>
      <c r="N824" s="14"/>
      <c r="O824" s="14"/>
      <c r="P824" s="14"/>
      <c r="Q824" s="14"/>
      <c r="R824" s="14"/>
      <c r="S824" s="14"/>
      <c r="T824" s="14"/>
      <c r="U824" s="14"/>
    </row>
    <row r="825">
      <c r="D825" s="114"/>
      <c r="E825" s="114"/>
      <c r="J825" s="14"/>
      <c r="K825" s="14"/>
      <c r="L825" s="14"/>
      <c r="M825" s="14"/>
      <c r="N825" s="14"/>
      <c r="O825" s="14"/>
      <c r="P825" s="14"/>
      <c r="Q825" s="14"/>
      <c r="R825" s="14"/>
      <c r="S825" s="14"/>
      <c r="T825" s="14"/>
      <c r="U825" s="14"/>
    </row>
    <row r="826">
      <c r="D826" s="114"/>
      <c r="E826" s="114"/>
      <c r="J826" s="14"/>
      <c r="K826" s="14"/>
      <c r="L826" s="14"/>
      <c r="M826" s="14"/>
      <c r="N826" s="14"/>
      <c r="O826" s="14"/>
      <c r="P826" s="14"/>
      <c r="Q826" s="14"/>
      <c r="R826" s="14"/>
      <c r="S826" s="14"/>
      <c r="T826" s="14"/>
      <c r="U826" s="14"/>
    </row>
    <row r="827">
      <c r="D827" s="114"/>
      <c r="E827" s="114"/>
      <c r="J827" s="14"/>
      <c r="K827" s="14"/>
      <c r="L827" s="14"/>
      <c r="M827" s="14"/>
      <c r="N827" s="14"/>
      <c r="O827" s="14"/>
      <c r="P827" s="14"/>
      <c r="Q827" s="14"/>
      <c r="R827" s="14"/>
      <c r="S827" s="14"/>
      <c r="T827" s="14"/>
      <c r="U827" s="14"/>
    </row>
    <row r="828">
      <c r="D828" s="114"/>
      <c r="E828" s="114"/>
      <c r="J828" s="14"/>
      <c r="K828" s="14"/>
      <c r="L828" s="14"/>
      <c r="M828" s="14"/>
      <c r="N828" s="14"/>
      <c r="O828" s="14"/>
      <c r="P828" s="14"/>
      <c r="Q828" s="14"/>
      <c r="R828" s="14"/>
      <c r="S828" s="14"/>
      <c r="T828" s="14"/>
      <c r="U828" s="14"/>
    </row>
    <row r="829">
      <c r="D829" s="114"/>
      <c r="E829" s="114"/>
      <c r="J829" s="14"/>
      <c r="K829" s="14"/>
      <c r="L829" s="14"/>
      <c r="M829" s="14"/>
      <c r="N829" s="14"/>
      <c r="O829" s="14"/>
      <c r="P829" s="14"/>
      <c r="Q829" s="14"/>
      <c r="R829" s="14"/>
      <c r="S829" s="14"/>
      <c r="T829" s="14"/>
      <c r="U829" s="14"/>
    </row>
    <row r="830">
      <c r="D830" s="114"/>
      <c r="E830" s="114"/>
      <c r="J830" s="14"/>
      <c r="K830" s="14"/>
      <c r="L830" s="14"/>
      <c r="M830" s="14"/>
      <c r="N830" s="14"/>
      <c r="O830" s="14"/>
      <c r="P830" s="14"/>
      <c r="Q830" s="14"/>
      <c r="R830" s="14"/>
      <c r="S830" s="14"/>
      <c r="T830" s="14"/>
      <c r="U830" s="14"/>
    </row>
    <row r="831">
      <c r="D831" s="114"/>
      <c r="E831" s="114"/>
      <c r="J831" s="14"/>
      <c r="K831" s="14"/>
      <c r="L831" s="14"/>
      <c r="M831" s="14"/>
      <c r="N831" s="14"/>
      <c r="O831" s="14"/>
      <c r="P831" s="14"/>
      <c r="Q831" s="14"/>
      <c r="R831" s="14"/>
      <c r="S831" s="14"/>
      <c r="T831" s="14"/>
      <c r="U831" s="14"/>
    </row>
    <row r="832">
      <c r="D832" s="114"/>
      <c r="E832" s="114"/>
      <c r="J832" s="14"/>
      <c r="K832" s="14"/>
      <c r="L832" s="14"/>
      <c r="M832" s="14"/>
      <c r="N832" s="14"/>
      <c r="O832" s="14"/>
      <c r="P832" s="14"/>
      <c r="Q832" s="14"/>
      <c r="R832" s="14"/>
      <c r="S832" s="14"/>
      <c r="T832" s="14"/>
      <c r="U832" s="14"/>
    </row>
    <row r="833">
      <c r="D833" s="114"/>
      <c r="E833" s="114"/>
      <c r="J833" s="14"/>
      <c r="K833" s="14"/>
      <c r="L833" s="14"/>
      <c r="M833" s="14"/>
      <c r="N833" s="14"/>
      <c r="O833" s="14"/>
      <c r="P833" s="14"/>
      <c r="Q833" s="14"/>
      <c r="R833" s="14"/>
      <c r="S833" s="14"/>
      <c r="T833" s="14"/>
      <c r="U833" s="14"/>
    </row>
    <row r="834">
      <c r="D834" s="114"/>
      <c r="E834" s="114"/>
      <c r="J834" s="14"/>
      <c r="K834" s="14"/>
      <c r="L834" s="14"/>
      <c r="M834" s="14"/>
      <c r="N834" s="14"/>
      <c r="O834" s="14"/>
      <c r="P834" s="14"/>
      <c r="Q834" s="14"/>
      <c r="R834" s="14"/>
      <c r="S834" s="14"/>
      <c r="T834" s="14"/>
      <c r="U834" s="14"/>
    </row>
    <row r="835">
      <c r="D835" s="114"/>
      <c r="E835" s="114"/>
      <c r="J835" s="14"/>
      <c r="K835" s="14"/>
      <c r="L835" s="14"/>
      <c r="M835" s="14"/>
      <c r="N835" s="14"/>
      <c r="O835" s="14"/>
      <c r="P835" s="14"/>
      <c r="Q835" s="14"/>
      <c r="R835" s="14"/>
      <c r="S835" s="14"/>
      <c r="T835" s="14"/>
      <c r="U835" s="14"/>
    </row>
    <row r="836">
      <c r="D836" s="114"/>
      <c r="E836" s="114"/>
      <c r="J836" s="14"/>
      <c r="K836" s="14"/>
      <c r="L836" s="14"/>
      <c r="M836" s="14"/>
      <c r="N836" s="14"/>
      <c r="O836" s="14"/>
      <c r="P836" s="14"/>
      <c r="Q836" s="14"/>
      <c r="R836" s="14"/>
      <c r="S836" s="14"/>
      <c r="T836" s="14"/>
      <c r="U836" s="14"/>
    </row>
    <row r="837">
      <c r="D837" s="114"/>
      <c r="E837" s="114"/>
      <c r="J837" s="14"/>
      <c r="K837" s="14"/>
      <c r="L837" s="14"/>
      <c r="M837" s="14"/>
      <c r="N837" s="14"/>
      <c r="O837" s="14"/>
      <c r="P837" s="14"/>
      <c r="Q837" s="14"/>
      <c r="R837" s="14"/>
      <c r="S837" s="14"/>
      <c r="T837" s="14"/>
      <c r="U837" s="14"/>
    </row>
    <row r="838">
      <c r="D838" s="114"/>
      <c r="E838" s="114"/>
      <c r="J838" s="14"/>
      <c r="K838" s="14"/>
      <c r="L838" s="14"/>
      <c r="M838" s="14"/>
      <c r="N838" s="14"/>
      <c r="O838" s="14"/>
      <c r="P838" s="14"/>
      <c r="Q838" s="14"/>
      <c r="R838" s="14"/>
      <c r="S838" s="14"/>
      <c r="T838" s="14"/>
      <c r="U838" s="14"/>
    </row>
    <row r="839">
      <c r="D839" s="114"/>
      <c r="E839" s="114"/>
      <c r="J839" s="14"/>
      <c r="K839" s="14"/>
      <c r="L839" s="14"/>
      <c r="M839" s="14"/>
      <c r="N839" s="14"/>
      <c r="O839" s="14"/>
      <c r="P839" s="14"/>
      <c r="Q839" s="14"/>
      <c r="R839" s="14"/>
      <c r="S839" s="14"/>
      <c r="T839" s="14"/>
      <c r="U839" s="14"/>
    </row>
    <row r="840">
      <c r="D840" s="114"/>
      <c r="E840" s="114"/>
      <c r="J840" s="14"/>
      <c r="K840" s="14"/>
      <c r="L840" s="14"/>
      <c r="M840" s="14"/>
      <c r="N840" s="14"/>
      <c r="O840" s="14"/>
      <c r="P840" s="14"/>
      <c r="Q840" s="14"/>
      <c r="R840" s="14"/>
      <c r="S840" s="14"/>
      <c r="T840" s="14"/>
      <c r="U840" s="14"/>
    </row>
    <row r="841">
      <c r="D841" s="114"/>
      <c r="E841" s="114"/>
      <c r="J841" s="14"/>
      <c r="K841" s="14"/>
      <c r="L841" s="14"/>
      <c r="M841" s="14"/>
      <c r="N841" s="14"/>
      <c r="O841" s="14"/>
      <c r="P841" s="14"/>
      <c r="Q841" s="14"/>
      <c r="R841" s="14"/>
      <c r="S841" s="14"/>
      <c r="T841" s="14"/>
      <c r="U841" s="14"/>
    </row>
    <row r="842">
      <c r="D842" s="114"/>
      <c r="E842" s="114"/>
      <c r="J842" s="14"/>
      <c r="K842" s="14"/>
      <c r="L842" s="14"/>
      <c r="M842" s="14"/>
      <c r="N842" s="14"/>
      <c r="O842" s="14"/>
      <c r="P842" s="14"/>
      <c r="Q842" s="14"/>
      <c r="R842" s="14"/>
      <c r="S842" s="14"/>
      <c r="T842" s="14"/>
      <c r="U842" s="14"/>
    </row>
    <row r="843">
      <c r="D843" s="114"/>
      <c r="E843" s="114"/>
      <c r="J843" s="14"/>
      <c r="K843" s="14"/>
      <c r="L843" s="14"/>
      <c r="M843" s="14"/>
      <c r="N843" s="14"/>
      <c r="O843" s="14"/>
      <c r="P843" s="14"/>
      <c r="Q843" s="14"/>
      <c r="R843" s="14"/>
      <c r="S843" s="14"/>
      <c r="T843" s="14"/>
      <c r="U843" s="14"/>
    </row>
    <row r="844">
      <c r="D844" s="114"/>
      <c r="E844" s="114"/>
      <c r="J844" s="14"/>
      <c r="K844" s="14"/>
      <c r="L844" s="14"/>
      <c r="M844" s="14"/>
      <c r="N844" s="14"/>
      <c r="O844" s="14"/>
      <c r="P844" s="14"/>
      <c r="Q844" s="14"/>
      <c r="R844" s="14"/>
      <c r="S844" s="14"/>
      <c r="T844" s="14"/>
      <c r="U844" s="14"/>
    </row>
    <row r="845">
      <c r="D845" s="114"/>
      <c r="E845" s="114"/>
      <c r="J845" s="14"/>
      <c r="K845" s="14"/>
      <c r="L845" s="14"/>
      <c r="M845" s="14"/>
      <c r="N845" s="14"/>
      <c r="O845" s="14"/>
      <c r="P845" s="14"/>
      <c r="Q845" s="14"/>
      <c r="R845" s="14"/>
      <c r="S845" s="14"/>
      <c r="T845" s="14"/>
      <c r="U845" s="14"/>
    </row>
    <row r="846">
      <c r="D846" s="114"/>
      <c r="E846" s="114"/>
      <c r="J846" s="14"/>
      <c r="K846" s="14"/>
      <c r="L846" s="14"/>
      <c r="M846" s="14"/>
      <c r="N846" s="14"/>
      <c r="O846" s="14"/>
      <c r="P846" s="14"/>
      <c r="Q846" s="14"/>
      <c r="R846" s="14"/>
      <c r="S846" s="14"/>
      <c r="T846" s="14"/>
      <c r="U846" s="14"/>
    </row>
    <row r="847">
      <c r="D847" s="114"/>
      <c r="E847" s="114"/>
      <c r="J847" s="14"/>
      <c r="K847" s="14"/>
      <c r="L847" s="14"/>
      <c r="M847" s="14"/>
      <c r="N847" s="14"/>
      <c r="O847" s="14"/>
      <c r="P847" s="14"/>
      <c r="Q847" s="14"/>
      <c r="R847" s="14"/>
      <c r="S847" s="14"/>
      <c r="T847" s="14"/>
      <c r="U847" s="14"/>
    </row>
    <row r="848">
      <c r="D848" s="114"/>
      <c r="E848" s="114"/>
      <c r="J848" s="14"/>
      <c r="K848" s="14"/>
      <c r="L848" s="14"/>
      <c r="M848" s="14"/>
      <c r="N848" s="14"/>
      <c r="O848" s="14"/>
      <c r="P848" s="14"/>
      <c r="Q848" s="14"/>
      <c r="R848" s="14"/>
      <c r="S848" s="14"/>
      <c r="T848" s="14"/>
      <c r="U848" s="14"/>
    </row>
    <row r="849">
      <c r="D849" s="114"/>
      <c r="E849" s="114"/>
      <c r="J849" s="14"/>
      <c r="K849" s="14"/>
      <c r="L849" s="14"/>
      <c r="M849" s="14"/>
      <c r="N849" s="14"/>
      <c r="O849" s="14"/>
      <c r="P849" s="14"/>
      <c r="Q849" s="14"/>
      <c r="R849" s="14"/>
      <c r="S849" s="14"/>
      <c r="T849" s="14"/>
      <c r="U849" s="14"/>
    </row>
    <row r="850">
      <c r="D850" s="114"/>
      <c r="E850" s="114"/>
      <c r="J850" s="14"/>
      <c r="K850" s="14"/>
      <c r="L850" s="14"/>
      <c r="M850" s="14"/>
      <c r="N850" s="14"/>
      <c r="O850" s="14"/>
      <c r="P850" s="14"/>
      <c r="Q850" s="14"/>
      <c r="R850" s="14"/>
      <c r="S850" s="14"/>
      <c r="T850" s="14"/>
      <c r="U850" s="14"/>
    </row>
    <row r="851">
      <c r="D851" s="114"/>
      <c r="E851" s="114"/>
      <c r="J851" s="14"/>
      <c r="K851" s="14"/>
      <c r="L851" s="14"/>
      <c r="M851" s="14"/>
      <c r="N851" s="14"/>
      <c r="O851" s="14"/>
      <c r="P851" s="14"/>
      <c r="Q851" s="14"/>
      <c r="R851" s="14"/>
      <c r="S851" s="14"/>
      <c r="T851" s="14"/>
      <c r="U851" s="14"/>
    </row>
    <row r="852">
      <c r="D852" s="114"/>
      <c r="E852" s="114"/>
      <c r="J852" s="14"/>
      <c r="K852" s="14"/>
      <c r="L852" s="14"/>
      <c r="M852" s="14"/>
      <c r="N852" s="14"/>
      <c r="O852" s="14"/>
      <c r="P852" s="14"/>
      <c r="Q852" s="14"/>
      <c r="R852" s="14"/>
      <c r="S852" s="14"/>
      <c r="T852" s="14"/>
      <c r="U852" s="14"/>
    </row>
    <row r="853">
      <c r="D853" s="114"/>
      <c r="E853" s="114"/>
      <c r="J853" s="14"/>
      <c r="K853" s="14"/>
      <c r="L853" s="14"/>
      <c r="M853" s="14"/>
      <c r="N853" s="14"/>
      <c r="O853" s="14"/>
      <c r="P853" s="14"/>
      <c r="Q853" s="14"/>
      <c r="R853" s="14"/>
      <c r="S853" s="14"/>
      <c r="T853" s="14"/>
      <c r="U853" s="14"/>
    </row>
    <row r="854">
      <c r="D854" s="114"/>
      <c r="E854" s="114"/>
      <c r="J854" s="14"/>
      <c r="K854" s="14"/>
      <c r="L854" s="14"/>
      <c r="M854" s="14"/>
      <c r="N854" s="14"/>
      <c r="O854" s="14"/>
      <c r="P854" s="14"/>
      <c r="Q854" s="14"/>
      <c r="R854" s="14"/>
      <c r="S854" s="14"/>
      <c r="T854" s="14"/>
      <c r="U854" s="14"/>
    </row>
    <row r="855">
      <c r="D855" s="114"/>
      <c r="E855" s="114"/>
      <c r="J855" s="14"/>
      <c r="K855" s="14"/>
      <c r="L855" s="14"/>
      <c r="M855" s="14"/>
      <c r="N855" s="14"/>
      <c r="O855" s="14"/>
      <c r="P855" s="14"/>
      <c r="Q855" s="14"/>
      <c r="R855" s="14"/>
      <c r="S855" s="14"/>
      <c r="T855" s="14"/>
      <c r="U855" s="14"/>
    </row>
    <row r="856">
      <c r="D856" s="114"/>
      <c r="E856" s="114"/>
      <c r="J856" s="14"/>
      <c r="K856" s="14"/>
      <c r="L856" s="14"/>
      <c r="M856" s="14"/>
      <c r="N856" s="14"/>
      <c r="O856" s="14"/>
      <c r="P856" s="14"/>
      <c r="Q856" s="14"/>
      <c r="R856" s="14"/>
      <c r="S856" s="14"/>
      <c r="T856" s="14"/>
      <c r="U856" s="14"/>
    </row>
    <row r="857">
      <c r="D857" s="114"/>
      <c r="E857" s="114"/>
      <c r="J857" s="14"/>
      <c r="K857" s="14"/>
      <c r="L857" s="14"/>
      <c r="M857" s="14"/>
      <c r="N857" s="14"/>
      <c r="O857" s="14"/>
      <c r="P857" s="14"/>
      <c r="Q857" s="14"/>
      <c r="R857" s="14"/>
      <c r="S857" s="14"/>
      <c r="T857" s="14"/>
      <c r="U857" s="14"/>
    </row>
    <row r="858">
      <c r="D858" s="114"/>
      <c r="E858" s="114"/>
      <c r="J858" s="14"/>
      <c r="K858" s="14"/>
      <c r="L858" s="14"/>
      <c r="M858" s="14"/>
      <c r="N858" s="14"/>
      <c r="O858" s="14"/>
      <c r="P858" s="14"/>
      <c r="Q858" s="14"/>
      <c r="R858" s="14"/>
      <c r="S858" s="14"/>
      <c r="T858" s="14"/>
      <c r="U858" s="14"/>
    </row>
    <row r="859">
      <c r="D859" s="114"/>
      <c r="E859" s="114"/>
      <c r="J859" s="14"/>
      <c r="K859" s="14"/>
      <c r="L859" s="14"/>
      <c r="M859" s="14"/>
      <c r="N859" s="14"/>
      <c r="O859" s="14"/>
      <c r="P859" s="14"/>
      <c r="Q859" s="14"/>
      <c r="R859" s="14"/>
      <c r="S859" s="14"/>
      <c r="T859" s="14"/>
      <c r="U859" s="14"/>
    </row>
    <row r="860">
      <c r="D860" s="114"/>
      <c r="E860" s="114"/>
      <c r="J860" s="14"/>
      <c r="K860" s="14"/>
      <c r="L860" s="14"/>
      <c r="M860" s="14"/>
      <c r="N860" s="14"/>
      <c r="O860" s="14"/>
      <c r="P860" s="14"/>
      <c r="Q860" s="14"/>
      <c r="R860" s="14"/>
      <c r="S860" s="14"/>
      <c r="T860" s="14"/>
      <c r="U860" s="14"/>
    </row>
    <row r="861">
      <c r="D861" s="114"/>
      <c r="E861" s="114"/>
      <c r="J861" s="14"/>
      <c r="K861" s="14"/>
      <c r="L861" s="14"/>
      <c r="M861" s="14"/>
      <c r="N861" s="14"/>
      <c r="O861" s="14"/>
      <c r="P861" s="14"/>
      <c r="Q861" s="14"/>
      <c r="R861" s="14"/>
      <c r="S861" s="14"/>
      <c r="T861" s="14"/>
      <c r="U861" s="14"/>
    </row>
    <row r="862">
      <c r="D862" s="114"/>
      <c r="E862" s="114"/>
      <c r="J862" s="14"/>
      <c r="K862" s="14"/>
      <c r="L862" s="14"/>
      <c r="M862" s="14"/>
      <c r="N862" s="14"/>
      <c r="O862" s="14"/>
      <c r="P862" s="14"/>
      <c r="Q862" s="14"/>
      <c r="R862" s="14"/>
      <c r="S862" s="14"/>
      <c r="T862" s="14"/>
      <c r="U862" s="14"/>
    </row>
    <row r="863">
      <c r="D863" s="114"/>
      <c r="E863" s="114"/>
      <c r="J863" s="14"/>
      <c r="K863" s="14"/>
      <c r="L863" s="14"/>
      <c r="M863" s="14"/>
      <c r="N863" s="14"/>
      <c r="O863" s="14"/>
      <c r="P863" s="14"/>
      <c r="Q863" s="14"/>
      <c r="R863" s="14"/>
      <c r="S863" s="14"/>
      <c r="T863" s="14"/>
      <c r="U863" s="14"/>
    </row>
    <row r="864">
      <c r="D864" s="114"/>
      <c r="E864" s="114"/>
      <c r="J864" s="14"/>
      <c r="K864" s="14"/>
      <c r="L864" s="14"/>
      <c r="M864" s="14"/>
      <c r="N864" s="14"/>
      <c r="O864" s="14"/>
      <c r="P864" s="14"/>
      <c r="Q864" s="14"/>
      <c r="R864" s="14"/>
      <c r="S864" s="14"/>
      <c r="T864" s="14"/>
      <c r="U864" s="14"/>
    </row>
    <row r="865">
      <c r="D865" s="114"/>
      <c r="E865" s="114"/>
      <c r="J865" s="14"/>
      <c r="K865" s="14"/>
      <c r="L865" s="14"/>
      <c r="M865" s="14"/>
      <c r="N865" s="14"/>
      <c r="O865" s="14"/>
      <c r="P865" s="14"/>
      <c r="Q865" s="14"/>
      <c r="R865" s="14"/>
      <c r="S865" s="14"/>
      <c r="T865" s="14"/>
      <c r="U865" s="14"/>
    </row>
    <row r="866">
      <c r="D866" s="114"/>
      <c r="E866" s="114"/>
      <c r="J866" s="14"/>
      <c r="K866" s="14"/>
      <c r="L866" s="14"/>
      <c r="M866" s="14"/>
      <c r="N866" s="14"/>
      <c r="O866" s="14"/>
      <c r="P866" s="14"/>
      <c r="Q866" s="14"/>
      <c r="R866" s="14"/>
      <c r="S866" s="14"/>
      <c r="T866" s="14"/>
      <c r="U866" s="14"/>
    </row>
    <row r="867">
      <c r="D867" s="114"/>
      <c r="E867" s="114"/>
      <c r="J867" s="14"/>
      <c r="K867" s="14"/>
      <c r="L867" s="14"/>
      <c r="M867" s="14"/>
      <c r="N867" s="14"/>
      <c r="O867" s="14"/>
      <c r="P867" s="14"/>
      <c r="Q867" s="14"/>
      <c r="R867" s="14"/>
      <c r="S867" s="14"/>
      <c r="T867" s="14"/>
      <c r="U867" s="14"/>
    </row>
    <row r="868">
      <c r="D868" s="114"/>
      <c r="E868" s="114"/>
      <c r="J868" s="14"/>
      <c r="K868" s="14"/>
      <c r="L868" s="14"/>
      <c r="M868" s="14"/>
      <c r="N868" s="14"/>
      <c r="O868" s="14"/>
      <c r="P868" s="14"/>
      <c r="Q868" s="14"/>
      <c r="R868" s="14"/>
      <c r="S868" s="14"/>
      <c r="T868" s="14"/>
      <c r="U868" s="14"/>
    </row>
    <row r="869">
      <c r="D869" s="114"/>
      <c r="E869" s="114"/>
      <c r="J869" s="14"/>
      <c r="K869" s="14"/>
      <c r="L869" s="14"/>
      <c r="M869" s="14"/>
      <c r="N869" s="14"/>
      <c r="O869" s="14"/>
      <c r="P869" s="14"/>
      <c r="Q869" s="14"/>
      <c r="R869" s="14"/>
      <c r="S869" s="14"/>
      <c r="T869" s="14"/>
      <c r="U869" s="14"/>
    </row>
    <row r="870">
      <c r="D870" s="114"/>
      <c r="E870" s="114"/>
      <c r="J870" s="14"/>
      <c r="K870" s="14"/>
      <c r="L870" s="14"/>
      <c r="M870" s="14"/>
      <c r="N870" s="14"/>
      <c r="O870" s="14"/>
      <c r="P870" s="14"/>
      <c r="Q870" s="14"/>
      <c r="R870" s="14"/>
      <c r="S870" s="14"/>
      <c r="T870" s="14"/>
      <c r="U870" s="14"/>
    </row>
    <row r="871">
      <c r="D871" s="114"/>
      <c r="E871" s="114"/>
      <c r="J871" s="14"/>
      <c r="K871" s="14"/>
      <c r="L871" s="14"/>
      <c r="M871" s="14"/>
      <c r="N871" s="14"/>
      <c r="O871" s="14"/>
      <c r="P871" s="14"/>
      <c r="Q871" s="14"/>
      <c r="R871" s="14"/>
      <c r="S871" s="14"/>
      <c r="T871" s="14"/>
      <c r="U871" s="14"/>
    </row>
    <row r="872">
      <c r="D872" s="114"/>
      <c r="E872" s="114"/>
      <c r="J872" s="14"/>
      <c r="K872" s="14"/>
      <c r="L872" s="14"/>
      <c r="M872" s="14"/>
      <c r="N872" s="14"/>
      <c r="O872" s="14"/>
      <c r="P872" s="14"/>
      <c r="Q872" s="14"/>
      <c r="R872" s="14"/>
      <c r="S872" s="14"/>
      <c r="T872" s="14"/>
      <c r="U872" s="14"/>
    </row>
    <row r="873">
      <c r="D873" s="114"/>
      <c r="E873" s="114"/>
      <c r="J873" s="14"/>
      <c r="K873" s="14"/>
      <c r="L873" s="14"/>
      <c r="M873" s="14"/>
      <c r="N873" s="14"/>
      <c r="O873" s="14"/>
      <c r="P873" s="14"/>
      <c r="Q873" s="14"/>
      <c r="R873" s="14"/>
      <c r="S873" s="14"/>
      <c r="T873" s="14"/>
      <c r="U873" s="14"/>
    </row>
    <row r="874">
      <c r="D874" s="114"/>
      <c r="E874" s="114"/>
      <c r="J874" s="14"/>
      <c r="K874" s="14"/>
      <c r="L874" s="14"/>
      <c r="M874" s="14"/>
      <c r="N874" s="14"/>
      <c r="O874" s="14"/>
      <c r="P874" s="14"/>
      <c r="Q874" s="14"/>
      <c r="R874" s="14"/>
      <c r="S874" s="14"/>
      <c r="T874" s="14"/>
      <c r="U874" s="14"/>
    </row>
    <row r="875">
      <c r="D875" s="114"/>
      <c r="E875" s="114"/>
      <c r="J875" s="14"/>
      <c r="K875" s="14"/>
      <c r="L875" s="14"/>
      <c r="M875" s="14"/>
      <c r="N875" s="14"/>
      <c r="O875" s="14"/>
      <c r="P875" s="14"/>
      <c r="Q875" s="14"/>
      <c r="R875" s="14"/>
      <c r="S875" s="14"/>
      <c r="T875" s="14"/>
      <c r="U875" s="14"/>
    </row>
    <row r="876">
      <c r="D876" s="114"/>
      <c r="E876" s="114"/>
      <c r="J876" s="14"/>
      <c r="K876" s="14"/>
      <c r="L876" s="14"/>
      <c r="M876" s="14"/>
      <c r="N876" s="14"/>
      <c r="O876" s="14"/>
      <c r="P876" s="14"/>
      <c r="Q876" s="14"/>
      <c r="R876" s="14"/>
      <c r="S876" s="14"/>
      <c r="T876" s="14"/>
      <c r="U876" s="14"/>
    </row>
    <row r="877">
      <c r="D877" s="114"/>
      <c r="E877" s="114"/>
      <c r="J877" s="14"/>
      <c r="K877" s="14"/>
      <c r="L877" s="14"/>
      <c r="M877" s="14"/>
      <c r="N877" s="14"/>
      <c r="O877" s="14"/>
      <c r="P877" s="14"/>
      <c r="Q877" s="14"/>
      <c r="R877" s="14"/>
      <c r="S877" s="14"/>
      <c r="T877" s="14"/>
      <c r="U877" s="14"/>
    </row>
    <row r="878">
      <c r="D878" s="114"/>
      <c r="E878" s="114"/>
      <c r="J878" s="14"/>
      <c r="K878" s="14"/>
      <c r="L878" s="14"/>
      <c r="M878" s="14"/>
      <c r="N878" s="14"/>
      <c r="O878" s="14"/>
      <c r="P878" s="14"/>
      <c r="Q878" s="14"/>
      <c r="R878" s="14"/>
      <c r="S878" s="14"/>
      <c r="T878" s="14"/>
      <c r="U878" s="14"/>
    </row>
    <row r="879">
      <c r="D879" s="114"/>
      <c r="E879" s="114"/>
      <c r="J879" s="14"/>
      <c r="K879" s="14"/>
      <c r="L879" s="14"/>
      <c r="M879" s="14"/>
      <c r="N879" s="14"/>
      <c r="O879" s="14"/>
      <c r="P879" s="14"/>
      <c r="Q879" s="14"/>
      <c r="R879" s="14"/>
      <c r="S879" s="14"/>
      <c r="T879" s="14"/>
      <c r="U879" s="14"/>
    </row>
    <row r="880">
      <c r="D880" s="114"/>
      <c r="E880" s="114"/>
      <c r="J880" s="14"/>
      <c r="K880" s="14"/>
      <c r="L880" s="14"/>
      <c r="M880" s="14"/>
      <c r="N880" s="14"/>
      <c r="O880" s="14"/>
      <c r="P880" s="14"/>
      <c r="Q880" s="14"/>
      <c r="R880" s="14"/>
      <c r="S880" s="14"/>
      <c r="T880" s="14"/>
      <c r="U880" s="14"/>
    </row>
    <row r="881">
      <c r="D881" s="114"/>
      <c r="E881" s="114"/>
      <c r="J881" s="14"/>
      <c r="K881" s="14"/>
      <c r="L881" s="14"/>
      <c r="M881" s="14"/>
      <c r="N881" s="14"/>
      <c r="O881" s="14"/>
      <c r="P881" s="14"/>
      <c r="Q881" s="14"/>
      <c r="R881" s="14"/>
      <c r="S881" s="14"/>
      <c r="T881" s="14"/>
      <c r="U881" s="14"/>
    </row>
    <row r="882">
      <c r="D882" s="114"/>
      <c r="E882" s="114"/>
      <c r="J882" s="14"/>
      <c r="K882" s="14"/>
      <c r="L882" s="14"/>
      <c r="M882" s="14"/>
      <c r="N882" s="14"/>
      <c r="O882" s="14"/>
      <c r="P882" s="14"/>
      <c r="Q882" s="14"/>
      <c r="R882" s="14"/>
      <c r="S882" s="14"/>
      <c r="T882" s="14"/>
      <c r="U882" s="14"/>
    </row>
    <row r="883">
      <c r="D883" s="114"/>
      <c r="E883" s="114"/>
      <c r="J883" s="14"/>
      <c r="K883" s="14"/>
      <c r="L883" s="14"/>
      <c r="M883" s="14"/>
      <c r="N883" s="14"/>
      <c r="O883" s="14"/>
      <c r="P883" s="14"/>
      <c r="Q883" s="14"/>
      <c r="R883" s="14"/>
      <c r="S883" s="14"/>
      <c r="T883" s="14"/>
      <c r="U883" s="14"/>
    </row>
    <row r="884">
      <c r="D884" s="114"/>
      <c r="E884" s="114"/>
      <c r="J884" s="14"/>
      <c r="K884" s="14"/>
      <c r="L884" s="14"/>
      <c r="M884" s="14"/>
      <c r="N884" s="14"/>
      <c r="O884" s="14"/>
      <c r="P884" s="14"/>
      <c r="Q884" s="14"/>
      <c r="R884" s="14"/>
      <c r="S884" s="14"/>
      <c r="T884" s="14"/>
      <c r="U884" s="14"/>
    </row>
    <row r="885">
      <c r="D885" s="114"/>
      <c r="E885" s="114"/>
      <c r="J885" s="14"/>
      <c r="K885" s="14"/>
      <c r="L885" s="14"/>
      <c r="M885" s="14"/>
      <c r="N885" s="14"/>
      <c r="O885" s="14"/>
      <c r="P885" s="14"/>
      <c r="Q885" s="14"/>
      <c r="R885" s="14"/>
      <c r="S885" s="14"/>
      <c r="T885" s="14"/>
      <c r="U885" s="14"/>
    </row>
    <row r="886">
      <c r="D886" s="114"/>
      <c r="E886" s="114"/>
      <c r="J886" s="14"/>
      <c r="K886" s="14"/>
      <c r="L886" s="14"/>
      <c r="M886" s="14"/>
      <c r="N886" s="14"/>
      <c r="O886" s="14"/>
      <c r="P886" s="14"/>
      <c r="Q886" s="14"/>
      <c r="R886" s="14"/>
      <c r="S886" s="14"/>
      <c r="T886" s="14"/>
      <c r="U886" s="14"/>
    </row>
    <row r="887">
      <c r="D887" s="114"/>
      <c r="E887" s="114"/>
      <c r="J887" s="14"/>
      <c r="K887" s="14"/>
      <c r="L887" s="14"/>
      <c r="M887" s="14"/>
      <c r="N887" s="14"/>
      <c r="O887" s="14"/>
      <c r="P887" s="14"/>
      <c r="Q887" s="14"/>
      <c r="R887" s="14"/>
      <c r="S887" s="14"/>
      <c r="T887" s="14"/>
      <c r="U887" s="14"/>
    </row>
    <row r="888">
      <c r="D888" s="114"/>
      <c r="E888" s="114"/>
      <c r="J888" s="14"/>
      <c r="K888" s="14"/>
      <c r="L888" s="14"/>
      <c r="M888" s="14"/>
      <c r="N888" s="14"/>
      <c r="O888" s="14"/>
      <c r="P888" s="14"/>
      <c r="Q888" s="14"/>
      <c r="R888" s="14"/>
      <c r="S888" s="14"/>
      <c r="T888" s="14"/>
      <c r="U888" s="14"/>
    </row>
    <row r="889">
      <c r="D889" s="114"/>
      <c r="E889" s="114"/>
      <c r="J889" s="14"/>
      <c r="K889" s="14"/>
      <c r="L889" s="14"/>
      <c r="M889" s="14"/>
      <c r="N889" s="14"/>
      <c r="O889" s="14"/>
      <c r="P889" s="14"/>
      <c r="Q889" s="14"/>
      <c r="R889" s="14"/>
      <c r="S889" s="14"/>
      <c r="T889" s="14"/>
      <c r="U889" s="14"/>
    </row>
    <row r="890">
      <c r="D890" s="114"/>
      <c r="E890" s="114"/>
      <c r="J890" s="14"/>
      <c r="K890" s="14"/>
      <c r="L890" s="14"/>
      <c r="M890" s="14"/>
      <c r="N890" s="14"/>
      <c r="O890" s="14"/>
      <c r="P890" s="14"/>
      <c r="Q890" s="14"/>
      <c r="R890" s="14"/>
      <c r="S890" s="14"/>
      <c r="T890" s="14"/>
      <c r="U890" s="14"/>
    </row>
    <row r="891">
      <c r="D891" s="114"/>
      <c r="E891" s="114"/>
      <c r="J891" s="14"/>
      <c r="K891" s="14"/>
      <c r="L891" s="14"/>
      <c r="M891" s="14"/>
      <c r="N891" s="14"/>
      <c r="O891" s="14"/>
      <c r="P891" s="14"/>
      <c r="Q891" s="14"/>
      <c r="R891" s="14"/>
      <c r="S891" s="14"/>
      <c r="T891" s="14"/>
      <c r="U891" s="14"/>
    </row>
    <row r="892">
      <c r="D892" s="114"/>
      <c r="E892" s="114"/>
      <c r="J892" s="14"/>
      <c r="K892" s="14"/>
      <c r="L892" s="14"/>
      <c r="M892" s="14"/>
      <c r="N892" s="14"/>
      <c r="O892" s="14"/>
      <c r="P892" s="14"/>
      <c r="Q892" s="14"/>
      <c r="R892" s="14"/>
      <c r="S892" s="14"/>
      <c r="T892" s="14"/>
      <c r="U892" s="14"/>
    </row>
    <row r="893">
      <c r="D893" s="114"/>
      <c r="E893" s="114"/>
      <c r="J893" s="14"/>
      <c r="K893" s="14"/>
      <c r="L893" s="14"/>
      <c r="M893" s="14"/>
      <c r="N893" s="14"/>
      <c r="O893" s="14"/>
      <c r="P893" s="14"/>
      <c r="Q893" s="14"/>
      <c r="R893" s="14"/>
      <c r="S893" s="14"/>
      <c r="T893" s="14"/>
      <c r="U893" s="14"/>
    </row>
    <row r="894">
      <c r="D894" s="114"/>
      <c r="E894" s="114"/>
      <c r="J894" s="14"/>
      <c r="K894" s="14"/>
      <c r="L894" s="14"/>
      <c r="M894" s="14"/>
      <c r="N894" s="14"/>
      <c r="O894" s="14"/>
      <c r="P894" s="14"/>
      <c r="Q894" s="14"/>
      <c r="R894" s="14"/>
      <c r="S894" s="14"/>
      <c r="T894" s="14"/>
      <c r="U894" s="14"/>
    </row>
    <row r="895">
      <c r="D895" s="114"/>
      <c r="E895" s="114"/>
      <c r="J895" s="14"/>
      <c r="K895" s="14"/>
      <c r="L895" s="14"/>
      <c r="M895" s="14"/>
      <c r="N895" s="14"/>
      <c r="O895" s="14"/>
      <c r="P895" s="14"/>
      <c r="Q895" s="14"/>
      <c r="R895" s="14"/>
      <c r="S895" s="14"/>
      <c r="T895" s="14"/>
      <c r="U895" s="14"/>
    </row>
    <row r="896">
      <c r="D896" s="114"/>
      <c r="E896" s="114"/>
      <c r="J896" s="14"/>
      <c r="K896" s="14"/>
      <c r="L896" s="14"/>
      <c r="M896" s="14"/>
      <c r="N896" s="14"/>
      <c r="O896" s="14"/>
      <c r="P896" s="14"/>
      <c r="Q896" s="14"/>
      <c r="R896" s="14"/>
      <c r="S896" s="14"/>
      <c r="T896" s="14"/>
      <c r="U896" s="14"/>
    </row>
    <row r="897">
      <c r="D897" s="114"/>
      <c r="E897" s="114"/>
      <c r="J897" s="14"/>
      <c r="K897" s="14"/>
      <c r="L897" s="14"/>
      <c r="M897" s="14"/>
      <c r="N897" s="14"/>
      <c r="O897" s="14"/>
      <c r="P897" s="14"/>
      <c r="Q897" s="14"/>
      <c r="R897" s="14"/>
      <c r="S897" s="14"/>
      <c r="T897" s="14"/>
      <c r="U897" s="14"/>
    </row>
    <row r="898">
      <c r="D898" s="114"/>
      <c r="E898" s="114"/>
      <c r="J898" s="14"/>
      <c r="K898" s="14"/>
      <c r="L898" s="14"/>
      <c r="M898" s="14"/>
      <c r="N898" s="14"/>
      <c r="O898" s="14"/>
      <c r="P898" s="14"/>
      <c r="Q898" s="14"/>
      <c r="R898" s="14"/>
      <c r="S898" s="14"/>
      <c r="T898" s="14"/>
      <c r="U898" s="14"/>
    </row>
    <row r="899">
      <c r="D899" s="114"/>
      <c r="E899" s="114"/>
      <c r="J899" s="14"/>
      <c r="K899" s="14"/>
      <c r="L899" s="14"/>
      <c r="M899" s="14"/>
      <c r="N899" s="14"/>
      <c r="O899" s="14"/>
      <c r="P899" s="14"/>
      <c r="Q899" s="14"/>
      <c r="R899" s="14"/>
      <c r="S899" s="14"/>
      <c r="T899" s="14"/>
      <c r="U899" s="14"/>
    </row>
    <row r="900">
      <c r="D900" s="114"/>
      <c r="E900" s="114"/>
      <c r="J900" s="14"/>
      <c r="K900" s="14"/>
      <c r="L900" s="14"/>
      <c r="M900" s="14"/>
      <c r="N900" s="14"/>
      <c r="O900" s="14"/>
      <c r="P900" s="14"/>
      <c r="Q900" s="14"/>
      <c r="R900" s="14"/>
      <c r="S900" s="14"/>
      <c r="T900" s="14"/>
      <c r="U900" s="14"/>
    </row>
    <row r="901">
      <c r="D901" s="114"/>
      <c r="E901" s="114"/>
      <c r="J901" s="14"/>
      <c r="K901" s="14"/>
      <c r="L901" s="14"/>
      <c r="M901" s="14"/>
      <c r="N901" s="14"/>
      <c r="O901" s="14"/>
      <c r="P901" s="14"/>
      <c r="Q901" s="14"/>
      <c r="R901" s="14"/>
      <c r="S901" s="14"/>
      <c r="T901" s="14"/>
      <c r="U901" s="14"/>
    </row>
    <row r="902">
      <c r="D902" s="114"/>
      <c r="E902" s="114"/>
      <c r="J902" s="14"/>
      <c r="K902" s="14"/>
      <c r="L902" s="14"/>
      <c r="M902" s="14"/>
      <c r="N902" s="14"/>
      <c r="O902" s="14"/>
      <c r="P902" s="14"/>
      <c r="Q902" s="14"/>
      <c r="R902" s="14"/>
      <c r="S902" s="14"/>
      <c r="T902" s="14"/>
      <c r="U902" s="14"/>
    </row>
    <row r="903">
      <c r="D903" s="114"/>
      <c r="E903" s="114"/>
      <c r="J903" s="14"/>
      <c r="K903" s="14"/>
      <c r="L903" s="14"/>
      <c r="M903" s="14"/>
      <c r="N903" s="14"/>
      <c r="O903" s="14"/>
      <c r="P903" s="14"/>
      <c r="Q903" s="14"/>
      <c r="R903" s="14"/>
      <c r="S903" s="14"/>
      <c r="T903" s="14"/>
      <c r="U903" s="14"/>
    </row>
    <row r="904">
      <c r="D904" s="114"/>
      <c r="E904" s="114"/>
      <c r="J904" s="14"/>
      <c r="K904" s="14"/>
      <c r="L904" s="14"/>
      <c r="M904" s="14"/>
      <c r="N904" s="14"/>
      <c r="O904" s="14"/>
      <c r="P904" s="14"/>
      <c r="Q904" s="14"/>
      <c r="R904" s="14"/>
      <c r="S904" s="14"/>
      <c r="T904" s="14"/>
      <c r="U904" s="14"/>
    </row>
    <row r="905">
      <c r="D905" s="114"/>
      <c r="E905" s="114"/>
      <c r="J905" s="14"/>
      <c r="K905" s="14"/>
      <c r="L905" s="14"/>
      <c r="M905" s="14"/>
      <c r="N905" s="14"/>
      <c r="O905" s="14"/>
      <c r="P905" s="14"/>
      <c r="Q905" s="14"/>
      <c r="R905" s="14"/>
      <c r="S905" s="14"/>
      <c r="T905" s="14"/>
      <c r="U905" s="14"/>
    </row>
    <row r="906">
      <c r="D906" s="114"/>
      <c r="E906" s="114"/>
      <c r="J906" s="14"/>
      <c r="K906" s="14"/>
      <c r="L906" s="14"/>
      <c r="M906" s="14"/>
      <c r="N906" s="14"/>
      <c r="O906" s="14"/>
      <c r="P906" s="14"/>
      <c r="Q906" s="14"/>
      <c r="R906" s="14"/>
      <c r="S906" s="14"/>
      <c r="T906" s="14"/>
      <c r="U906" s="14"/>
    </row>
    <row r="907">
      <c r="D907" s="114"/>
      <c r="E907" s="114"/>
      <c r="J907" s="14"/>
      <c r="K907" s="14"/>
      <c r="L907" s="14"/>
      <c r="M907" s="14"/>
      <c r="N907" s="14"/>
      <c r="O907" s="14"/>
      <c r="P907" s="14"/>
      <c r="Q907" s="14"/>
      <c r="R907" s="14"/>
      <c r="S907" s="14"/>
      <c r="T907" s="14"/>
      <c r="U907" s="14"/>
    </row>
    <row r="908">
      <c r="D908" s="114"/>
      <c r="E908" s="114"/>
      <c r="J908" s="14"/>
      <c r="K908" s="14"/>
      <c r="L908" s="14"/>
      <c r="M908" s="14"/>
      <c r="N908" s="14"/>
      <c r="O908" s="14"/>
      <c r="P908" s="14"/>
      <c r="Q908" s="14"/>
      <c r="R908" s="14"/>
      <c r="S908" s="14"/>
      <c r="T908" s="14"/>
      <c r="U908" s="14"/>
    </row>
    <row r="909">
      <c r="D909" s="114"/>
      <c r="E909" s="114"/>
      <c r="J909" s="14"/>
      <c r="K909" s="14"/>
      <c r="L909" s="14"/>
      <c r="M909" s="14"/>
      <c r="N909" s="14"/>
      <c r="O909" s="14"/>
      <c r="P909" s="14"/>
      <c r="Q909" s="14"/>
      <c r="R909" s="14"/>
      <c r="S909" s="14"/>
      <c r="T909" s="14"/>
      <c r="U909" s="14"/>
    </row>
    <row r="910">
      <c r="D910" s="114"/>
      <c r="E910" s="114"/>
      <c r="J910" s="14"/>
      <c r="K910" s="14"/>
      <c r="L910" s="14"/>
      <c r="M910" s="14"/>
      <c r="N910" s="14"/>
      <c r="O910" s="14"/>
      <c r="P910" s="14"/>
      <c r="Q910" s="14"/>
      <c r="R910" s="14"/>
      <c r="S910" s="14"/>
      <c r="T910" s="14"/>
      <c r="U910" s="14"/>
    </row>
    <row r="911">
      <c r="D911" s="114"/>
      <c r="E911" s="114"/>
      <c r="J911" s="14"/>
      <c r="K911" s="14"/>
      <c r="L911" s="14"/>
      <c r="M911" s="14"/>
      <c r="N911" s="14"/>
      <c r="O911" s="14"/>
      <c r="P911" s="14"/>
      <c r="Q911" s="14"/>
      <c r="R911" s="14"/>
      <c r="S911" s="14"/>
      <c r="T911" s="14"/>
      <c r="U911" s="14"/>
    </row>
    <row r="912">
      <c r="D912" s="114"/>
      <c r="E912" s="114"/>
      <c r="J912" s="14"/>
      <c r="K912" s="14"/>
      <c r="L912" s="14"/>
      <c r="M912" s="14"/>
      <c r="N912" s="14"/>
      <c r="O912" s="14"/>
      <c r="P912" s="14"/>
      <c r="Q912" s="14"/>
      <c r="R912" s="14"/>
      <c r="S912" s="14"/>
      <c r="T912" s="14"/>
      <c r="U912" s="14"/>
    </row>
    <row r="913">
      <c r="D913" s="114"/>
      <c r="E913" s="114"/>
      <c r="J913" s="14"/>
      <c r="K913" s="14"/>
      <c r="L913" s="14"/>
      <c r="M913" s="14"/>
      <c r="N913" s="14"/>
      <c r="O913" s="14"/>
      <c r="P913" s="14"/>
      <c r="Q913" s="14"/>
      <c r="R913" s="14"/>
      <c r="S913" s="14"/>
      <c r="T913" s="14"/>
      <c r="U913" s="14"/>
    </row>
    <row r="914">
      <c r="D914" s="114"/>
      <c r="E914" s="114"/>
      <c r="J914" s="14"/>
      <c r="K914" s="14"/>
      <c r="L914" s="14"/>
      <c r="M914" s="14"/>
      <c r="N914" s="14"/>
      <c r="O914" s="14"/>
      <c r="P914" s="14"/>
      <c r="Q914" s="14"/>
      <c r="R914" s="14"/>
      <c r="S914" s="14"/>
      <c r="T914" s="14"/>
      <c r="U914" s="14"/>
    </row>
    <row r="915">
      <c r="D915" s="114"/>
      <c r="E915" s="114"/>
      <c r="J915" s="14"/>
      <c r="K915" s="14"/>
      <c r="L915" s="14"/>
      <c r="M915" s="14"/>
      <c r="N915" s="14"/>
      <c r="O915" s="14"/>
      <c r="P915" s="14"/>
      <c r="Q915" s="14"/>
      <c r="R915" s="14"/>
      <c r="S915" s="14"/>
      <c r="T915" s="14"/>
      <c r="U915" s="14"/>
    </row>
    <row r="916">
      <c r="D916" s="114"/>
      <c r="E916" s="114"/>
      <c r="J916" s="14"/>
      <c r="K916" s="14"/>
      <c r="L916" s="14"/>
      <c r="M916" s="14"/>
      <c r="N916" s="14"/>
      <c r="O916" s="14"/>
      <c r="P916" s="14"/>
      <c r="Q916" s="14"/>
      <c r="R916" s="14"/>
      <c r="S916" s="14"/>
      <c r="T916" s="14"/>
      <c r="U916" s="14"/>
    </row>
    <row r="917">
      <c r="D917" s="114"/>
      <c r="E917" s="114"/>
      <c r="J917" s="14"/>
      <c r="K917" s="14"/>
      <c r="L917" s="14"/>
      <c r="M917" s="14"/>
      <c r="N917" s="14"/>
      <c r="O917" s="14"/>
      <c r="P917" s="14"/>
      <c r="Q917" s="14"/>
      <c r="R917" s="14"/>
      <c r="S917" s="14"/>
      <c r="T917" s="14"/>
      <c r="U917" s="14"/>
    </row>
    <row r="918">
      <c r="D918" s="114"/>
      <c r="E918" s="114"/>
      <c r="J918" s="14"/>
      <c r="K918" s="14"/>
      <c r="L918" s="14"/>
      <c r="M918" s="14"/>
      <c r="N918" s="14"/>
      <c r="O918" s="14"/>
      <c r="P918" s="14"/>
      <c r="Q918" s="14"/>
      <c r="R918" s="14"/>
      <c r="S918" s="14"/>
      <c r="T918" s="14"/>
      <c r="U918" s="14"/>
    </row>
    <row r="919">
      <c r="D919" s="114"/>
      <c r="E919" s="114"/>
      <c r="J919" s="14"/>
      <c r="K919" s="14"/>
      <c r="L919" s="14"/>
      <c r="M919" s="14"/>
      <c r="N919" s="14"/>
      <c r="O919" s="14"/>
      <c r="P919" s="14"/>
      <c r="Q919" s="14"/>
      <c r="R919" s="14"/>
      <c r="S919" s="14"/>
      <c r="T919" s="14"/>
      <c r="U919" s="14"/>
    </row>
    <row r="920">
      <c r="D920" s="114"/>
      <c r="E920" s="114"/>
      <c r="J920" s="14"/>
      <c r="K920" s="14"/>
      <c r="L920" s="14"/>
      <c r="M920" s="14"/>
      <c r="N920" s="14"/>
      <c r="O920" s="14"/>
      <c r="P920" s="14"/>
      <c r="Q920" s="14"/>
      <c r="R920" s="14"/>
      <c r="S920" s="14"/>
      <c r="T920" s="14"/>
      <c r="U920" s="14"/>
    </row>
    <row r="921">
      <c r="D921" s="114"/>
      <c r="E921" s="114"/>
      <c r="J921" s="14"/>
      <c r="K921" s="14"/>
      <c r="L921" s="14"/>
      <c r="M921" s="14"/>
      <c r="N921" s="14"/>
      <c r="O921" s="14"/>
      <c r="P921" s="14"/>
      <c r="Q921" s="14"/>
      <c r="R921" s="14"/>
      <c r="S921" s="14"/>
      <c r="T921" s="14"/>
      <c r="U921" s="14"/>
    </row>
    <row r="922">
      <c r="D922" s="114"/>
      <c r="E922" s="114"/>
      <c r="J922" s="14"/>
      <c r="K922" s="14"/>
      <c r="L922" s="14"/>
      <c r="M922" s="14"/>
      <c r="N922" s="14"/>
      <c r="O922" s="14"/>
      <c r="P922" s="14"/>
      <c r="Q922" s="14"/>
      <c r="R922" s="14"/>
      <c r="S922" s="14"/>
      <c r="T922" s="14"/>
      <c r="U922" s="14"/>
    </row>
    <row r="923">
      <c r="D923" s="114"/>
      <c r="E923" s="114"/>
      <c r="J923" s="14"/>
      <c r="K923" s="14"/>
      <c r="L923" s="14"/>
      <c r="M923" s="14"/>
      <c r="N923" s="14"/>
      <c r="O923" s="14"/>
      <c r="P923" s="14"/>
      <c r="Q923" s="14"/>
      <c r="R923" s="14"/>
      <c r="S923" s="14"/>
      <c r="T923" s="14"/>
      <c r="U923" s="14"/>
    </row>
    <row r="924">
      <c r="D924" s="114"/>
      <c r="E924" s="114"/>
      <c r="J924" s="14"/>
      <c r="K924" s="14"/>
      <c r="L924" s="14"/>
      <c r="M924" s="14"/>
      <c r="N924" s="14"/>
      <c r="O924" s="14"/>
      <c r="P924" s="14"/>
      <c r="Q924" s="14"/>
      <c r="R924" s="14"/>
      <c r="S924" s="14"/>
      <c r="T924" s="14"/>
      <c r="U924" s="14"/>
    </row>
    <row r="925">
      <c r="D925" s="114"/>
      <c r="E925" s="114"/>
      <c r="J925" s="14"/>
      <c r="K925" s="14"/>
      <c r="L925" s="14"/>
      <c r="M925" s="14"/>
      <c r="N925" s="14"/>
      <c r="O925" s="14"/>
      <c r="P925" s="14"/>
      <c r="Q925" s="14"/>
      <c r="R925" s="14"/>
      <c r="S925" s="14"/>
      <c r="T925" s="14"/>
      <c r="U925" s="14"/>
    </row>
    <row r="926">
      <c r="D926" s="114"/>
      <c r="E926" s="114"/>
      <c r="J926" s="14"/>
      <c r="K926" s="14"/>
      <c r="L926" s="14"/>
      <c r="M926" s="14"/>
      <c r="N926" s="14"/>
      <c r="O926" s="14"/>
      <c r="P926" s="14"/>
      <c r="Q926" s="14"/>
      <c r="R926" s="14"/>
      <c r="S926" s="14"/>
      <c r="T926" s="14"/>
      <c r="U926" s="14"/>
    </row>
    <row r="927">
      <c r="D927" s="114"/>
      <c r="E927" s="114"/>
      <c r="J927" s="14"/>
      <c r="K927" s="14"/>
      <c r="L927" s="14"/>
      <c r="M927" s="14"/>
      <c r="N927" s="14"/>
      <c r="O927" s="14"/>
      <c r="P927" s="14"/>
      <c r="Q927" s="14"/>
      <c r="R927" s="14"/>
      <c r="S927" s="14"/>
      <c r="T927" s="14"/>
      <c r="U927" s="14"/>
    </row>
    <row r="928">
      <c r="D928" s="114"/>
      <c r="E928" s="114"/>
      <c r="J928" s="14"/>
      <c r="K928" s="14"/>
      <c r="L928" s="14"/>
      <c r="M928" s="14"/>
      <c r="N928" s="14"/>
      <c r="O928" s="14"/>
      <c r="P928" s="14"/>
      <c r="Q928" s="14"/>
      <c r="R928" s="14"/>
      <c r="S928" s="14"/>
      <c r="T928" s="14"/>
      <c r="U928" s="14"/>
    </row>
    <row r="929">
      <c r="D929" s="114"/>
      <c r="E929" s="114"/>
      <c r="J929" s="14"/>
      <c r="K929" s="14"/>
      <c r="L929" s="14"/>
      <c r="M929" s="14"/>
      <c r="N929" s="14"/>
      <c r="O929" s="14"/>
      <c r="P929" s="14"/>
      <c r="Q929" s="14"/>
      <c r="R929" s="14"/>
      <c r="S929" s="14"/>
      <c r="T929" s="14"/>
      <c r="U929" s="14"/>
    </row>
    <row r="930">
      <c r="D930" s="114"/>
      <c r="E930" s="114"/>
      <c r="J930" s="14"/>
      <c r="K930" s="14"/>
      <c r="L930" s="14"/>
      <c r="M930" s="14"/>
      <c r="N930" s="14"/>
      <c r="O930" s="14"/>
      <c r="P930" s="14"/>
      <c r="Q930" s="14"/>
      <c r="R930" s="14"/>
      <c r="S930" s="14"/>
      <c r="T930" s="14"/>
      <c r="U930" s="14"/>
    </row>
    <row r="931">
      <c r="D931" s="114"/>
      <c r="E931" s="114"/>
      <c r="J931" s="14"/>
      <c r="K931" s="14"/>
      <c r="L931" s="14"/>
      <c r="M931" s="14"/>
      <c r="N931" s="14"/>
      <c r="O931" s="14"/>
      <c r="P931" s="14"/>
      <c r="Q931" s="14"/>
      <c r="R931" s="14"/>
      <c r="S931" s="14"/>
      <c r="T931" s="14"/>
      <c r="U931" s="14"/>
    </row>
    <row r="932">
      <c r="D932" s="114"/>
      <c r="E932" s="114"/>
      <c r="J932" s="14"/>
      <c r="K932" s="14"/>
      <c r="L932" s="14"/>
      <c r="M932" s="14"/>
      <c r="N932" s="14"/>
      <c r="O932" s="14"/>
      <c r="P932" s="14"/>
      <c r="Q932" s="14"/>
      <c r="R932" s="14"/>
      <c r="S932" s="14"/>
      <c r="T932" s="14"/>
      <c r="U932" s="14"/>
    </row>
    <row r="933">
      <c r="D933" s="114"/>
      <c r="E933" s="114"/>
      <c r="J933" s="14"/>
      <c r="K933" s="14"/>
      <c r="L933" s="14"/>
      <c r="M933" s="14"/>
      <c r="N933" s="14"/>
      <c r="O933" s="14"/>
      <c r="P933" s="14"/>
      <c r="Q933" s="14"/>
      <c r="R933" s="14"/>
      <c r="S933" s="14"/>
      <c r="T933" s="14"/>
      <c r="U933" s="14"/>
    </row>
    <row r="934">
      <c r="D934" s="114"/>
      <c r="E934" s="114"/>
      <c r="J934" s="14"/>
      <c r="K934" s="14"/>
      <c r="L934" s="14"/>
      <c r="M934" s="14"/>
      <c r="N934" s="14"/>
      <c r="O934" s="14"/>
      <c r="P934" s="14"/>
      <c r="Q934" s="14"/>
      <c r="R934" s="14"/>
      <c r="S934" s="14"/>
      <c r="T934" s="14"/>
      <c r="U934" s="14"/>
    </row>
    <row r="935">
      <c r="D935" s="114"/>
      <c r="E935" s="114"/>
      <c r="J935" s="14"/>
      <c r="K935" s="14"/>
      <c r="L935" s="14"/>
      <c r="M935" s="14"/>
      <c r="N935" s="14"/>
      <c r="O935" s="14"/>
      <c r="P935" s="14"/>
      <c r="Q935" s="14"/>
      <c r="R935" s="14"/>
      <c r="S935" s="14"/>
      <c r="T935" s="14"/>
      <c r="U935" s="14"/>
    </row>
    <row r="936">
      <c r="D936" s="114"/>
      <c r="E936" s="114"/>
      <c r="J936" s="14"/>
      <c r="K936" s="14"/>
      <c r="L936" s="14"/>
      <c r="M936" s="14"/>
      <c r="N936" s="14"/>
      <c r="O936" s="14"/>
      <c r="P936" s="14"/>
      <c r="Q936" s="14"/>
      <c r="R936" s="14"/>
      <c r="S936" s="14"/>
      <c r="T936" s="14"/>
      <c r="U936" s="14"/>
    </row>
    <row r="937">
      <c r="D937" s="114"/>
      <c r="E937" s="114"/>
      <c r="J937" s="14"/>
      <c r="K937" s="14"/>
      <c r="L937" s="14"/>
      <c r="M937" s="14"/>
      <c r="N937" s="14"/>
      <c r="O937" s="14"/>
      <c r="P937" s="14"/>
      <c r="Q937" s="14"/>
      <c r="R937" s="14"/>
      <c r="S937" s="14"/>
      <c r="T937" s="14"/>
      <c r="U937" s="14"/>
    </row>
    <row r="938">
      <c r="D938" s="114"/>
      <c r="E938" s="114"/>
      <c r="J938" s="14"/>
      <c r="K938" s="14"/>
      <c r="L938" s="14"/>
      <c r="M938" s="14"/>
      <c r="N938" s="14"/>
      <c r="O938" s="14"/>
      <c r="P938" s="14"/>
      <c r="Q938" s="14"/>
      <c r="R938" s="14"/>
      <c r="S938" s="14"/>
      <c r="T938" s="14"/>
      <c r="U938" s="14"/>
    </row>
    <row r="939">
      <c r="D939" s="114"/>
      <c r="E939" s="114"/>
      <c r="J939" s="14"/>
      <c r="K939" s="14"/>
      <c r="L939" s="14"/>
      <c r="M939" s="14"/>
      <c r="N939" s="14"/>
      <c r="O939" s="14"/>
      <c r="P939" s="14"/>
      <c r="Q939" s="14"/>
      <c r="R939" s="14"/>
      <c r="S939" s="14"/>
      <c r="T939" s="14"/>
      <c r="U939" s="14"/>
    </row>
    <row r="940">
      <c r="D940" s="114"/>
      <c r="E940" s="114"/>
      <c r="J940" s="14"/>
      <c r="K940" s="14"/>
      <c r="L940" s="14"/>
      <c r="M940" s="14"/>
      <c r="N940" s="14"/>
      <c r="O940" s="14"/>
      <c r="P940" s="14"/>
      <c r="Q940" s="14"/>
      <c r="R940" s="14"/>
      <c r="S940" s="14"/>
      <c r="T940" s="14"/>
      <c r="U940" s="14"/>
    </row>
    <row r="941">
      <c r="D941" s="114"/>
      <c r="E941" s="114"/>
      <c r="J941" s="14"/>
      <c r="K941" s="14"/>
      <c r="L941" s="14"/>
      <c r="M941" s="14"/>
      <c r="N941" s="14"/>
      <c r="O941" s="14"/>
      <c r="P941" s="14"/>
      <c r="Q941" s="14"/>
      <c r="R941" s="14"/>
      <c r="S941" s="14"/>
      <c r="T941" s="14"/>
      <c r="U941" s="14"/>
    </row>
    <row r="942">
      <c r="D942" s="114"/>
      <c r="E942" s="114"/>
      <c r="J942" s="14"/>
      <c r="K942" s="14"/>
      <c r="L942" s="14"/>
      <c r="M942" s="14"/>
      <c r="N942" s="14"/>
      <c r="O942" s="14"/>
      <c r="P942" s="14"/>
      <c r="Q942" s="14"/>
      <c r="R942" s="14"/>
      <c r="S942" s="14"/>
      <c r="T942" s="14"/>
      <c r="U942" s="14"/>
    </row>
    <row r="943">
      <c r="D943" s="114"/>
      <c r="E943" s="114"/>
      <c r="J943" s="14"/>
      <c r="K943" s="14"/>
      <c r="L943" s="14"/>
      <c r="M943" s="14"/>
      <c r="N943" s="14"/>
      <c r="O943" s="14"/>
      <c r="P943" s="14"/>
      <c r="Q943" s="14"/>
      <c r="R943" s="14"/>
      <c r="S943" s="14"/>
      <c r="T943" s="14"/>
      <c r="U943" s="14"/>
    </row>
    <row r="944">
      <c r="D944" s="114"/>
      <c r="E944" s="114"/>
      <c r="J944" s="14"/>
      <c r="K944" s="14"/>
      <c r="L944" s="14"/>
      <c r="M944" s="14"/>
      <c r="N944" s="14"/>
      <c r="O944" s="14"/>
      <c r="P944" s="14"/>
      <c r="Q944" s="14"/>
      <c r="R944" s="14"/>
      <c r="S944" s="14"/>
      <c r="T944" s="14"/>
      <c r="U944" s="14"/>
    </row>
    <row r="945">
      <c r="D945" s="114"/>
      <c r="E945" s="114"/>
      <c r="J945" s="14"/>
      <c r="K945" s="14"/>
      <c r="L945" s="14"/>
      <c r="M945" s="14"/>
      <c r="N945" s="14"/>
      <c r="O945" s="14"/>
      <c r="P945" s="14"/>
      <c r="Q945" s="14"/>
      <c r="R945" s="14"/>
      <c r="S945" s="14"/>
      <c r="T945" s="14"/>
      <c r="U945" s="14"/>
    </row>
    <row r="946">
      <c r="D946" s="114"/>
      <c r="E946" s="114"/>
      <c r="J946" s="14"/>
      <c r="K946" s="14"/>
      <c r="L946" s="14"/>
      <c r="M946" s="14"/>
      <c r="N946" s="14"/>
      <c r="O946" s="14"/>
      <c r="P946" s="14"/>
      <c r="Q946" s="14"/>
      <c r="R946" s="14"/>
      <c r="S946" s="14"/>
      <c r="T946" s="14"/>
      <c r="U946" s="14"/>
    </row>
    <row r="947">
      <c r="D947" s="114"/>
      <c r="E947" s="114"/>
      <c r="J947" s="14"/>
      <c r="K947" s="14"/>
      <c r="L947" s="14"/>
      <c r="M947" s="14"/>
      <c r="N947" s="14"/>
      <c r="O947" s="14"/>
      <c r="P947" s="14"/>
      <c r="Q947" s="14"/>
      <c r="R947" s="14"/>
      <c r="S947" s="14"/>
      <c r="T947" s="14"/>
      <c r="U947" s="14"/>
    </row>
    <row r="948">
      <c r="D948" s="114"/>
      <c r="E948" s="114"/>
      <c r="J948" s="14"/>
      <c r="K948" s="14"/>
      <c r="L948" s="14"/>
      <c r="M948" s="14"/>
      <c r="N948" s="14"/>
      <c r="O948" s="14"/>
      <c r="P948" s="14"/>
      <c r="Q948" s="14"/>
      <c r="R948" s="14"/>
      <c r="S948" s="14"/>
      <c r="T948" s="14"/>
      <c r="U948" s="14"/>
    </row>
    <row r="949">
      <c r="D949" s="114"/>
      <c r="E949" s="114"/>
      <c r="J949" s="14"/>
      <c r="K949" s="14"/>
      <c r="L949" s="14"/>
      <c r="M949" s="14"/>
      <c r="N949" s="14"/>
      <c r="O949" s="14"/>
      <c r="P949" s="14"/>
      <c r="Q949" s="14"/>
      <c r="R949" s="14"/>
      <c r="S949" s="14"/>
      <c r="T949" s="14"/>
      <c r="U949" s="14"/>
    </row>
    <row r="950">
      <c r="D950" s="114"/>
      <c r="E950" s="114"/>
      <c r="J950" s="14"/>
      <c r="K950" s="14"/>
      <c r="L950" s="14"/>
      <c r="M950" s="14"/>
      <c r="N950" s="14"/>
      <c r="O950" s="14"/>
      <c r="P950" s="14"/>
      <c r="Q950" s="14"/>
      <c r="R950" s="14"/>
      <c r="S950" s="14"/>
      <c r="T950" s="14"/>
      <c r="U950" s="14"/>
    </row>
    <row r="951">
      <c r="D951" s="114"/>
      <c r="E951" s="114"/>
      <c r="J951" s="14"/>
      <c r="K951" s="14"/>
      <c r="L951" s="14"/>
      <c r="M951" s="14"/>
      <c r="N951" s="14"/>
      <c r="O951" s="14"/>
      <c r="P951" s="14"/>
      <c r="Q951" s="14"/>
      <c r="R951" s="14"/>
      <c r="S951" s="14"/>
      <c r="T951" s="14"/>
      <c r="U951" s="14"/>
    </row>
    <row r="952">
      <c r="D952" s="114"/>
      <c r="E952" s="114"/>
      <c r="J952" s="14"/>
      <c r="K952" s="14"/>
      <c r="L952" s="14"/>
      <c r="M952" s="14"/>
      <c r="N952" s="14"/>
      <c r="O952" s="14"/>
      <c r="P952" s="14"/>
      <c r="Q952" s="14"/>
      <c r="R952" s="14"/>
      <c r="S952" s="14"/>
      <c r="T952" s="14"/>
      <c r="U952" s="14"/>
    </row>
    <row r="953">
      <c r="D953" s="114"/>
      <c r="E953" s="114"/>
      <c r="J953" s="14"/>
      <c r="K953" s="14"/>
      <c r="L953" s="14"/>
      <c r="M953" s="14"/>
      <c r="N953" s="14"/>
      <c r="O953" s="14"/>
      <c r="P953" s="14"/>
      <c r="Q953" s="14"/>
      <c r="R953" s="14"/>
      <c r="S953" s="14"/>
      <c r="T953" s="14"/>
      <c r="U953" s="14"/>
    </row>
    <row r="954">
      <c r="D954" s="114"/>
      <c r="E954" s="114"/>
      <c r="J954" s="14"/>
      <c r="K954" s="14"/>
      <c r="L954" s="14"/>
      <c r="M954" s="14"/>
      <c r="N954" s="14"/>
      <c r="O954" s="14"/>
      <c r="P954" s="14"/>
      <c r="Q954" s="14"/>
      <c r="R954" s="14"/>
      <c r="S954" s="14"/>
      <c r="T954" s="14"/>
      <c r="U954" s="14"/>
    </row>
    <row r="955">
      <c r="D955" s="114"/>
      <c r="E955" s="114"/>
      <c r="J955" s="14"/>
      <c r="K955" s="14"/>
      <c r="L955" s="14"/>
      <c r="M955" s="14"/>
      <c r="N955" s="14"/>
      <c r="O955" s="14"/>
      <c r="P955" s="14"/>
      <c r="Q955" s="14"/>
      <c r="R955" s="14"/>
      <c r="S955" s="14"/>
      <c r="T955" s="14"/>
      <c r="U955" s="14"/>
    </row>
    <row r="956">
      <c r="D956" s="114"/>
      <c r="E956" s="114"/>
      <c r="J956" s="14"/>
      <c r="K956" s="14"/>
      <c r="L956" s="14"/>
      <c r="M956" s="14"/>
      <c r="N956" s="14"/>
      <c r="O956" s="14"/>
      <c r="P956" s="14"/>
      <c r="Q956" s="14"/>
      <c r="R956" s="14"/>
      <c r="S956" s="14"/>
      <c r="T956" s="14"/>
      <c r="U956" s="14"/>
    </row>
    <row r="957">
      <c r="D957" s="114"/>
      <c r="E957" s="114"/>
      <c r="J957" s="14"/>
      <c r="K957" s="14"/>
      <c r="L957" s="14"/>
      <c r="M957" s="14"/>
      <c r="N957" s="14"/>
      <c r="O957" s="14"/>
      <c r="P957" s="14"/>
      <c r="Q957" s="14"/>
      <c r="R957" s="14"/>
      <c r="S957" s="14"/>
      <c r="T957" s="14"/>
      <c r="U957" s="14"/>
    </row>
    <row r="958">
      <c r="D958" s="114"/>
      <c r="E958" s="114"/>
      <c r="J958" s="14"/>
      <c r="K958" s="14"/>
      <c r="L958" s="14"/>
      <c r="M958" s="14"/>
      <c r="N958" s="14"/>
      <c r="O958" s="14"/>
      <c r="P958" s="14"/>
      <c r="Q958" s="14"/>
      <c r="R958" s="14"/>
      <c r="S958" s="14"/>
      <c r="T958" s="14"/>
      <c r="U958" s="14"/>
    </row>
    <row r="959">
      <c r="D959" s="114"/>
      <c r="E959" s="114"/>
      <c r="J959" s="14"/>
      <c r="K959" s="14"/>
      <c r="L959" s="14"/>
      <c r="M959" s="14"/>
      <c r="N959" s="14"/>
      <c r="O959" s="14"/>
      <c r="P959" s="14"/>
      <c r="Q959" s="14"/>
      <c r="R959" s="14"/>
      <c r="S959" s="14"/>
      <c r="T959" s="14"/>
      <c r="U959" s="14"/>
    </row>
    <row r="960">
      <c r="D960" s="114"/>
      <c r="E960" s="114"/>
      <c r="J960" s="14"/>
      <c r="K960" s="14"/>
      <c r="L960" s="14"/>
      <c r="M960" s="14"/>
      <c r="N960" s="14"/>
      <c r="O960" s="14"/>
      <c r="P960" s="14"/>
      <c r="Q960" s="14"/>
      <c r="R960" s="14"/>
      <c r="S960" s="14"/>
      <c r="T960" s="14"/>
      <c r="U960" s="14"/>
    </row>
    <row r="961">
      <c r="D961" s="114"/>
      <c r="E961" s="114"/>
      <c r="J961" s="14"/>
      <c r="K961" s="14"/>
      <c r="L961" s="14"/>
      <c r="M961" s="14"/>
      <c r="N961" s="14"/>
      <c r="O961" s="14"/>
      <c r="P961" s="14"/>
      <c r="Q961" s="14"/>
      <c r="R961" s="14"/>
      <c r="S961" s="14"/>
      <c r="T961" s="14"/>
      <c r="U961" s="14"/>
    </row>
    <row r="962">
      <c r="D962" s="114"/>
      <c r="E962" s="114"/>
      <c r="J962" s="14"/>
      <c r="K962" s="14"/>
      <c r="L962" s="14"/>
      <c r="M962" s="14"/>
      <c r="N962" s="14"/>
      <c r="O962" s="14"/>
      <c r="P962" s="14"/>
      <c r="Q962" s="14"/>
      <c r="R962" s="14"/>
      <c r="S962" s="14"/>
      <c r="T962" s="14"/>
      <c r="U962" s="14"/>
    </row>
    <row r="963">
      <c r="D963" s="114"/>
      <c r="E963" s="114"/>
      <c r="J963" s="14"/>
      <c r="K963" s="14"/>
      <c r="L963" s="14"/>
      <c r="M963" s="14"/>
      <c r="N963" s="14"/>
      <c r="O963" s="14"/>
      <c r="P963" s="14"/>
      <c r="Q963" s="14"/>
      <c r="R963" s="14"/>
      <c r="S963" s="14"/>
      <c r="T963" s="14"/>
      <c r="U963" s="14"/>
    </row>
    <row r="964">
      <c r="D964" s="114"/>
      <c r="E964" s="114"/>
      <c r="J964" s="14"/>
      <c r="K964" s="14"/>
      <c r="L964" s="14"/>
      <c r="M964" s="14"/>
      <c r="N964" s="14"/>
      <c r="O964" s="14"/>
      <c r="P964" s="14"/>
      <c r="Q964" s="14"/>
      <c r="R964" s="14"/>
      <c r="S964" s="14"/>
      <c r="T964" s="14"/>
      <c r="U964" s="14"/>
    </row>
    <row r="965">
      <c r="D965" s="114"/>
      <c r="E965" s="114"/>
      <c r="J965" s="14"/>
      <c r="K965" s="14"/>
      <c r="L965" s="14"/>
      <c r="M965" s="14"/>
      <c r="N965" s="14"/>
      <c r="O965" s="14"/>
      <c r="P965" s="14"/>
      <c r="Q965" s="14"/>
      <c r="R965" s="14"/>
      <c r="S965" s="14"/>
      <c r="T965" s="14"/>
      <c r="U965" s="14"/>
    </row>
    <row r="966">
      <c r="D966" s="114"/>
      <c r="E966" s="114"/>
      <c r="J966" s="14"/>
      <c r="K966" s="14"/>
      <c r="L966" s="14"/>
      <c r="M966" s="14"/>
      <c r="N966" s="14"/>
      <c r="O966" s="14"/>
      <c r="P966" s="14"/>
      <c r="Q966" s="14"/>
      <c r="R966" s="14"/>
      <c r="S966" s="14"/>
      <c r="T966" s="14"/>
      <c r="U966" s="14"/>
    </row>
    <row r="967">
      <c r="D967" s="114"/>
      <c r="E967" s="114"/>
      <c r="J967" s="14"/>
      <c r="K967" s="14"/>
      <c r="L967" s="14"/>
      <c r="M967" s="14"/>
      <c r="N967" s="14"/>
      <c r="O967" s="14"/>
      <c r="P967" s="14"/>
      <c r="Q967" s="14"/>
      <c r="R967" s="14"/>
      <c r="S967" s="14"/>
      <c r="T967" s="14"/>
      <c r="U967" s="14"/>
    </row>
    <row r="968">
      <c r="D968" s="114"/>
      <c r="E968" s="114"/>
      <c r="J968" s="14"/>
      <c r="K968" s="14"/>
      <c r="L968" s="14"/>
      <c r="M968" s="14"/>
      <c r="N968" s="14"/>
      <c r="O968" s="14"/>
      <c r="P968" s="14"/>
      <c r="Q968" s="14"/>
      <c r="R968" s="14"/>
      <c r="S968" s="14"/>
      <c r="T968" s="14"/>
      <c r="U968" s="14"/>
    </row>
    <row r="969">
      <c r="D969" s="114"/>
      <c r="E969" s="114"/>
      <c r="J969" s="14"/>
      <c r="K969" s="14"/>
      <c r="L969" s="14"/>
      <c r="M969" s="14"/>
      <c r="N969" s="14"/>
      <c r="O969" s="14"/>
      <c r="P969" s="14"/>
      <c r="Q969" s="14"/>
      <c r="R969" s="14"/>
      <c r="S969" s="14"/>
      <c r="T969" s="14"/>
      <c r="U969" s="14"/>
    </row>
    <row r="970">
      <c r="D970" s="114"/>
      <c r="E970" s="114"/>
      <c r="J970" s="14"/>
      <c r="K970" s="14"/>
      <c r="L970" s="14"/>
      <c r="M970" s="14"/>
      <c r="N970" s="14"/>
      <c r="O970" s="14"/>
      <c r="P970" s="14"/>
      <c r="Q970" s="14"/>
      <c r="R970" s="14"/>
      <c r="S970" s="14"/>
      <c r="T970" s="14"/>
      <c r="U970" s="14"/>
    </row>
    <row r="971">
      <c r="D971" s="114"/>
      <c r="E971" s="114"/>
      <c r="J971" s="14"/>
      <c r="K971" s="14"/>
      <c r="L971" s="14"/>
      <c r="M971" s="14"/>
      <c r="N971" s="14"/>
      <c r="O971" s="14"/>
      <c r="P971" s="14"/>
      <c r="Q971" s="14"/>
      <c r="R971" s="14"/>
      <c r="S971" s="14"/>
      <c r="T971" s="14"/>
      <c r="U971" s="14"/>
    </row>
    <row r="972">
      <c r="D972" s="114"/>
      <c r="E972" s="114"/>
      <c r="J972" s="14"/>
      <c r="K972" s="14"/>
      <c r="L972" s="14"/>
      <c r="M972" s="14"/>
      <c r="N972" s="14"/>
      <c r="O972" s="14"/>
      <c r="P972" s="14"/>
      <c r="Q972" s="14"/>
      <c r="R972" s="14"/>
      <c r="S972" s="14"/>
      <c r="T972" s="14"/>
      <c r="U972" s="14"/>
    </row>
    <row r="973">
      <c r="D973" s="114"/>
      <c r="E973" s="114"/>
      <c r="J973" s="14"/>
      <c r="K973" s="14"/>
      <c r="L973" s="14"/>
      <c r="M973" s="14"/>
      <c r="N973" s="14"/>
      <c r="O973" s="14"/>
      <c r="P973" s="14"/>
      <c r="Q973" s="14"/>
      <c r="R973" s="14"/>
      <c r="S973" s="14"/>
      <c r="T973" s="14"/>
      <c r="U973" s="14"/>
    </row>
    <row r="974">
      <c r="D974" s="114"/>
      <c r="E974" s="114"/>
      <c r="J974" s="14"/>
      <c r="K974" s="14"/>
      <c r="L974" s="14"/>
      <c r="M974" s="14"/>
      <c r="N974" s="14"/>
      <c r="O974" s="14"/>
      <c r="P974" s="14"/>
      <c r="Q974" s="14"/>
      <c r="R974" s="14"/>
      <c r="S974" s="14"/>
      <c r="T974" s="14"/>
      <c r="U974" s="14"/>
    </row>
    <row r="975">
      <c r="D975" s="114"/>
      <c r="E975" s="114"/>
      <c r="J975" s="14"/>
      <c r="K975" s="14"/>
      <c r="L975" s="14"/>
      <c r="M975" s="14"/>
      <c r="N975" s="14"/>
      <c r="O975" s="14"/>
      <c r="P975" s="14"/>
      <c r="Q975" s="14"/>
      <c r="R975" s="14"/>
      <c r="S975" s="14"/>
      <c r="T975" s="14"/>
      <c r="U975" s="14"/>
    </row>
    <row r="976">
      <c r="D976" s="114"/>
      <c r="E976" s="114"/>
      <c r="J976" s="14"/>
      <c r="K976" s="14"/>
      <c r="L976" s="14"/>
      <c r="M976" s="14"/>
      <c r="N976" s="14"/>
      <c r="O976" s="14"/>
      <c r="P976" s="14"/>
      <c r="Q976" s="14"/>
      <c r="R976" s="14"/>
      <c r="S976" s="14"/>
      <c r="T976" s="14"/>
      <c r="U976" s="14"/>
    </row>
    <row r="977">
      <c r="D977" s="114"/>
      <c r="E977" s="114"/>
      <c r="J977" s="14"/>
      <c r="K977" s="14"/>
      <c r="L977" s="14"/>
      <c r="M977" s="14"/>
      <c r="N977" s="14"/>
      <c r="O977" s="14"/>
      <c r="P977" s="14"/>
      <c r="Q977" s="14"/>
      <c r="R977" s="14"/>
      <c r="S977" s="14"/>
      <c r="T977" s="14"/>
      <c r="U977" s="14"/>
    </row>
    <row r="978">
      <c r="D978" s="114"/>
      <c r="E978" s="114"/>
      <c r="J978" s="14"/>
      <c r="K978" s="14"/>
      <c r="L978" s="14"/>
      <c r="M978" s="14"/>
      <c r="N978" s="14"/>
      <c r="O978" s="14"/>
      <c r="P978" s="14"/>
      <c r="Q978" s="14"/>
      <c r="R978" s="14"/>
      <c r="S978" s="14"/>
      <c r="T978" s="14"/>
      <c r="U978" s="14"/>
    </row>
    <row r="979">
      <c r="D979" s="114"/>
      <c r="E979" s="114"/>
      <c r="J979" s="14"/>
      <c r="K979" s="14"/>
      <c r="L979" s="14"/>
      <c r="M979" s="14"/>
      <c r="N979" s="14"/>
      <c r="O979" s="14"/>
      <c r="P979" s="14"/>
      <c r="Q979" s="14"/>
      <c r="R979" s="14"/>
      <c r="S979" s="14"/>
      <c r="T979" s="14"/>
      <c r="U979" s="14"/>
    </row>
    <row r="980">
      <c r="D980" s="114"/>
      <c r="E980" s="114"/>
      <c r="J980" s="14"/>
      <c r="K980" s="14"/>
      <c r="L980" s="14"/>
      <c r="M980" s="14"/>
      <c r="N980" s="14"/>
      <c r="O980" s="14"/>
      <c r="P980" s="14"/>
      <c r="Q980" s="14"/>
      <c r="R980" s="14"/>
      <c r="S980" s="14"/>
      <c r="T980" s="14"/>
      <c r="U980" s="14"/>
    </row>
    <row r="981">
      <c r="D981" s="114"/>
      <c r="E981" s="114"/>
      <c r="J981" s="14"/>
      <c r="K981" s="14"/>
      <c r="L981" s="14"/>
      <c r="M981" s="14"/>
      <c r="N981" s="14"/>
      <c r="O981" s="14"/>
      <c r="P981" s="14"/>
      <c r="Q981" s="14"/>
      <c r="R981" s="14"/>
      <c r="S981" s="14"/>
      <c r="T981" s="14"/>
      <c r="U981" s="14"/>
    </row>
    <row r="982">
      <c r="D982" s="114"/>
      <c r="E982" s="114"/>
      <c r="J982" s="14"/>
      <c r="K982" s="14"/>
      <c r="L982" s="14"/>
      <c r="M982" s="14"/>
      <c r="N982" s="14"/>
      <c r="O982" s="14"/>
      <c r="P982" s="14"/>
      <c r="Q982" s="14"/>
      <c r="R982" s="14"/>
      <c r="S982" s="14"/>
      <c r="T982" s="14"/>
      <c r="U982" s="14"/>
    </row>
    <row r="983">
      <c r="D983" s="114"/>
      <c r="E983" s="114"/>
      <c r="J983" s="14"/>
      <c r="K983" s="14"/>
      <c r="L983" s="14"/>
      <c r="M983" s="14"/>
      <c r="N983" s="14"/>
      <c r="O983" s="14"/>
      <c r="P983" s="14"/>
      <c r="Q983" s="14"/>
      <c r="R983" s="14"/>
      <c r="S983" s="14"/>
      <c r="T983" s="14"/>
      <c r="U983" s="14"/>
    </row>
    <row r="984">
      <c r="D984" s="114"/>
      <c r="E984" s="114"/>
      <c r="J984" s="14"/>
      <c r="K984" s="14"/>
      <c r="L984" s="14"/>
      <c r="M984" s="14"/>
      <c r="N984" s="14"/>
      <c r="O984" s="14"/>
      <c r="P984" s="14"/>
      <c r="Q984" s="14"/>
      <c r="R984" s="14"/>
      <c r="S984" s="14"/>
      <c r="T984" s="14"/>
      <c r="U984" s="14"/>
    </row>
    <row r="985">
      <c r="D985" s="114"/>
      <c r="E985" s="114"/>
      <c r="J985" s="14"/>
      <c r="K985" s="14"/>
      <c r="L985" s="14"/>
      <c r="M985" s="14"/>
      <c r="N985" s="14"/>
      <c r="O985" s="14"/>
      <c r="P985" s="14"/>
      <c r="Q985" s="14"/>
      <c r="R985" s="14"/>
      <c r="S985" s="14"/>
      <c r="T985" s="14"/>
      <c r="U985" s="14"/>
    </row>
    <row r="986">
      <c r="D986" s="114"/>
      <c r="E986" s="114"/>
      <c r="J986" s="14"/>
      <c r="K986" s="14"/>
      <c r="L986" s="14"/>
      <c r="M986" s="14"/>
      <c r="N986" s="14"/>
      <c r="O986" s="14"/>
      <c r="P986" s="14"/>
      <c r="Q986" s="14"/>
      <c r="R986" s="14"/>
      <c r="S986" s="14"/>
      <c r="T986" s="14"/>
      <c r="U986" s="14"/>
    </row>
    <row r="987">
      <c r="D987" s="114"/>
      <c r="E987" s="114"/>
      <c r="J987" s="14"/>
      <c r="K987" s="14"/>
      <c r="L987" s="14"/>
      <c r="M987" s="14"/>
      <c r="N987" s="14"/>
      <c r="O987" s="14"/>
      <c r="P987" s="14"/>
      <c r="Q987" s="14"/>
      <c r="R987" s="14"/>
      <c r="S987" s="14"/>
      <c r="T987" s="14"/>
      <c r="U987" s="14"/>
    </row>
    <row r="988">
      <c r="D988" s="114"/>
      <c r="E988" s="114"/>
      <c r="J988" s="14"/>
      <c r="K988" s="14"/>
      <c r="L988" s="14"/>
      <c r="M988" s="14"/>
      <c r="N988" s="14"/>
      <c r="O988" s="14"/>
      <c r="P988" s="14"/>
      <c r="Q988" s="14"/>
      <c r="R988" s="14"/>
      <c r="S988" s="14"/>
      <c r="T988" s="14"/>
      <c r="U988" s="14"/>
    </row>
    <row r="989">
      <c r="D989" s="114"/>
      <c r="E989" s="114"/>
      <c r="J989" s="14"/>
      <c r="K989" s="14"/>
      <c r="L989" s="14"/>
      <c r="M989" s="14"/>
      <c r="N989" s="14"/>
      <c r="O989" s="14"/>
      <c r="P989" s="14"/>
      <c r="Q989" s="14"/>
      <c r="R989" s="14"/>
      <c r="S989" s="14"/>
      <c r="T989" s="14"/>
      <c r="U989" s="14"/>
    </row>
    <row r="990">
      <c r="D990" s="114"/>
      <c r="E990" s="114"/>
      <c r="J990" s="14"/>
      <c r="K990" s="14"/>
      <c r="L990" s="14"/>
      <c r="M990" s="14"/>
      <c r="N990" s="14"/>
      <c r="O990" s="14"/>
      <c r="P990" s="14"/>
      <c r="Q990" s="14"/>
      <c r="R990" s="14"/>
      <c r="S990" s="14"/>
      <c r="T990" s="14"/>
      <c r="U990" s="14"/>
    </row>
    <row r="991">
      <c r="D991" s="114"/>
      <c r="E991" s="114"/>
      <c r="J991" s="14"/>
      <c r="K991" s="14"/>
      <c r="L991" s="14"/>
      <c r="M991" s="14"/>
      <c r="N991" s="14"/>
      <c r="O991" s="14"/>
      <c r="P991" s="14"/>
      <c r="Q991" s="14"/>
      <c r="R991" s="14"/>
      <c r="S991" s="14"/>
      <c r="T991" s="14"/>
      <c r="U991" s="14"/>
    </row>
    <row r="992">
      <c r="D992" s="114"/>
      <c r="E992" s="114"/>
      <c r="J992" s="14"/>
      <c r="K992" s="14"/>
      <c r="L992" s="14"/>
      <c r="M992" s="14"/>
      <c r="N992" s="14"/>
      <c r="O992" s="14"/>
      <c r="P992" s="14"/>
      <c r="Q992" s="14"/>
      <c r="R992" s="14"/>
      <c r="S992" s="14"/>
      <c r="T992" s="14"/>
      <c r="U992" s="14"/>
    </row>
    <row r="993">
      <c r="D993" s="114"/>
      <c r="E993" s="114"/>
      <c r="J993" s="14"/>
      <c r="K993" s="14"/>
      <c r="L993" s="14"/>
      <c r="M993" s="14"/>
      <c r="N993" s="14"/>
      <c r="O993" s="14"/>
      <c r="P993" s="14"/>
      <c r="Q993" s="14"/>
      <c r="R993" s="14"/>
      <c r="S993" s="14"/>
      <c r="T993" s="14"/>
      <c r="U993" s="14"/>
    </row>
    <row r="994">
      <c r="D994" s="114"/>
      <c r="E994" s="114"/>
      <c r="J994" s="14"/>
      <c r="K994" s="14"/>
      <c r="L994" s="14"/>
      <c r="M994" s="14"/>
      <c r="N994" s="14"/>
      <c r="O994" s="14"/>
      <c r="P994" s="14"/>
      <c r="Q994" s="14"/>
      <c r="R994" s="14"/>
      <c r="S994" s="14"/>
      <c r="T994" s="14"/>
      <c r="U994" s="14"/>
    </row>
    <row r="995">
      <c r="D995" s="114"/>
      <c r="E995" s="114"/>
      <c r="J995" s="14"/>
      <c r="K995" s="14"/>
      <c r="L995" s="14"/>
      <c r="M995" s="14"/>
      <c r="N995" s="14"/>
      <c r="O995" s="14"/>
      <c r="P995" s="14"/>
      <c r="Q995" s="14"/>
      <c r="R995" s="14"/>
      <c r="S995" s="14"/>
      <c r="T995" s="14"/>
      <c r="U995" s="14"/>
    </row>
    <row r="996">
      <c r="D996" s="114"/>
      <c r="E996" s="114"/>
      <c r="J996" s="14"/>
      <c r="K996" s="14"/>
      <c r="L996" s="14"/>
      <c r="M996" s="14"/>
      <c r="N996" s="14"/>
      <c r="O996" s="14"/>
      <c r="P996" s="14"/>
      <c r="Q996" s="14"/>
      <c r="R996" s="14"/>
      <c r="S996" s="14"/>
      <c r="T996" s="14"/>
      <c r="U996" s="14"/>
    </row>
    <row r="997">
      <c r="D997" s="114"/>
      <c r="E997" s="114"/>
      <c r="J997" s="14"/>
      <c r="K997" s="14"/>
      <c r="L997" s="14"/>
      <c r="M997" s="14"/>
      <c r="N997" s="14"/>
      <c r="O997" s="14"/>
      <c r="P997" s="14"/>
      <c r="Q997" s="14"/>
      <c r="R997" s="14"/>
      <c r="S997" s="14"/>
      <c r="T997" s="14"/>
      <c r="U997" s="14"/>
    </row>
    <row r="998">
      <c r="D998" s="114"/>
      <c r="E998" s="114"/>
      <c r="J998" s="14"/>
      <c r="K998" s="14"/>
      <c r="L998" s="14"/>
      <c r="M998" s="14"/>
      <c r="N998" s="14"/>
      <c r="O998" s="14"/>
      <c r="P998" s="14"/>
      <c r="Q998" s="14"/>
      <c r="R998" s="14"/>
      <c r="S998" s="14"/>
      <c r="T998" s="14"/>
      <c r="U998" s="14"/>
    </row>
    <row r="999">
      <c r="D999" s="114"/>
      <c r="E999" s="114"/>
      <c r="J999" s="14"/>
      <c r="K999" s="14"/>
      <c r="L999" s="14"/>
      <c r="M999" s="14"/>
      <c r="N999" s="14"/>
      <c r="O999" s="14"/>
      <c r="P999" s="14"/>
      <c r="Q999" s="14"/>
      <c r="R999" s="14"/>
      <c r="S999" s="14"/>
      <c r="T999" s="14"/>
      <c r="U999" s="14"/>
    </row>
    <row r="1000">
      <c r="D1000" s="114"/>
      <c r="E1000" s="114"/>
      <c r="J1000" s="14"/>
      <c r="K1000" s="14"/>
      <c r="L1000" s="14"/>
      <c r="M1000" s="14"/>
      <c r="N1000" s="14"/>
      <c r="O1000" s="14"/>
      <c r="P1000" s="14"/>
      <c r="Q1000" s="14"/>
      <c r="R1000" s="14"/>
      <c r="S1000" s="14"/>
      <c r="T1000" s="14"/>
      <c r="U1000" s="14"/>
    </row>
    <row r="1001">
      <c r="D1001" s="114"/>
      <c r="E1001" s="114"/>
      <c r="J1001" s="14"/>
      <c r="K1001" s="14"/>
      <c r="L1001" s="14"/>
      <c r="M1001" s="14"/>
      <c r="N1001" s="14"/>
      <c r="O1001" s="14"/>
      <c r="P1001" s="14"/>
      <c r="Q1001" s="14"/>
      <c r="R1001" s="14"/>
      <c r="S1001" s="14"/>
      <c r="T1001" s="14"/>
      <c r="U1001" s="14"/>
    </row>
    <row r="1002">
      <c r="D1002" s="114"/>
      <c r="E1002" s="114"/>
      <c r="J1002" s="14"/>
      <c r="K1002" s="14"/>
      <c r="L1002" s="14"/>
      <c r="M1002" s="14"/>
      <c r="N1002" s="14"/>
      <c r="O1002" s="14"/>
      <c r="P1002" s="14"/>
      <c r="Q1002" s="14"/>
      <c r="R1002" s="14"/>
      <c r="S1002" s="14"/>
      <c r="T1002" s="14"/>
      <c r="U1002" s="14"/>
    </row>
    <row r="1003">
      <c r="D1003" s="114"/>
      <c r="E1003" s="114"/>
      <c r="J1003" s="14"/>
      <c r="K1003" s="14"/>
      <c r="L1003" s="14"/>
      <c r="M1003" s="14"/>
      <c r="N1003" s="14"/>
      <c r="O1003" s="14"/>
      <c r="P1003" s="14"/>
      <c r="Q1003" s="14"/>
      <c r="R1003" s="14"/>
      <c r="S1003" s="14"/>
      <c r="T1003" s="14"/>
      <c r="U1003" s="14"/>
    </row>
    <row r="1004">
      <c r="D1004" s="114"/>
      <c r="E1004" s="114"/>
      <c r="J1004" s="14"/>
      <c r="K1004" s="14"/>
      <c r="L1004" s="14"/>
      <c r="M1004" s="14"/>
      <c r="N1004" s="14"/>
      <c r="O1004" s="14"/>
      <c r="P1004" s="14"/>
      <c r="Q1004" s="14"/>
      <c r="R1004" s="14"/>
      <c r="S1004" s="14"/>
      <c r="T1004" s="14"/>
      <c r="U1004" s="14"/>
    </row>
    <row r="1005">
      <c r="D1005" s="114"/>
      <c r="E1005" s="114"/>
      <c r="J1005" s="14"/>
      <c r="K1005" s="14"/>
      <c r="L1005" s="14"/>
      <c r="M1005" s="14"/>
      <c r="N1005" s="14"/>
      <c r="O1005" s="14"/>
      <c r="P1005" s="14"/>
      <c r="Q1005" s="14"/>
      <c r="R1005" s="14"/>
      <c r="S1005" s="14"/>
      <c r="T1005" s="14"/>
      <c r="U1005" s="14"/>
    </row>
    <row r="1006">
      <c r="D1006" s="114"/>
      <c r="E1006" s="114"/>
      <c r="J1006" s="14"/>
      <c r="K1006" s="14"/>
      <c r="L1006" s="14"/>
      <c r="M1006" s="14"/>
      <c r="N1006" s="14"/>
      <c r="O1006" s="14"/>
      <c r="P1006" s="14"/>
      <c r="Q1006" s="14"/>
      <c r="R1006" s="14"/>
      <c r="S1006" s="14"/>
      <c r="T1006" s="14"/>
      <c r="U1006" s="14"/>
    </row>
    <row r="1007">
      <c r="D1007" s="114"/>
      <c r="E1007" s="114"/>
      <c r="J1007" s="14"/>
      <c r="K1007" s="14"/>
      <c r="L1007" s="14"/>
      <c r="M1007" s="14"/>
      <c r="N1007" s="14"/>
      <c r="O1007" s="14"/>
      <c r="P1007" s="14"/>
      <c r="Q1007" s="14"/>
      <c r="R1007" s="14"/>
      <c r="S1007" s="14"/>
      <c r="T1007" s="14"/>
      <c r="U1007" s="14"/>
    </row>
    <row r="1008">
      <c r="D1008" s="114"/>
      <c r="E1008" s="114"/>
      <c r="J1008" s="14"/>
      <c r="K1008" s="14"/>
      <c r="L1008" s="14"/>
      <c r="M1008" s="14"/>
      <c r="N1008" s="14"/>
      <c r="O1008" s="14"/>
      <c r="P1008" s="14"/>
      <c r="Q1008" s="14"/>
      <c r="R1008" s="14"/>
      <c r="S1008" s="14"/>
      <c r="T1008" s="14"/>
      <c r="U1008" s="14"/>
    </row>
  </sheetData>
  <mergeCells count="7">
    <mergeCell ref="B3:I3"/>
    <mergeCell ref="J3:M3"/>
    <mergeCell ref="N3:Q3"/>
    <mergeCell ref="R3:U3"/>
    <mergeCell ref="V3:Y3"/>
    <mergeCell ref="Z3:AC3"/>
    <mergeCell ref="AD3:AG3"/>
  </mergeCells>
  <conditionalFormatting sqref="A10:C13 A19:C19">
    <cfRule type="expression" dxfId="0" priority="1">
      <formula>$U10=TRUE</formula>
    </cfRule>
  </conditionalFormatting>
  <conditionalFormatting sqref="A7:E20">
    <cfRule type="expression" dxfId="0" priority="2">
      <formula>$W7=TRUE</formula>
    </cfRule>
  </conditionalFormatting>
  <conditionalFormatting sqref="A6:F6 D11">
    <cfRule type="expression" dxfId="0" priority="3">
      <formula>$X6=TRUE</formula>
    </cfRule>
  </conditionalFormatting>
  <conditionalFormatting sqref="A5:C5 D5:E22 F5:F20 G5:H5">
    <cfRule type="expression" dxfId="0" priority="4">
      <formula>$AB5=TRUE</formula>
    </cfRule>
  </conditionalFormatting>
  <conditionalFormatting sqref="V5:Y54">
    <cfRule type="cellIs" dxfId="1" priority="5" operator="lessThan">
      <formula>0</formula>
    </cfRule>
  </conditionalFormatting>
  <conditionalFormatting sqref="V5:Y21">
    <cfRule type="cellIs" dxfId="2" priority="6" operator="greaterThan">
      <formula>0</formula>
    </cfRule>
  </conditionalFormatting>
  <conditionalFormatting sqref="Z5:AC20">
    <cfRule type="cellIs" dxfId="3" priority="7" operator="lessThan">
      <formula>0</formula>
    </cfRule>
  </conditionalFormatting>
  <conditionalFormatting sqref="Z5:AC20">
    <cfRule type="cellIs" dxfId="2" priority="8" operator="greaterThan">
      <formula>0</formula>
    </cfRule>
  </conditionalFormatting>
  <conditionalFormatting sqref="AD5:AG20">
    <cfRule type="cellIs" dxfId="4" priority="9" operator="greaterThan">
      <formula>0</formula>
    </cfRule>
  </conditionalFormatting>
  <conditionalFormatting sqref="AD5:AG20">
    <cfRule type="cellIs" dxfId="5" priority="10" operator="lessThan">
      <formula>0</formula>
    </cfRule>
  </conditionalFormatting>
  <hyperlinks>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s>
  <drawing r:id="rId20"/>
  <legacyDrawing r:id="rId2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23" t="s">
        <v>1473</v>
      </c>
      <c r="B1" s="124" t="s">
        <v>756</v>
      </c>
      <c r="C1" s="124" t="s">
        <v>757</v>
      </c>
      <c r="D1" s="124" t="s">
        <v>758</v>
      </c>
      <c r="E1" s="124" t="s">
        <v>1474</v>
      </c>
      <c r="F1" s="124" t="s">
        <v>1475</v>
      </c>
      <c r="G1" s="124" t="s">
        <v>1476</v>
      </c>
    </row>
    <row r="2">
      <c r="A2" s="125" t="s">
        <v>86</v>
      </c>
      <c r="B2" s="126">
        <v>2398.0</v>
      </c>
      <c r="C2" s="126">
        <v>2878.0</v>
      </c>
      <c r="D2" s="126">
        <v>3324.0</v>
      </c>
      <c r="E2" s="126">
        <v>3708.0</v>
      </c>
      <c r="F2" s="126">
        <v>4092.0</v>
      </c>
      <c r="G2" s="126">
        <v>2238.0</v>
      </c>
    </row>
    <row r="3">
      <c r="A3" s="125" t="s">
        <v>1479</v>
      </c>
      <c r="B3" s="126">
        <v>1731.0</v>
      </c>
      <c r="C3" s="126">
        <v>2076.0</v>
      </c>
      <c r="D3" s="126">
        <v>2400.0</v>
      </c>
      <c r="E3" s="126">
        <v>2678.0</v>
      </c>
      <c r="F3" s="126">
        <v>2954.0</v>
      </c>
      <c r="G3" s="126">
        <v>1616.0</v>
      </c>
    </row>
    <row r="4">
      <c r="A4" s="125" t="s">
        <v>1483</v>
      </c>
      <c r="B4" s="126">
        <v>1650.0</v>
      </c>
      <c r="C4" s="126">
        <v>1980.0</v>
      </c>
      <c r="D4" s="126">
        <v>2286.0</v>
      </c>
      <c r="E4" s="126">
        <v>2550.0</v>
      </c>
      <c r="F4" s="126">
        <v>2814.0</v>
      </c>
      <c r="G4" s="126">
        <v>1540.0</v>
      </c>
    </row>
    <row r="5">
      <c r="A5" s="125" t="s">
        <v>1484</v>
      </c>
      <c r="B5" s="126">
        <v>1410.0</v>
      </c>
      <c r="C5" s="126">
        <v>1692.0</v>
      </c>
      <c r="D5" s="126">
        <v>1954.0</v>
      </c>
      <c r="E5" s="126">
        <v>2180.0</v>
      </c>
      <c r="F5" s="126">
        <v>2405.0</v>
      </c>
      <c r="G5" s="126">
        <v>1316.0</v>
      </c>
    </row>
    <row r="6">
      <c r="A6" s="125" t="s">
        <v>1486</v>
      </c>
      <c r="B6" s="126">
        <v>1523.0</v>
      </c>
      <c r="C6" s="126">
        <v>1828.0</v>
      </c>
      <c r="D6" s="126">
        <v>2112.0</v>
      </c>
      <c r="E6" s="126">
        <v>2356.0</v>
      </c>
      <c r="F6" s="126">
        <v>2599.0</v>
      </c>
      <c r="G6" s="126">
        <v>1422.0</v>
      </c>
    </row>
    <row r="7">
      <c r="A7" s="125" t="s">
        <v>1487</v>
      </c>
      <c r="B7" s="126">
        <v>1440.0</v>
      </c>
      <c r="C7" s="126">
        <v>1728.0</v>
      </c>
      <c r="D7" s="126">
        <v>1997.0</v>
      </c>
      <c r="E7" s="126">
        <v>2228.0</v>
      </c>
      <c r="F7" s="126">
        <v>2458.0</v>
      </c>
      <c r="G7" s="126">
        <v>1344.0</v>
      </c>
    </row>
    <row r="8">
      <c r="A8" s="125" t="s">
        <v>111</v>
      </c>
      <c r="B8" s="126">
        <v>2398.0</v>
      </c>
      <c r="C8" s="126">
        <v>2878.0</v>
      </c>
      <c r="D8" s="126">
        <v>3324.0</v>
      </c>
      <c r="E8" s="126">
        <v>3708.0</v>
      </c>
      <c r="F8" s="126">
        <v>4092.0</v>
      </c>
      <c r="G8" s="126">
        <v>2238.0</v>
      </c>
    </row>
    <row r="9">
      <c r="A9" s="125" t="s">
        <v>1488</v>
      </c>
      <c r="B9" s="126">
        <v>1410.0</v>
      </c>
      <c r="C9" s="126">
        <v>1692.0</v>
      </c>
      <c r="D9" s="126">
        <v>1954.0</v>
      </c>
      <c r="E9" s="126">
        <v>2180.0</v>
      </c>
      <c r="F9" s="126">
        <v>2405.0</v>
      </c>
      <c r="G9" s="126">
        <v>1316.0</v>
      </c>
    </row>
    <row r="10">
      <c r="A10" s="125" t="s">
        <v>1489</v>
      </c>
      <c r="B10" s="126">
        <v>1930.0</v>
      </c>
      <c r="C10" s="126">
        <v>2316.0</v>
      </c>
      <c r="D10" s="126">
        <v>2675.0</v>
      </c>
      <c r="E10" s="126">
        <v>2984.0</v>
      </c>
      <c r="F10" s="126">
        <v>3293.0</v>
      </c>
      <c r="G10" s="126">
        <v>1802.0</v>
      </c>
    </row>
    <row r="11">
      <c r="A11" s="125" t="s">
        <v>113</v>
      </c>
      <c r="B11" s="126">
        <v>1410.0</v>
      </c>
      <c r="C11" s="126">
        <v>1692.0</v>
      </c>
      <c r="D11" s="126">
        <v>1954.0</v>
      </c>
      <c r="E11" s="126">
        <v>2180.0</v>
      </c>
      <c r="F11" s="126">
        <v>2405.0</v>
      </c>
      <c r="G11" s="126">
        <v>1316.0</v>
      </c>
    </row>
    <row r="12">
      <c r="A12" s="125" t="s">
        <v>1490</v>
      </c>
      <c r="B12" s="126">
        <v>1410.0</v>
      </c>
      <c r="C12" s="126">
        <v>1692.0</v>
      </c>
      <c r="D12" s="126">
        <v>1954.0</v>
      </c>
      <c r="E12" s="126">
        <v>2180.0</v>
      </c>
      <c r="F12" s="126">
        <v>2405.0</v>
      </c>
      <c r="G12" s="126">
        <v>1316.0</v>
      </c>
    </row>
    <row r="13">
      <c r="A13" s="125" t="s">
        <v>1491</v>
      </c>
      <c r="B13" s="126">
        <v>1410.0</v>
      </c>
      <c r="C13" s="126">
        <v>1692.0</v>
      </c>
      <c r="D13" s="126">
        <v>1954.0</v>
      </c>
      <c r="E13" s="126">
        <v>2180.0</v>
      </c>
      <c r="F13" s="126">
        <v>2405.0</v>
      </c>
      <c r="G13" s="126">
        <v>1316.0</v>
      </c>
    </row>
    <row r="14">
      <c r="A14" s="125" t="s">
        <v>1494</v>
      </c>
      <c r="B14" s="126">
        <v>1410.0</v>
      </c>
      <c r="C14" s="126">
        <v>1692.0</v>
      </c>
      <c r="D14" s="126">
        <v>1954.0</v>
      </c>
      <c r="E14" s="126">
        <v>2180.0</v>
      </c>
      <c r="F14" s="126">
        <v>2405.0</v>
      </c>
      <c r="G14" s="126">
        <v>1316.0</v>
      </c>
    </row>
    <row r="15">
      <c r="A15" s="125" t="s">
        <v>1496</v>
      </c>
      <c r="B15" s="126">
        <v>1440.0</v>
      </c>
      <c r="C15" s="126">
        <v>1728.0</v>
      </c>
      <c r="D15" s="126">
        <v>1997.0</v>
      </c>
      <c r="E15" s="126">
        <v>2228.0</v>
      </c>
      <c r="F15" s="126">
        <v>2458.0</v>
      </c>
      <c r="G15" s="126">
        <v>1344.0</v>
      </c>
    </row>
    <row r="16">
      <c r="A16" s="125" t="s">
        <v>1497</v>
      </c>
      <c r="B16" s="126">
        <v>1410.0</v>
      </c>
      <c r="C16" s="126">
        <v>1692.0</v>
      </c>
      <c r="D16" s="126">
        <v>1954.0</v>
      </c>
      <c r="E16" s="126">
        <v>2180.0</v>
      </c>
      <c r="F16" s="126">
        <v>2405.0</v>
      </c>
      <c r="G16" s="126">
        <v>1316.0</v>
      </c>
    </row>
    <row r="17">
      <c r="A17" s="125" t="s">
        <v>1503</v>
      </c>
      <c r="B17" s="126">
        <v>1410.0</v>
      </c>
      <c r="C17" s="126">
        <v>1692.0</v>
      </c>
      <c r="D17" s="126">
        <v>1954.0</v>
      </c>
      <c r="E17" s="126">
        <v>2180.0</v>
      </c>
      <c r="F17" s="126">
        <v>2405.0</v>
      </c>
      <c r="G17" s="126">
        <v>1316.0</v>
      </c>
    </row>
    <row r="18">
      <c r="A18" s="125" t="s">
        <v>1504</v>
      </c>
      <c r="B18" s="126">
        <v>1410.0</v>
      </c>
      <c r="C18" s="126">
        <v>1692.0</v>
      </c>
      <c r="D18" s="126">
        <v>1954.0</v>
      </c>
      <c r="E18" s="126">
        <v>2180.0</v>
      </c>
      <c r="F18" s="126">
        <v>2405.0</v>
      </c>
      <c r="G18" s="126">
        <v>1316.0</v>
      </c>
    </row>
    <row r="19">
      <c r="A19" s="125" t="s">
        <v>1505</v>
      </c>
      <c r="B19" s="126">
        <v>1410.0</v>
      </c>
      <c r="C19" s="126">
        <v>1692.0</v>
      </c>
      <c r="D19" s="126">
        <v>1954.0</v>
      </c>
      <c r="E19" s="126">
        <v>2180.0</v>
      </c>
      <c r="F19" s="126">
        <v>2405.0</v>
      </c>
      <c r="G19" s="126">
        <v>1316.0</v>
      </c>
    </row>
    <row r="20">
      <c r="A20" s="125" t="s">
        <v>114</v>
      </c>
      <c r="B20" s="126">
        <v>2272.0</v>
      </c>
      <c r="C20" s="126">
        <v>2726.0</v>
      </c>
      <c r="D20" s="126">
        <v>3151.0</v>
      </c>
      <c r="E20" s="126">
        <v>3514.0</v>
      </c>
      <c r="F20" s="126">
        <v>3878.0</v>
      </c>
      <c r="G20" s="126">
        <v>2120.0</v>
      </c>
    </row>
    <row r="21">
      <c r="A21" s="125" t="s">
        <v>1508</v>
      </c>
      <c r="B21" s="126">
        <v>1410.0</v>
      </c>
      <c r="C21" s="126">
        <v>1692.0</v>
      </c>
      <c r="D21" s="126">
        <v>1954.0</v>
      </c>
      <c r="E21" s="126">
        <v>2180.0</v>
      </c>
      <c r="F21" s="126">
        <v>2405.0</v>
      </c>
      <c r="G21" s="126">
        <v>1316.0</v>
      </c>
    </row>
    <row r="22">
      <c r="A22" s="125" t="s">
        <v>897</v>
      </c>
      <c r="B22" s="126">
        <v>2902.0</v>
      </c>
      <c r="C22" s="126">
        <v>3482.0</v>
      </c>
      <c r="D22" s="126">
        <v>4023.0</v>
      </c>
      <c r="E22" s="126">
        <v>4488.0</v>
      </c>
      <c r="F22" s="126">
        <v>4952.0</v>
      </c>
      <c r="G22" s="126">
        <v>2708.0</v>
      </c>
    </row>
    <row r="23">
      <c r="A23" s="125" t="s">
        <v>1510</v>
      </c>
      <c r="B23" s="126">
        <v>1410.0</v>
      </c>
      <c r="C23" s="126">
        <v>1692.0</v>
      </c>
      <c r="D23" s="126">
        <v>1954.0</v>
      </c>
      <c r="E23" s="126">
        <v>2180.0</v>
      </c>
      <c r="F23" s="126">
        <v>2405.0</v>
      </c>
      <c r="G23" s="126">
        <v>1316.0</v>
      </c>
    </row>
    <row r="24">
      <c r="A24" s="125" t="s">
        <v>1511</v>
      </c>
      <c r="B24" s="126">
        <v>1410.0</v>
      </c>
      <c r="C24" s="126">
        <v>1692.0</v>
      </c>
      <c r="D24" s="126">
        <v>1954.0</v>
      </c>
      <c r="E24" s="126">
        <v>2180.0</v>
      </c>
      <c r="F24" s="126">
        <v>2405.0</v>
      </c>
      <c r="G24" s="126">
        <v>1316.0</v>
      </c>
    </row>
    <row r="25">
      <c r="A25" s="125" t="s">
        <v>1512</v>
      </c>
      <c r="B25" s="126">
        <v>1410.0</v>
      </c>
      <c r="C25" s="126">
        <v>1692.0</v>
      </c>
      <c r="D25" s="126">
        <v>1954.0</v>
      </c>
      <c r="E25" s="126">
        <v>2180.0</v>
      </c>
      <c r="F25" s="126">
        <v>2405.0</v>
      </c>
      <c r="G25" s="126">
        <v>1316.0</v>
      </c>
    </row>
    <row r="26">
      <c r="A26" s="125" t="s">
        <v>1513</v>
      </c>
      <c r="B26" s="126">
        <v>1410.0</v>
      </c>
      <c r="C26" s="126">
        <v>1692.0</v>
      </c>
      <c r="D26" s="126">
        <v>1954.0</v>
      </c>
      <c r="E26" s="126">
        <v>2180.0</v>
      </c>
      <c r="F26" s="126">
        <v>2405.0</v>
      </c>
      <c r="G26" s="126">
        <v>1316.0</v>
      </c>
    </row>
    <row r="27">
      <c r="A27" s="125" t="s">
        <v>1514</v>
      </c>
      <c r="B27" s="126">
        <v>1531.0</v>
      </c>
      <c r="C27" s="126">
        <v>1836.0</v>
      </c>
      <c r="D27" s="126">
        <v>2123.0</v>
      </c>
      <c r="E27" s="126">
        <v>2368.0</v>
      </c>
      <c r="F27" s="126">
        <v>2613.0</v>
      </c>
      <c r="G27" s="126">
        <v>1428.0</v>
      </c>
    </row>
    <row r="28">
      <c r="A28" s="125" t="s">
        <v>1515</v>
      </c>
      <c r="B28" s="126">
        <v>2169.0</v>
      </c>
      <c r="C28" s="126">
        <v>2604.0</v>
      </c>
      <c r="D28" s="126">
        <v>3008.0</v>
      </c>
      <c r="E28" s="126">
        <v>3354.0</v>
      </c>
      <c r="F28" s="126">
        <v>3702.0</v>
      </c>
      <c r="G28" s="126">
        <v>2024.0</v>
      </c>
    </row>
    <row r="29">
      <c r="A29" s="125" t="s">
        <v>118</v>
      </c>
      <c r="B29" s="126">
        <v>2404.0</v>
      </c>
      <c r="C29" s="126">
        <v>2886.0</v>
      </c>
      <c r="D29" s="126">
        <v>3335.0</v>
      </c>
      <c r="E29" s="126">
        <v>3720.0</v>
      </c>
      <c r="F29" s="126">
        <v>4104.0</v>
      </c>
      <c r="G29" s="126">
        <v>2244.0</v>
      </c>
    </row>
    <row r="30">
      <c r="A30" s="125" t="s">
        <v>1516</v>
      </c>
      <c r="B30" s="126">
        <v>1707.0</v>
      </c>
      <c r="C30" s="126">
        <v>2048.0</v>
      </c>
      <c r="D30" s="126">
        <v>2367.0</v>
      </c>
      <c r="E30" s="126">
        <v>2640.0</v>
      </c>
      <c r="F30" s="126">
        <v>2915.0</v>
      </c>
      <c r="G30" s="126">
        <v>1594.0</v>
      </c>
    </row>
    <row r="31">
      <c r="A31" s="125" t="s">
        <v>119</v>
      </c>
      <c r="B31" s="126">
        <v>2539.0</v>
      </c>
      <c r="C31" s="126">
        <v>3046.0</v>
      </c>
      <c r="D31" s="126">
        <v>3520.0</v>
      </c>
      <c r="E31" s="126">
        <v>3926.0</v>
      </c>
      <c r="F31" s="126">
        <v>4333.0</v>
      </c>
      <c r="G31" s="126">
        <v>2370.0</v>
      </c>
    </row>
    <row r="32">
      <c r="A32" s="125" t="s">
        <v>1519</v>
      </c>
      <c r="B32" s="126">
        <v>1930.0</v>
      </c>
      <c r="C32" s="126">
        <v>2316.0</v>
      </c>
      <c r="D32" s="126">
        <v>2675.0</v>
      </c>
      <c r="E32" s="126">
        <v>2984.0</v>
      </c>
      <c r="F32" s="126">
        <v>3293.0</v>
      </c>
      <c r="G32" s="126">
        <v>1802.0</v>
      </c>
    </row>
    <row r="33">
      <c r="A33" s="125" t="s">
        <v>1523</v>
      </c>
      <c r="B33" s="126">
        <v>1431.0</v>
      </c>
      <c r="C33" s="126">
        <v>1716.0</v>
      </c>
      <c r="D33" s="126">
        <v>1983.0</v>
      </c>
      <c r="E33" s="126">
        <v>2212.0</v>
      </c>
      <c r="F33" s="126">
        <v>2440.0</v>
      </c>
      <c r="G33" s="126">
        <v>1336.0</v>
      </c>
    </row>
    <row r="34">
      <c r="A34" s="125" t="s">
        <v>1524</v>
      </c>
      <c r="B34" s="126">
        <v>1679.0</v>
      </c>
      <c r="C34" s="126">
        <v>2014.0</v>
      </c>
      <c r="D34" s="126">
        <v>2328.0</v>
      </c>
      <c r="E34" s="126">
        <v>2596.0</v>
      </c>
      <c r="F34" s="126">
        <v>2865.0</v>
      </c>
      <c r="G34" s="126">
        <v>1568.0</v>
      </c>
    </row>
    <row r="35">
      <c r="A35" s="125" t="s">
        <v>120</v>
      </c>
      <c r="B35" s="126">
        <v>1930.0</v>
      </c>
      <c r="C35" s="126">
        <v>2316.0</v>
      </c>
      <c r="D35" s="126">
        <v>2675.0</v>
      </c>
      <c r="E35" s="126">
        <v>2984.0</v>
      </c>
      <c r="F35" s="126">
        <v>3293.0</v>
      </c>
      <c r="G35" s="126">
        <v>1802.0</v>
      </c>
    </row>
    <row r="36">
      <c r="A36" s="125" t="s">
        <v>1526</v>
      </c>
      <c r="B36" s="126">
        <v>2005.0</v>
      </c>
      <c r="C36" s="126">
        <v>2406.0</v>
      </c>
      <c r="D36" s="126">
        <v>2779.0</v>
      </c>
      <c r="E36" s="126">
        <v>3100.0</v>
      </c>
      <c r="F36" s="126">
        <v>3421.0</v>
      </c>
      <c r="G36" s="126">
        <v>1872.0</v>
      </c>
    </row>
    <row r="37">
      <c r="A37" s="125" t="s">
        <v>121</v>
      </c>
      <c r="B37" s="126">
        <v>1679.0</v>
      </c>
      <c r="C37" s="126">
        <v>2014.0</v>
      </c>
      <c r="D37" s="126">
        <v>2328.0</v>
      </c>
      <c r="E37" s="126">
        <v>2596.0</v>
      </c>
      <c r="F37" s="126">
        <v>2865.0</v>
      </c>
      <c r="G37" s="126">
        <v>1568.0</v>
      </c>
    </row>
    <row r="38">
      <c r="A38" s="125" t="s">
        <v>122</v>
      </c>
      <c r="B38" s="126">
        <v>2481.0</v>
      </c>
      <c r="C38" s="126">
        <v>2978.0</v>
      </c>
      <c r="D38" s="126">
        <v>3441.0</v>
      </c>
      <c r="E38" s="126">
        <v>3838.0</v>
      </c>
      <c r="F38" s="126">
        <v>4235.0</v>
      </c>
      <c r="G38" s="126">
        <v>2316.0</v>
      </c>
    </row>
    <row r="39">
      <c r="A39" s="125" t="s">
        <v>123</v>
      </c>
      <c r="B39" s="126">
        <v>2902.0</v>
      </c>
      <c r="C39" s="126">
        <v>3482.0</v>
      </c>
      <c r="D39" s="126">
        <v>4023.0</v>
      </c>
      <c r="E39" s="126">
        <v>4488.0</v>
      </c>
      <c r="F39" s="126">
        <v>4952.0</v>
      </c>
      <c r="G39" s="126">
        <v>2708.0</v>
      </c>
    </row>
    <row r="40">
      <c r="A40" s="125" t="s">
        <v>1527</v>
      </c>
      <c r="B40" s="126">
        <v>1570.0</v>
      </c>
      <c r="C40" s="126">
        <v>1884.0</v>
      </c>
      <c r="D40" s="126">
        <v>2176.0</v>
      </c>
      <c r="E40" s="126">
        <v>2428.0</v>
      </c>
      <c r="F40" s="126">
        <v>2679.0</v>
      </c>
      <c r="G40" s="126">
        <v>1466.0</v>
      </c>
    </row>
    <row r="41">
      <c r="A41" s="125" t="s">
        <v>1528</v>
      </c>
      <c r="B41" s="126">
        <v>2085.0</v>
      </c>
      <c r="C41" s="126">
        <v>2502.0</v>
      </c>
      <c r="D41" s="126">
        <v>2891.0</v>
      </c>
      <c r="E41" s="126">
        <v>3226.0</v>
      </c>
      <c r="F41" s="126">
        <v>3559.0</v>
      </c>
      <c r="G41" s="126">
        <v>1946.0</v>
      </c>
    </row>
    <row r="42">
      <c r="A42" s="125" t="s">
        <v>124</v>
      </c>
      <c r="B42" s="126">
        <v>2902.0</v>
      </c>
      <c r="C42" s="126">
        <v>3482.0</v>
      </c>
      <c r="D42" s="126">
        <v>4023.0</v>
      </c>
      <c r="E42" s="126">
        <v>4488.0</v>
      </c>
      <c r="F42" s="126">
        <v>4952.0</v>
      </c>
      <c r="G42" s="126">
        <v>2708.0</v>
      </c>
    </row>
    <row r="43">
      <c r="A43" s="125" t="s">
        <v>126</v>
      </c>
      <c r="B43" s="126">
        <v>2648.0</v>
      </c>
      <c r="C43" s="126">
        <v>3178.0</v>
      </c>
      <c r="D43" s="126">
        <v>3672.0</v>
      </c>
      <c r="E43" s="126">
        <v>4096.0</v>
      </c>
      <c r="F43" s="126">
        <v>4519.0</v>
      </c>
      <c r="G43" s="126">
        <v>2472.0</v>
      </c>
    </row>
    <row r="44">
      <c r="A44" s="125" t="s">
        <v>129</v>
      </c>
      <c r="B44" s="126">
        <v>3015.0</v>
      </c>
      <c r="C44" s="126">
        <v>3618.0</v>
      </c>
      <c r="D44" s="126">
        <v>4179.0</v>
      </c>
      <c r="E44" s="126">
        <v>4662.0</v>
      </c>
      <c r="F44" s="126">
        <v>5144.0</v>
      </c>
      <c r="G44" s="126">
        <v>2814.0</v>
      </c>
    </row>
    <row r="45">
      <c r="A45" s="125" t="s">
        <v>133</v>
      </c>
      <c r="B45" s="126">
        <v>2967.0</v>
      </c>
      <c r="C45" s="126">
        <v>3560.0</v>
      </c>
      <c r="D45" s="126">
        <v>4114.0</v>
      </c>
      <c r="E45" s="126">
        <v>4588.0</v>
      </c>
      <c r="F45" s="126">
        <v>5064.0</v>
      </c>
      <c r="G45" s="126">
        <v>2770.0</v>
      </c>
    </row>
    <row r="46">
      <c r="A46" s="125" t="s">
        <v>1536</v>
      </c>
      <c r="B46" s="126">
        <v>1459.0</v>
      </c>
      <c r="C46" s="126">
        <v>1752.0</v>
      </c>
      <c r="D46" s="126">
        <v>2024.0</v>
      </c>
      <c r="E46" s="126">
        <v>2258.0</v>
      </c>
      <c r="F46" s="126">
        <v>2492.0</v>
      </c>
      <c r="G46" s="126">
        <v>1362.0</v>
      </c>
    </row>
    <row r="47">
      <c r="A47" s="125" t="s">
        <v>1538</v>
      </c>
      <c r="B47" s="126">
        <v>1410.0</v>
      </c>
      <c r="C47" s="126">
        <v>1692.0</v>
      </c>
      <c r="D47" s="126">
        <v>1954.0</v>
      </c>
      <c r="E47" s="126">
        <v>2180.0</v>
      </c>
      <c r="F47" s="126">
        <v>2405.0</v>
      </c>
      <c r="G47" s="126">
        <v>1316.0</v>
      </c>
    </row>
    <row r="48">
      <c r="A48" s="125" t="s">
        <v>1540</v>
      </c>
      <c r="B48" s="126">
        <v>1410.0</v>
      </c>
      <c r="C48" s="126">
        <v>1692.0</v>
      </c>
      <c r="D48" s="126">
        <v>1954.0</v>
      </c>
      <c r="E48" s="126">
        <v>2180.0</v>
      </c>
      <c r="F48" s="126">
        <v>2405.0</v>
      </c>
      <c r="G48" s="126">
        <v>1316.0</v>
      </c>
    </row>
    <row r="49">
      <c r="A49" s="125" t="s">
        <v>138</v>
      </c>
      <c r="B49" s="126">
        <v>2061.0</v>
      </c>
      <c r="C49" s="126">
        <v>2474.0</v>
      </c>
      <c r="D49" s="126">
        <v>2858.0</v>
      </c>
      <c r="E49" s="126">
        <v>3188.0</v>
      </c>
      <c r="F49" s="126">
        <v>3518.0</v>
      </c>
      <c r="G49" s="126">
        <v>1924.0</v>
      </c>
    </row>
    <row r="50">
      <c r="A50" s="125" t="s">
        <v>140</v>
      </c>
      <c r="B50" s="126">
        <v>2265.0</v>
      </c>
      <c r="C50" s="126">
        <v>2718.0</v>
      </c>
      <c r="D50" s="126">
        <v>3141.0</v>
      </c>
      <c r="E50" s="126">
        <v>3504.0</v>
      </c>
      <c r="F50" s="126">
        <v>3867.0</v>
      </c>
      <c r="G50" s="126">
        <v>2114.0</v>
      </c>
    </row>
    <row r="51">
      <c r="A51" s="125" t="s">
        <v>1545</v>
      </c>
      <c r="B51" s="126">
        <v>1478.0</v>
      </c>
      <c r="C51" s="126">
        <v>1774.0</v>
      </c>
      <c r="D51" s="126">
        <v>2049.0</v>
      </c>
      <c r="E51" s="126">
        <v>2286.0</v>
      </c>
      <c r="F51" s="126">
        <v>2523.0</v>
      </c>
      <c r="G51" s="126">
        <v>1380.0</v>
      </c>
    </row>
    <row r="52">
      <c r="A52" s="125" t="s">
        <v>1546</v>
      </c>
      <c r="B52" s="126">
        <v>1440.0</v>
      </c>
      <c r="C52" s="126">
        <v>1728.0</v>
      </c>
      <c r="D52" s="126">
        <v>1997.0</v>
      </c>
      <c r="E52" s="126">
        <v>2228.0</v>
      </c>
      <c r="F52" s="126">
        <v>2458.0</v>
      </c>
      <c r="G52" s="126">
        <v>1344.0</v>
      </c>
    </row>
    <row r="53">
      <c r="A53" s="125" t="s">
        <v>1547</v>
      </c>
      <c r="B53" s="126">
        <v>1410.0</v>
      </c>
      <c r="C53" s="126">
        <v>1692.0</v>
      </c>
      <c r="D53" s="126">
        <v>1954.0</v>
      </c>
      <c r="E53" s="126">
        <v>2180.0</v>
      </c>
      <c r="F53" s="126">
        <v>2405.0</v>
      </c>
      <c r="G53" s="126">
        <v>1316.0</v>
      </c>
    </row>
    <row r="54">
      <c r="A54" s="125" t="s">
        <v>1548</v>
      </c>
      <c r="B54" s="126">
        <v>1410.0</v>
      </c>
      <c r="C54" s="126">
        <v>1692.0</v>
      </c>
      <c r="D54" s="126">
        <v>1954.0</v>
      </c>
      <c r="E54" s="126">
        <v>2180.0</v>
      </c>
      <c r="F54" s="126">
        <v>2405.0</v>
      </c>
      <c r="G54" s="126">
        <v>1316.0</v>
      </c>
    </row>
    <row r="55">
      <c r="A55" s="125" t="s">
        <v>1549</v>
      </c>
      <c r="B55" s="126">
        <v>1410.0</v>
      </c>
      <c r="C55" s="126">
        <v>1692.0</v>
      </c>
      <c r="D55" s="126">
        <v>1954.0</v>
      </c>
      <c r="E55" s="126">
        <v>2180.0</v>
      </c>
      <c r="F55" s="126">
        <v>2405.0</v>
      </c>
      <c r="G55" s="126">
        <v>1316.0</v>
      </c>
    </row>
    <row r="56">
      <c r="A56" s="125" t="s">
        <v>1550</v>
      </c>
      <c r="B56" s="126">
        <v>1525.0</v>
      </c>
      <c r="C56" s="126">
        <v>1830.0</v>
      </c>
      <c r="D56" s="126">
        <v>2114.0</v>
      </c>
      <c r="E56" s="126">
        <v>2358.0</v>
      </c>
      <c r="F56" s="126">
        <v>2602.0</v>
      </c>
      <c r="G56" s="126">
        <v>1424.0</v>
      </c>
    </row>
    <row r="57">
      <c r="A57" s="125" t="s">
        <v>1551</v>
      </c>
      <c r="B57" s="126">
        <v>2246.0</v>
      </c>
      <c r="C57" s="126">
        <v>2696.0</v>
      </c>
      <c r="D57" s="126">
        <v>3114.0</v>
      </c>
      <c r="E57" s="126">
        <v>3474.0</v>
      </c>
      <c r="F57" s="126">
        <v>3834.0</v>
      </c>
      <c r="G57" s="126">
        <v>2096.0</v>
      </c>
    </row>
    <row r="58">
      <c r="A58" s="125" t="s">
        <v>1553</v>
      </c>
      <c r="B58" s="126">
        <v>1890.0</v>
      </c>
      <c r="C58" s="126">
        <v>2266.0</v>
      </c>
      <c r="D58" s="126">
        <v>2619.0</v>
      </c>
      <c r="E58" s="126">
        <v>2922.0</v>
      </c>
      <c r="F58" s="126">
        <v>3224.0</v>
      </c>
      <c r="G58" s="126">
        <v>1764.0</v>
      </c>
    </row>
    <row r="59">
      <c r="A59" s="125" t="s">
        <v>1554</v>
      </c>
      <c r="B59" s="126">
        <v>1440.0</v>
      </c>
      <c r="C59" s="126">
        <v>1728.0</v>
      </c>
      <c r="D59" s="126">
        <v>1997.0</v>
      </c>
      <c r="E59" s="126">
        <v>2228.0</v>
      </c>
      <c r="F59" s="126">
        <v>2458.0</v>
      </c>
      <c r="G59" s="126">
        <v>1344.0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5"/>
    <col customWidth="1" min="2" max="2" width="46.0"/>
    <col customWidth="1" min="7" max="7" width="15.25"/>
    <col customWidth="1" min="8" max="8" width="17.75"/>
  </cols>
  <sheetData>
    <row r="1">
      <c r="A1" s="1" t="s">
        <v>34</v>
      </c>
      <c r="B1" s="1" t="s">
        <v>1591</v>
      </c>
      <c r="C1" s="1" t="s">
        <v>1594</v>
      </c>
      <c r="D1" s="1" t="s">
        <v>16</v>
      </c>
      <c r="E1" s="1" t="s">
        <v>1596</v>
      </c>
      <c r="F1" s="1" t="s">
        <v>1597</v>
      </c>
      <c r="G1" s="1" t="s">
        <v>1598</v>
      </c>
      <c r="H1" s="1" t="s">
        <v>1599</v>
      </c>
      <c r="I1" s="1" t="s">
        <v>1600</v>
      </c>
      <c r="J1" s="1" t="s">
        <v>1601</v>
      </c>
      <c r="K1" s="1" t="s">
        <v>1602</v>
      </c>
      <c r="L1" s="1" t="s">
        <v>1603</v>
      </c>
      <c r="M1" s="1" t="s">
        <v>1604</v>
      </c>
      <c r="N1" s="1" t="s">
        <v>1605</v>
      </c>
      <c r="O1" s="1" t="s">
        <v>1606</v>
      </c>
      <c r="P1" s="4"/>
      <c r="Q1" s="4"/>
      <c r="R1" s="4"/>
      <c r="S1" s="4"/>
      <c r="T1" s="4"/>
      <c r="U1" s="4"/>
      <c r="V1" s="4"/>
      <c r="W1" s="4"/>
      <c r="X1" s="4"/>
      <c r="Y1" s="4"/>
      <c r="Z1" s="4"/>
    </row>
    <row r="2">
      <c r="A2" s="6" t="s">
        <v>1608</v>
      </c>
      <c r="B2" s="6" t="s">
        <v>908</v>
      </c>
      <c r="C2" s="6" t="s">
        <v>114</v>
      </c>
      <c r="D2" s="6" t="s">
        <v>114</v>
      </c>
      <c r="E2" s="6" t="s">
        <v>1609</v>
      </c>
      <c r="F2" s="127">
        <v>45597.0</v>
      </c>
      <c r="G2" s="6" t="s">
        <v>1610</v>
      </c>
      <c r="H2" s="6" t="b">
        <v>0</v>
      </c>
      <c r="I2" s="6" t="s">
        <v>263</v>
      </c>
      <c r="J2" s="6" t="s">
        <v>264</v>
      </c>
      <c r="K2" s="6">
        <v>53.0</v>
      </c>
      <c r="L2" s="6" t="s">
        <v>1611</v>
      </c>
      <c r="M2" s="6">
        <v>30.0</v>
      </c>
      <c r="N2" s="6">
        <v>7950.0</v>
      </c>
      <c r="O2" s="6" t="s">
        <v>1612</v>
      </c>
    </row>
    <row r="3">
      <c r="A3" s="6" t="s">
        <v>1613</v>
      </c>
      <c r="B3" s="6" t="s">
        <v>1614</v>
      </c>
      <c r="C3" s="6" t="s">
        <v>114</v>
      </c>
      <c r="D3" s="6" t="s">
        <v>114</v>
      </c>
      <c r="E3" s="6" t="s">
        <v>1609</v>
      </c>
      <c r="F3" s="127">
        <v>45597.0</v>
      </c>
      <c r="G3" s="6" t="s">
        <v>1610</v>
      </c>
      <c r="H3" s="6" t="b">
        <v>0</v>
      </c>
      <c r="I3" s="6" t="s">
        <v>1615</v>
      </c>
      <c r="J3" s="6" t="s">
        <v>203</v>
      </c>
      <c r="K3" s="6">
        <v>40.0</v>
      </c>
      <c r="L3" s="6" t="s">
        <v>1611</v>
      </c>
      <c r="M3" s="6">
        <v>30.0</v>
      </c>
      <c r="N3" s="6" t="s">
        <v>1609</v>
      </c>
      <c r="O3" s="6" t="s">
        <v>1616</v>
      </c>
    </row>
    <row r="4">
      <c r="A4" s="6" t="s">
        <v>1617</v>
      </c>
      <c r="B4" s="6" t="s">
        <v>1618</v>
      </c>
      <c r="C4" s="6" t="s">
        <v>114</v>
      </c>
      <c r="D4" s="6" t="s">
        <v>114</v>
      </c>
      <c r="E4" s="6" t="s">
        <v>1609</v>
      </c>
      <c r="F4" s="127">
        <v>45597.0</v>
      </c>
      <c r="G4" s="6" t="s">
        <v>1610</v>
      </c>
      <c r="H4" s="6" t="b">
        <v>0</v>
      </c>
      <c r="I4" s="6" t="s">
        <v>1615</v>
      </c>
      <c r="J4" s="6" t="s">
        <v>203</v>
      </c>
      <c r="K4" s="6">
        <v>67.0</v>
      </c>
      <c r="L4" s="6" t="s">
        <v>1611</v>
      </c>
      <c r="M4" s="6">
        <v>30.0</v>
      </c>
      <c r="N4" s="6" t="s">
        <v>1609</v>
      </c>
      <c r="O4" s="6" t="s">
        <v>1616</v>
      </c>
    </row>
    <row r="5">
      <c r="A5" s="6" t="s">
        <v>1624</v>
      </c>
      <c r="B5" s="6" t="s">
        <v>1625</v>
      </c>
      <c r="C5" s="6" t="s">
        <v>114</v>
      </c>
      <c r="D5" s="6" t="s">
        <v>114</v>
      </c>
      <c r="E5" s="6" t="s">
        <v>1609</v>
      </c>
      <c r="F5" s="127">
        <v>45597.0</v>
      </c>
      <c r="G5" s="6" t="s">
        <v>1610</v>
      </c>
      <c r="H5" s="6" t="b">
        <v>0</v>
      </c>
      <c r="I5" s="6" t="s">
        <v>1615</v>
      </c>
      <c r="J5" s="6" t="s">
        <v>203</v>
      </c>
      <c r="K5" s="6">
        <v>40.0</v>
      </c>
      <c r="L5" s="6" t="s">
        <v>1611</v>
      </c>
      <c r="M5" s="6">
        <v>30.0</v>
      </c>
      <c r="N5" s="6" t="s">
        <v>1609</v>
      </c>
      <c r="O5" s="6" t="s">
        <v>1616</v>
      </c>
    </row>
    <row r="6">
      <c r="A6" s="6" t="s">
        <v>1626</v>
      </c>
      <c r="B6" s="6" t="s">
        <v>1627</v>
      </c>
      <c r="C6" s="6" t="s">
        <v>114</v>
      </c>
      <c r="D6" s="6" t="s">
        <v>114</v>
      </c>
      <c r="E6" s="6" t="s">
        <v>1609</v>
      </c>
      <c r="F6" s="127">
        <v>45597.0</v>
      </c>
      <c r="G6" s="6" t="s">
        <v>1610</v>
      </c>
      <c r="H6" s="6" t="b">
        <v>0</v>
      </c>
      <c r="I6" s="6" t="s">
        <v>1615</v>
      </c>
      <c r="J6" s="6" t="s">
        <v>203</v>
      </c>
      <c r="K6" s="6">
        <v>40.0</v>
      </c>
      <c r="L6" s="6" t="s">
        <v>1611</v>
      </c>
      <c r="M6" s="6">
        <v>30.0</v>
      </c>
      <c r="N6" s="6" t="s">
        <v>1609</v>
      </c>
      <c r="O6" s="6" t="s">
        <v>1616</v>
      </c>
    </row>
    <row r="7">
      <c r="A7" s="6" t="s">
        <v>1631</v>
      </c>
      <c r="B7" s="6" t="s">
        <v>1633</v>
      </c>
      <c r="C7" s="6" t="s">
        <v>114</v>
      </c>
      <c r="D7" s="6" t="s">
        <v>114</v>
      </c>
      <c r="E7" s="6" t="s">
        <v>1609</v>
      </c>
      <c r="F7" s="127">
        <v>45597.0</v>
      </c>
      <c r="G7" s="6" t="s">
        <v>1610</v>
      </c>
      <c r="H7" s="6" t="b">
        <v>0</v>
      </c>
      <c r="I7" s="6" t="s">
        <v>1615</v>
      </c>
      <c r="J7" s="6" t="s">
        <v>203</v>
      </c>
      <c r="K7" s="6">
        <v>20.0</v>
      </c>
      <c r="L7" s="6" t="s">
        <v>1611</v>
      </c>
      <c r="M7" s="6">
        <v>30.0</v>
      </c>
      <c r="N7" s="6" t="s">
        <v>1609</v>
      </c>
      <c r="O7" s="6" t="s">
        <v>1616</v>
      </c>
    </row>
    <row r="8">
      <c r="A8" s="6" t="s">
        <v>1634</v>
      </c>
      <c r="B8" s="6" t="s">
        <v>1635</v>
      </c>
      <c r="C8" s="6" t="s">
        <v>114</v>
      </c>
      <c r="D8" s="6" t="s">
        <v>114</v>
      </c>
      <c r="E8" s="6" t="s">
        <v>1609</v>
      </c>
      <c r="F8" s="127">
        <v>45597.0</v>
      </c>
      <c r="G8" s="6" t="s">
        <v>1610</v>
      </c>
      <c r="H8" s="6" t="b">
        <v>0</v>
      </c>
      <c r="I8" s="6" t="s">
        <v>1615</v>
      </c>
      <c r="J8" s="6" t="s">
        <v>203</v>
      </c>
      <c r="K8" s="6">
        <v>42.0</v>
      </c>
      <c r="L8" s="6" t="s">
        <v>1611</v>
      </c>
      <c r="M8" s="6">
        <v>30.0</v>
      </c>
      <c r="N8" s="6" t="s">
        <v>1609</v>
      </c>
      <c r="O8" s="6" t="s">
        <v>1616</v>
      </c>
    </row>
    <row r="9">
      <c r="A9" s="6" t="s">
        <v>1636</v>
      </c>
      <c r="B9" s="6" t="s">
        <v>1637</v>
      </c>
      <c r="C9" s="6" t="s">
        <v>114</v>
      </c>
      <c r="D9" s="6" t="s">
        <v>114</v>
      </c>
      <c r="E9" s="6" t="s">
        <v>1609</v>
      </c>
      <c r="F9" s="127">
        <v>45597.0</v>
      </c>
      <c r="G9" s="6" t="s">
        <v>1610</v>
      </c>
      <c r="H9" s="6" t="b">
        <v>0</v>
      </c>
      <c r="I9" s="6" t="s">
        <v>1609</v>
      </c>
      <c r="J9" s="6" t="s">
        <v>1609</v>
      </c>
      <c r="K9" s="6" t="s">
        <v>1609</v>
      </c>
      <c r="L9" s="6" t="s">
        <v>1609</v>
      </c>
      <c r="M9" s="6" t="s">
        <v>1609</v>
      </c>
      <c r="N9" s="6" t="s">
        <v>1609</v>
      </c>
      <c r="O9" s="6"/>
    </row>
    <row r="10">
      <c r="A10" s="6" t="s">
        <v>1638</v>
      </c>
      <c r="B10" s="6" t="s">
        <v>1639</v>
      </c>
      <c r="C10" s="6" t="s">
        <v>1019</v>
      </c>
      <c r="D10" s="6" t="s">
        <v>114</v>
      </c>
      <c r="E10" s="6" t="s">
        <v>1609</v>
      </c>
      <c r="F10" s="127">
        <v>45667.0</v>
      </c>
      <c r="G10" s="6" t="s">
        <v>1610</v>
      </c>
      <c r="H10" s="6" t="b">
        <v>0</v>
      </c>
      <c r="I10" s="6" t="s">
        <v>1640</v>
      </c>
      <c r="J10" s="6" t="s">
        <v>560</v>
      </c>
      <c r="K10" s="6">
        <v>171.0</v>
      </c>
      <c r="L10" s="6" t="s">
        <v>1611</v>
      </c>
      <c r="M10" s="6">
        <v>30.0</v>
      </c>
      <c r="N10" s="6" t="s">
        <v>1609</v>
      </c>
      <c r="O10" s="6" t="s">
        <v>1616</v>
      </c>
    </row>
    <row r="11">
      <c r="A11" s="6" t="s">
        <v>1643</v>
      </c>
      <c r="B11" s="6" t="s">
        <v>1645</v>
      </c>
      <c r="C11" s="6" t="s">
        <v>114</v>
      </c>
      <c r="D11" s="6" t="s">
        <v>114</v>
      </c>
      <c r="E11" s="6" t="s">
        <v>1609</v>
      </c>
      <c r="F11" s="127">
        <v>45667.0</v>
      </c>
      <c r="G11" s="6" t="s">
        <v>1610</v>
      </c>
      <c r="H11" s="6" t="b">
        <v>0</v>
      </c>
      <c r="I11" s="6" t="s">
        <v>1649</v>
      </c>
      <c r="J11" s="6" t="s">
        <v>560</v>
      </c>
      <c r="K11" s="6">
        <v>38.0</v>
      </c>
      <c r="L11" s="6" t="s">
        <v>1611</v>
      </c>
      <c r="M11" s="6">
        <v>30.0</v>
      </c>
      <c r="N11" s="6" t="s">
        <v>1609</v>
      </c>
      <c r="O11" s="6" t="s">
        <v>1616</v>
      </c>
    </row>
    <row r="12">
      <c r="A12" s="6" t="s">
        <v>1650</v>
      </c>
      <c r="B12" s="6" t="s">
        <v>1651</v>
      </c>
      <c r="C12" s="6" t="s">
        <v>114</v>
      </c>
      <c r="D12" s="6" t="s">
        <v>114</v>
      </c>
      <c r="E12" s="6" t="s">
        <v>1609</v>
      </c>
      <c r="F12" s="127">
        <v>45688.0</v>
      </c>
      <c r="G12" s="6" t="s">
        <v>1610</v>
      </c>
      <c r="H12" s="6" t="b">
        <v>0</v>
      </c>
      <c r="I12" s="6" t="s">
        <v>1653</v>
      </c>
      <c r="J12" s="6" t="s">
        <v>1654</v>
      </c>
      <c r="K12" s="6">
        <v>52.0</v>
      </c>
      <c r="L12" s="6" t="s">
        <v>1611</v>
      </c>
      <c r="M12" s="6">
        <v>30.0</v>
      </c>
      <c r="N12" s="6">
        <v>7800.0</v>
      </c>
      <c r="O12" s="6" t="s">
        <v>1616</v>
      </c>
    </row>
    <row r="13">
      <c r="A13" s="6" t="s">
        <v>1655</v>
      </c>
      <c r="B13" s="6" t="s">
        <v>1656</v>
      </c>
      <c r="C13" s="6" t="s">
        <v>1657</v>
      </c>
      <c r="D13" s="6" t="s">
        <v>114</v>
      </c>
      <c r="E13" s="6" t="s">
        <v>1609</v>
      </c>
      <c r="F13" s="127">
        <v>45688.0</v>
      </c>
      <c r="G13" s="6" t="s">
        <v>1610</v>
      </c>
      <c r="H13" s="6" t="b">
        <v>0</v>
      </c>
      <c r="I13" s="6" t="s">
        <v>622</v>
      </c>
      <c r="J13" s="6" t="s">
        <v>560</v>
      </c>
      <c r="K13" s="6">
        <v>156.0</v>
      </c>
      <c r="L13" s="6" t="s">
        <v>1611</v>
      </c>
      <c r="M13" s="6">
        <v>30.0</v>
      </c>
      <c r="N13" s="6">
        <v>23400.0</v>
      </c>
      <c r="O13" s="6" t="s">
        <v>1616</v>
      </c>
    </row>
    <row r="14">
      <c r="A14" s="6" t="s">
        <v>1658</v>
      </c>
      <c r="B14" s="6" t="s">
        <v>1659</v>
      </c>
      <c r="C14" s="6" t="s">
        <v>114</v>
      </c>
      <c r="D14" s="6" t="s">
        <v>114</v>
      </c>
      <c r="E14" s="6" t="s">
        <v>1609</v>
      </c>
      <c r="F14" s="127">
        <v>45709.0</v>
      </c>
      <c r="G14" s="6" t="s">
        <v>1610</v>
      </c>
      <c r="H14" s="6" t="b">
        <v>0</v>
      </c>
      <c r="I14" s="6" t="s">
        <v>201</v>
      </c>
      <c r="J14" s="6" t="s">
        <v>203</v>
      </c>
      <c r="K14" s="6">
        <v>42.0</v>
      </c>
      <c r="L14" s="6" t="s">
        <v>1611</v>
      </c>
      <c r="M14" s="6">
        <v>30.0</v>
      </c>
      <c r="N14" s="6">
        <v>6300.0</v>
      </c>
      <c r="O14" s="6" t="s">
        <v>1616</v>
      </c>
    </row>
    <row r="15">
      <c r="A15" s="6" t="s">
        <v>1660</v>
      </c>
      <c r="B15" s="6" t="s">
        <v>1661</v>
      </c>
      <c r="C15" s="6" t="s">
        <v>1662</v>
      </c>
      <c r="D15" s="6" t="s">
        <v>114</v>
      </c>
      <c r="E15" s="6" t="s">
        <v>1609</v>
      </c>
      <c r="F15" s="127">
        <v>45709.0</v>
      </c>
      <c r="G15" s="6" t="s">
        <v>1610</v>
      </c>
      <c r="H15" s="6" t="b">
        <v>0</v>
      </c>
      <c r="I15" s="6" t="s">
        <v>622</v>
      </c>
      <c r="J15" s="6" t="s">
        <v>560</v>
      </c>
      <c r="K15" s="6">
        <v>188.0</v>
      </c>
      <c r="L15" s="6" t="s">
        <v>1611</v>
      </c>
      <c r="M15" s="6">
        <v>30.0</v>
      </c>
      <c r="N15" s="6">
        <v>28200.0</v>
      </c>
      <c r="O15" s="6" t="s">
        <v>1616</v>
      </c>
    </row>
    <row r="16">
      <c r="A16" s="6" t="s">
        <v>1663</v>
      </c>
      <c r="B16" s="6" t="s">
        <v>1664</v>
      </c>
      <c r="C16" s="6" t="s">
        <v>114</v>
      </c>
      <c r="D16" s="6" t="s">
        <v>114</v>
      </c>
      <c r="E16" s="6" t="s">
        <v>1609</v>
      </c>
      <c r="F16" s="127">
        <v>45709.0</v>
      </c>
      <c r="G16" s="6" t="s">
        <v>1610</v>
      </c>
      <c r="H16" s="6" t="b">
        <v>0</v>
      </c>
      <c r="I16" s="6" t="s">
        <v>201</v>
      </c>
      <c r="J16" s="6" t="s">
        <v>203</v>
      </c>
      <c r="K16" s="6">
        <v>48.0</v>
      </c>
      <c r="L16" s="6" t="s">
        <v>1611</v>
      </c>
      <c r="M16" s="6">
        <v>30.0</v>
      </c>
      <c r="N16" s="6">
        <v>7200.0</v>
      </c>
      <c r="O16" s="6" t="s">
        <v>1616</v>
      </c>
    </row>
    <row r="17">
      <c r="A17" s="6" t="s">
        <v>1669</v>
      </c>
      <c r="B17" s="6" t="s">
        <v>1670</v>
      </c>
      <c r="C17" s="6" t="s">
        <v>147</v>
      </c>
      <c r="D17" s="6" t="s">
        <v>138</v>
      </c>
      <c r="E17" s="6" t="s">
        <v>1609</v>
      </c>
      <c r="F17" s="127">
        <v>45709.0</v>
      </c>
      <c r="G17" s="6" t="s">
        <v>1610</v>
      </c>
      <c r="H17" s="6" t="b">
        <v>0</v>
      </c>
      <c r="I17" s="6" t="s">
        <v>622</v>
      </c>
      <c r="J17" s="6" t="s">
        <v>560</v>
      </c>
      <c r="K17" s="6">
        <v>148.0</v>
      </c>
      <c r="L17" s="6" t="s">
        <v>1611</v>
      </c>
      <c r="M17" s="6">
        <v>30.0</v>
      </c>
      <c r="N17" s="6">
        <v>22200.0</v>
      </c>
      <c r="O17" s="6" t="s">
        <v>1616</v>
      </c>
    </row>
    <row r="18">
      <c r="A18" s="6" t="s">
        <v>1671</v>
      </c>
      <c r="B18" s="6" t="s">
        <v>1672</v>
      </c>
      <c r="C18" s="6" t="s">
        <v>1673</v>
      </c>
      <c r="D18" s="6" t="s">
        <v>113</v>
      </c>
      <c r="E18" s="6" t="s">
        <v>1609</v>
      </c>
      <c r="F18" s="127">
        <v>45709.0</v>
      </c>
      <c r="G18" s="6" t="s">
        <v>1610</v>
      </c>
      <c r="H18" s="6" t="b">
        <v>0</v>
      </c>
      <c r="I18" s="6" t="s">
        <v>622</v>
      </c>
      <c r="J18" s="6" t="s">
        <v>560</v>
      </c>
      <c r="K18" s="6">
        <v>193.0</v>
      </c>
      <c r="L18" s="6" t="s">
        <v>1611</v>
      </c>
      <c r="M18" s="6">
        <v>30.0</v>
      </c>
      <c r="N18" s="6">
        <v>28950.0</v>
      </c>
      <c r="O18" s="6" t="s">
        <v>1616</v>
      </c>
    </row>
    <row r="19">
      <c r="A19" s="6" t="s">
        <v>1674</v>
      </c>
      <c r="B19" s="6" t="s">
        <v>1675</v>
      </c>
      <c r="C19" s="6" t="s">
        <v>120</v>
      </c>
      <c r="D19" s="6" t="s">
        <v>120</v>
      </c>
      <c r="E19" s="6" t="s">
        <v>1609</v>
      </c>
      <c r="F19" s="127">
        <v>45709.0</v>
      </c>
      <c r="G19" s="6" t="s">
        <v>1610</v>
      </c>
      <c r="H19" s="6" t="b">
        <v>0</v>
      </c>
      <c r="I19" s="6" t="s">
        <v>622</v>
      </c>
      <c r="J19" s="6" t="s">
        <v>560</v>
      </c>
      <c r="K19" s="6">
        <v>160.0</v>
      </c>
      <c r="L19" s="6" t="s">
        <v>1611</v>
      </c>
      <c r="M19" s="6">
        <v>30.0</v>
      </c>
      <c r="N19" s="6">
        <v>24000.0</v>
      </c>
      <c r="O19" s="6" t="s">
        <v>1616</v>
      </c>
    </row>
    <row r="20">
      <c r="A20" s="6" t="s">
        <v>1676</v>
      </c>
      <c r="B20" s="6" t="s">
        <v>1677</v>
      </c>
      <c r="C20" s="6" t="s">
        <v>1678</v>
      </c>
      <c r="D20" s="6" t="s">
        <v>1545</v>
      </c>
      <c r="E20" s="6" t="s">
        <v>1609</v>
      </c>
      <c r="F20" s="127">
        <v>45709.0</v>
      </c>
      <c r="G20" s="6" t="s">
        <v>1610</v>
      </c>
      <c r="H20" s="6" t="b">
        <v>0</v>
      </c>
      <c r="I20" s="6" t="s">
        <v>622</v>
      </c>
      <c r="J20" s="6" t="s">
        <v>560</v>
      </c>
      <c r="K20" s="6">
        <v>250.0</v>
      </c>
      <c r="L20" s="6" t="s">
        <v>1611</v>
      </c>
      <c r="M20" s="6">
        <v>30.0</v>
      </c>
      <c r="N20" s="6">
        <v>37500.0</v>
      </c>
      <c r="O20" s="6" t="s">
        <v>1616</v>
      </c>
    </row>
    <row r="21">
      <c r="A21" s="6" t="s">
        <v>1679</v>
      </c>
      <c r="B21" s="6" t="s">
        <v>1680</v>
      </c>
      <c r="C21" s="6" t="s">
        <v>114</v>
      </c>
      <c r="D21" s="6" t="s">
        <v>114</v>
      </c>
      <c r="E21" s="6" t="s">
        <v>1609</v>
      </c>
      <c r="F21" s="127">
        <v>45709.0</v>
      </c>
      <c r="G21" s="6" t="s">
        <v>1610</v>
      </c>
      <c r="H21" s="6" t="b">
        <v>0</v>
      </c>
      <c r="I21" s="6" t="s">
        <v>445</v>
      </c>
      <c r="J21" s="6" t="s">
        <v>90</v>
      </c>
      <c r="K21" s="6">
        <v>84.0</v>
      </c>
      <c r="L21" s="6" t="s">
        <v>1611</v>
      </c>
      <c r="M21" s="6">
        <v>30.0</v>
      </c>
      <c r="N21" s="6">
        <v>12600.0</v>
      </c>
      <c r="O21" s="6" t="s">
        <v>1616</v>
      </c>
    </row>
    <row r="22">
      <c r="A22" s="6" t="s">
        <v>1688</v>
      </c>
      <c r="B22" s="6" t="s">
        <v>1689</v>
      </c>
      <c r="C22" s="6" t="s">
        <v>1019</v>
      </c>
      <c r="D22" s="6" t="s">
        <v>114</v>
      </c>
      <c r="E22" s="6" t="s">
        <v>1609</v>
      </c>
      <c r="F22" s="127">
        <v>45730.0</v>
      </c>
      <c r="G22" s="6" t="s">
        <v>1610</v>
      </c>
      <c r="H22" s="6" t="b">
        <v>0</v>
      </c>
      <c r="I22" s="6" t="s">
        <v>1022</v>
      </c>
      <c r="J22" s="6" t="s">
        <v>1691</v>
      </c>
      <c r="K22" s="6">
        <v>96.0</v>
      </c>
      <c r="L22" s="6" t="s">
        <v>1611</v>
      </c>
      <c r="M22" s="6">
        <v>30.0</v>
      </c>
      <c r="N22" s="6">
        <v>14400.0</v>
      </c>
      <c r="O22" s="6" t="s">
        <v>1616</v>
      </c>
    </row>
    <row r="23">
      <c r="A23" s="6" t="s">
        <v>1692</v>
      </c>
      <c r="B23" s="6" t="s">
        <v>1693</v>
      </c>
      <c r="C23" s="6" t="s">
        <v>120</v>
      </c>
      <c r="D23" s="6" t="s">
        <v>120</v>
      </c>
      <c r="E23" s="6" t="s">
        <v>1609</v>
      </c>
      <c r="F23" s="127">
        <v>45751.0</v>
      </c>
      <c r="G23" s="6" t="s">
        <v>1610</v>
      </c>
      <c r="H23" s="6" t="b">
        <v>0</v>
      </c>
      <c r="I23" s="6" t="s">
        <v>1695</v>
      </c>
      <c r="J23" s="6" t="s">
        <v>90</v>
      </c>
      <c r="K23" s="6">
        <v>250.0</v>
      </c>
      <c r="L23" s="6" t="s">
        <v>1696</v>
      </c>
      <c r="M23" s="6">
        <v>30.0</v>
      </c>
      <c r="N23" s="6">
        <v>15000.0</v>
      </c>
      <c r="O23" s="6" t="s">
        <v>1616</v>
      </c>
    </row>
    <row r="24">
      <c r="A24" s="6" t="s">
        <v>1697</v>
      </c>
      <c r="B24" s="6" t="s">
        <v>1698</v>
      </c>
      <c r="C24" s="6" t="s">
        <v>86</v>
      </c>
      <c r="D24" s="6" t="s">
        <v>86</v>
      </c>
      <c r="E24" s="6" t="s">
        <v>1609</v>
      </c>
      <c r="F24" s="127">
        <v>45772.0</v>
      </c>
      <c r="G24" s="6" t="s">
        <v>1610</v>
      </c>
      <c r="H24" s="6" t="b">
        <v>0</v>
      </c>
      <c r="I24" s="6" t="s">
        <v>1699</v>
      </c>
      <c r="J24" s="6" t="s">
        <v>938</v>
      </c>
      <c r="K24" s="6">
        <v>615.0</v>
      </c>
      <c r="L24" s="6" t="s">
        <v>1611</v>
      </c>
      <c r="M24" s="6">
        <v>30.0</v>
      </c>
      <c r="N24" s="6">
        <v>68625.0</v>
      </c>
      <c r="O24" s="6" t="s">
        <v>1616</v>
      </c>
    </row>
    <row r="25">
      <c r="A25" s="6" t="s">
        <v>1700</v>
      </c>
      <c r="B25" s="6" t="s">
        <v>1701</v>
      </c>
      <c r="C25" s="6" t="s">
        <v>114</v>
      </c>
      <c r="D25" s="6" t="s">
        <v>114</v>
      </c>
      <c r="E25" s="6" t="s">
        <v>1609</v>
      </c>
      <c r="F25" s="127">
        <v>45772.0</v>
      </c>
      <c r="G25" s="6" t="s">
        <v>1610</v>
      </c>
      <c r="H25" s="6" t="b">
        <v>0</v>
      </c>
      <c r="I25" s="6" t="s">
        <v>1588</v>
      </c>
      <c r="J25" s="6" t="s">
        <v>951</v>
      </c>
      <c r="K25" s="6">
        <v>38.0</v>
      </c>
      <c r="L25" s="6" t="s">
        <v>1611</v>
      </c>
      <c r="M25" s="6">
        <v>30.0</v>
      </c>
      <c r="N25" s="6">
        <v>5550.0</v>
      </c>
      <c r="O25" s="6" t="s">
        <v>1616</v>
      </c>
    </row>
    <row r="26">
      <c r="A26" s="6" t="s">
        <v>1702</v>
      </c>
      <c r="B26" s="6" t="s">
        <v>1703</v>
      </c>
      <c r="C26" s="6" t="s">
        <v>114</v>
      </c>
      <c r="D26" s="6" t="s">
        <v>114</v>
      </c>
      <c r="E26" s="6" t="s">
        <v>1609</v>
      </c>
      <c r="F26" s="127">
        <v>45807.0</v>
      </c>
      <c r="G26" s="6" t="s">
        <v>1610</v>
      </c>
      <c r="H26" s="6" t="b">
        <v>0</v>
      </c>
      <c r="I26" s="6" t="s">
        <v>1704</v>
      </c>
      <c r="J26" s="6" t="s">
        <v>203</v>
      </c>
      <c r="K26" s="6" t="s">
        <v>1609</v>
      </c>
      <c r="L26" s="6" t="s">
        <v>1696</v>
      </c>
      <c r="M26" s="6">
        <v>30.0</v>
      </c>
      <c r="N26" s="6">
        <v>34350.0</v>
      </c>
      <c r="O26" s="6" t="s">
        <v>1616</v>
      </c>
    </row>
    <row r="27">
      <c r="A27" s="6" t="s">
        <v>1705</v>
      </c>
      <c r="B27" s="6" t="s">
        <v>1456</v>
      </c>
      <c r="C27" s="6" t="s">
        <v>114</v>
      </c>
      <c r="D27" s="6" t="s">
        <v>114</v>
      </c>
      <c r="E27" s="6" t="s">
        <v>1609</v>
      </c>
      <c r="F27" s="127">
        <v>45814.0</v>
      </c>
      <c r="G27" s="6" t="s">
        <v>1610</v>
      </c>
      <c r="H27" s="6" t="b">
        <v>0</v>
      </c>
      <c r="I27" s="6" t="s">
        <v>1458</v>
      </c>
      <c r="J27" s="6" t="s">
        <v>203</v>
      </c>
      <c r="K27" s="6">
        <v>69.0</v>
      </c>
      <c r="L27" s="6" t="s">
        <v>1711</v>
      </c>
      <c r="M27" s="6">
        <v>30.0</v>
      </c>
      <c r="N27" s="6">
        <v>8400.0</v>
      </c>
      <c r="O27" s="6" t="s">
        <v>1712</v>
      </c>
    </row>
    <row r="28">
      <c r="A28" s="6" t="s">
        <v>1713</v>
      </c>
      <c r="B28" s="6" t="s">
        <v>1714</v>
      </c>
      <c r="C28" s="6" t="s">
        <v>114</v>
      </c>
      <c r="D28" s="6" t="s">
        <v>114</v>
      </c>
      <c r="E28" s="6" t="s">
        <v>1609</v>
      </c>
      <c r="F28" s="127">
        <v>45835.0</v>
      </c>
      <c r="G28" s="6" t="s">
        <v>1610</v>
      </c>
      <c r="H28" s="6" t="b">
        <v>0</v>
      </c>
      <c r="I28" s="6" t="s">
        <v>622</v>
      </c>
      <c r="J28" s="6" t="s">
        <v>560</v>
      </c>
      <c r="K28" s="6">
        <v>302.0</v>
      </c>
      <c r="L28" s="6" t="s">
        <v>1611</v>
      </c>
      <c r="M28" s="6">
        <v>30.0</v>
      </c>
      <c r="N28" s="6">
        <v>45150.0</v>
      </c>
      <c r="O28" s="6" t="s">
        <v>1712</v>
      </c>
    </row>
    <row r="29">
      <c r="A29" s="6" t="s">
        <v>1716</v>
      </c>
      <c r="B29" s="6" t="s">
        <v>1717</v>
      </c>
      <c r="C29" s="6" t="s">
        <v>340</v>
      </c>
      <c r="D29" s="6" t="s">
        <v>111</v>
      </c>
      <c r="E29" s="6" t="s">
        <v>1609</v>
      </c>
      <c r="F29" s="127">
        <v>45856.0</v>
      </c>
      <c r="G29" s="6" t="s">
        <v>1610</v>
      </c>
      <c r="H29" s="6" t="b">
        <v>0</v>
      </c>
      <c r="I29" s="6" t="s">
        <v>1718</v>
      </c>
      <c r="J29" s="6" t="s">
        <v>938</v>
      </c>
      <c r="K29" s="6">
        <v>208.0</v>
      </c>
      <c r="L29" s="6" t="s">
        <v>1611</v>
      </c>
      <c r="M29" s="6">
        <v>30.0</v>
      </c>
      <c r="N29" s="6">
        <v>31200.0</v>
      </c>
      <c r="O29" s="6" t="s">
        <v>1712</v>
      </c>
    </row>
    <row r="30">
      <c r="A30" s="6" t="s">
        <v>1719</v>
      </c>
      <c r="B30" s="6" t="s">
        <v>1717</v>
      </c>
      <c r="C30" s="6" t="s">
        <v>340</v>
      </c>
      <c r="D30" s="6" t="s">
        <v>111</v>
      </c>
      <c r="E30" s="6" t="s">
        <v>1609</v>
      </c>
      <c r="F30" s="127">
        <v>45856.0</v>
      </c>
      <c r="G30" s="6" t="s">
        <v>1610</v>
      </c>
      <c r="H30" s="6" t="b">
        <v>0</v>
      </c>
      <c r="I30" s="6" t="s">
        <v>1718</v>
      </c>
      <c r="J30" s="6" t="s">
        <v>938</v>
      </c>
      <c r="K30" s="6">
        <v>148.0</v>
      </c>
      <c r="L30" s="6" t="s">
        <v>1611</v>
      </c>
      <c r="M30" s="6">
        <v>30.0</v>
      </c>
      <c r="N30" s="6">
        <v>22200.0</v>
      </c>
      <c r="O30" s="6" t="s">
        <v>1712</v>
      </c>
    </row>
    <row r="31">
      <c r="A31" s="6" t="s">
        <v>1720</v>
      </c>
      <c r="B31" s="6" t="s">
        <v>1721</v>
      </c>
      <c r="C31" s="6" t="s">
        <v>114</v>
      </c>
      <c r="D31" s="6" t="s">
        <v>114</v>
      </c>
      <c r="E31" s="6" t="s">
        <v>1609</v>
      </c>
      <c r="F31" s="127">
        <v>45856.0</v>
      </c>
      <c r="G31" s="6" t="s">
        <v>1610</v>
      </c>
      <c r="H31" s="6" t="b">
        <v>0</v>
      </c>
      <c r="I31" s="6" t="s">
        <v>834</v>
      </c>
      <c r="J31" s="6" t="s">
        <v>938</v>
      </c>
      <c r="K31" s="6">
        <v>52.0</v>
      </c>
      <c r="L31" s="6" t="s">
        <v>1611</v>
      </c>
      <c r="M31" s="6">
        <v>30.0</v>
      </c>
      <c r="N31" s="6">
        <v>7800.0</v>
      </c>
      <c r="O31" s="6" t="s">
        <v>1712</v>
      </c>
    </row>
    <row r="32">
      <c r="A32" s="6" t="s">
        <v>1724</v>
      </c>
      <c r="B32" s="6" t="s">
        <v>1725</v>
      </c>
      <c r="C32" s="6" t="s">
        <v>114</v>
      </c>
      <c r="D32" s="6" t="s">
        <v>114</v>
      </c>
      <c r="E32" s="6" t="s">
        <v>1609</v>
      </c>
      <c r="F32" s="127">
        <v>45877.0</v>
      </c>
      <c r="G32" s="6" t="s">
        <v>1610</v>
      </c>
      <c r="H32" s="6" t="b">
        <v>0</v>
      </c>
      <c r="I32" s="6" t="s">
        <v>445</v>
      </c>
      <c r="J32" s="6" t="s">
        <v>90</v>
      </c>
      <c r="K32" s="6">
        <v>70.0</v>
      </c>
      <c r="L32" s="6" t="s">
        <v>1611</v>
      </c>
      <c r="M32" s="6">
        <v>30.0</v>
      </c>
      <c r="N32" s="6">
        <v>10350.0</v>
      </c>
      <c r="O32" s="6" t="s">
        <v>1712</v>
      </c>
    </row>
    <row r="33">
      <c r="A33" s="6" t="s">
        <v>1726</v>
      </c>
      <c r="B33" s="6" t="s">
        <v>1727</v>
      </c>
      <c r="C33" s="6" t="s">
        <v>114</v>
      </c>
      <c r="D33" s="6" t="s">
        <v>114</v>
      </c>
      <c r="E33" s="6" t="s">
        <v>1609</v>
      </c>
      <c r="F33" s="127">
        <v>45877.0</v>
      </c>
      <c r="G33" s="6" t="s">
        <v>1610</v>
      </c>
      <c r="H33" s="6" t="b">
        <v>0</v>
      </c>
      <c r="I33" s="6" t="s">
        <v>445</v>
      </c>
      <c r="J33" s="6" t="s">
        <v>90</v>
      </c>
      <c r="K33" s="6">
        <v>84.0</v>
      </c>
      <c r="L33" s="6" t="s">
        <v>1611</v>
      </c>
      <c r="M33" s="6">
        <v>30.0</v>
      </c>
      <c r="N33" s="6">
        <v>12450.0</v>
      </c>
      <c r="O33" s="6" t="s">
        <v>1712</v>
      </c>
    </row>
    <row r="34">
      <c r="A34" s="6" t="s">
        <v>1732</v>
      </c>
      <c r="B34" s="6" t="s">
        <v>1732</v>
      </c>
      <c r="C34" s="6" t="s">
        <v>1733</v>
      </c>
      <c r="D34" s="6" t="s">
        <v>1546</v>
      </c>
      <c r="E34" s="6" t="s">
        <v>1609</v>
      </c>
      <c r="F34" s="127">
        <v>45919.0</v>
      </c>
      <c r="G34" s="6" t="s">
        <v>1610</v>
      </c>
      <c r="H34" s="6" t="b">
        <v>0</v>
      </c>
      <c r="I34" s="6" t="s">
        <v>1734</v>
      </c>
      <c r="J34" s="6" t="s">
        <v>1735</v>
      </c>
      <c r="K34" s="6">
        <v>90.0</v>
      </c>
      <c r="L34" s="6" t="s">
        <v>1611</v>
      </c>
      <c r="M34" s="6">
        <v>30.0</v>
      </c>
      <c r="N34" s="6">
        <v>13500.0</v>
      </c>
      <c r="O34" s="6" t="s">
        <v>1712</v>
      </c>
    </row>
    <row r="35">
      <c r="A35" s="6" t="s">
        <v>1737</v>
      </c>
      <c r="B35" s="6" t="s">
        <v>1738</v>
      </c>
      <c r="C35" s="6" t="s">
        <v>114</v>
      </c>
      <c r="D35" s="6" t="s">
        <v>114</v>
      </c>
      <c r="E35" s="6" t="s">
        <v>1609</v>
      </c>
      <c r="F35" s="127">
        <v>45919.0</v>
      </c>
      <c r="G35" s="6" t="s">
        <v>1610</v>
      </c>
      <c r="H35" s="6" t="b">
        <v>0</v>
      </c>
      <c r="I35" s="6" t="s">
        <v>1739</v>
      </c>
      <c r="J35" s="6" t="s">
        <v>587</v>
      </c>
      <c r="K35" s="6">
        <v>42.0</v>
      </c>
      <c r="L35" s="6" t="s">
        <v>1611</v>
      </c>
      <c r="M35" s="6">
        <v>30.0</v>
      </c>
      <c r="N35" s="6">
        <v>6300.0</v>
      </c>
      <c r="O35" s="6" t="s">
        <v>1712</v>
      </c>
    </row>
    <row r="36">
      <c r="A36" s="6" t="s">
        <v>1740</v>
      </c>
      <c r="B36" s="6" t="s">
        <v>1741</v>
      </c>
      <c r="C36" s="6" t="s">
        <v>114</v>
      </c>
      <c r="D36" s="6" t="s">
        <v>114</v>
      </c>
      <c r="E36" s="6" t="s">
        <v>1609</v>
      </c>
      <c r="F36" s="127">
        <v>45919.0</v>
      </c>
      <c r="G36" s="6" t="s">
        <v>1610</v>
      </c>
      <c r="H36" s="6" t="b">
        <v>0</v>
      </c>
      <c r="I36" s="6" t="s">
        <v>1739</v>
      </c>
      <c r="J36" s="6" t="s">
        <v>587</v>
      </c>
      <c r="K36" s="6">
        <v>37.0</v>
      </c>
      <c r="L36" s="6" t="s">
        <v>1611</v>
      </c>
      <c r="M36" s="6">
        <v>30.0</v>
      </c>
      <c r="N36" s="6">
        <v>5550.0</v>
      </c>
      <c r="O36" s="6" t="s">
        <v>1712</v>
      </c>
    </row>
    <row r="37">
      <c r="A37" s="6" t="s">
        <v>1742</v>
      </c>
      <c r="B37" s="6" t="s">
        <v>1743</v>
      </c>
      <c r="C37" s="6" t="s">
        <v>114</v>
      </c>
      <c r="D37" s="6" t="s">
        <v>114</v>
      </c>
      <c r="E37" s="6" t="s">
        <v>1609</v>
      </c>
      <c r="F37" s="127">
        <v>45940.0</v>
      </c>
      <c r="G37" s="6" t="s">
        <v>1610</v>
      </c>
      <c r="H37" s="6" t="b">
        <v>0</v>
      </c>
      <c r="I37" s="6" t="s">
        <v>540</v>
      </c>
      <c r="J37" s="6" t="s">
        <v>1744</v>
      </c>
      <c r="K37" s="6">
        <v>290.0</v>
      </c>
      <c r="L37" s="6" t="s">
        <v>1611</v>
      </c>
      <c r="M37" s="6">
        <v>30.0</v>
      </c>
      <c r="N37" s="6">
        <v>43500.0</v>
      </c>
      <c r="O37" s="6" t="s">
        <v>1712</v>
      </c>
    </row>
    <row r="38">
      <c r="A38" s="6" t="s">
        <v>1745</v>
      </c>
      <c r="B38" s="6" t="s">
        <v>1746</v>
      </c>
      <c r="C38" s="6" t="s">
        <v>114</v>
      </c>
      <c r="D38" s="6" t="s">
        <v>114</v>
      </c>
      <c r="E38" s="6" t="s">
        <v>1609</v>
      </c>
      <c r="F38" s="127">
        <v>45954.0</v>
      </c>
      <c r="G38" s="6" t="s">
        <v>1610</v>
      </c>
      <c r="H38" s="6" t="b">
        <v>0</v>
      </c>
      <c r="I38" s="6" t="s">
        <v>1747</v>
      </c>
      <c r="J38" s="6" t="s">
        <v>1748</v>
      </c>
      <c r="K38" s="6">
        <v>70.0</v>
      </c>
      <c r="L38" s="6" t="s">
        <v>1611</v>
      </c>
      <c r="M38" s="6">
        <v>30.0</v>
      </c>
      <c r="N38" s="6">
        <v>10500.0</v>
      </c>
      <c r="O38" s="6" t="s">
        <v>1712</v>
      </c>
    </row>
    <row r="39">
      <c r="A39" s="6" t="s">
        <v>1749</v>
      </c>
      <c r="B39" s="6" t="s">
        <v>1750</v>
      </c>
      <c r="C39" s="6" t="s">
        <v>114</v>
      </c>
      <c r="D39" s="6" t="s">
        <v>114</v>
      </c>
      <c r="E39" s="6" t="s">
        <v>1609</v>
      </c>
      <c r="F39" s="127">
        <v>45968.0</v>
      </c>
      <c r="G39" s="6" t="s">
        <v>1610</v>
      </c>
      <c r="H39" s="6" t="b">
        <v>0</v>
      </c>
      <c r="I39" s="6" t="s">
        <v>1588</v>
      </c>
      <c r="J39" s="6" t="s">
        <v>951</v>
      </c>
      <c r="K39" s="6">
        <v>50.0</v>
      </c>
      <c r="L39" s="6" t="s">
        <v>1611</v>
      </c>
      <c r="M39" s="6">
        <v>30.0</v>
      </c>
      <c r="N39" s="6">
        <v>7350.0</v>
      </c>
      <c r="O39" s="6" t="s">
        <v>1712</v>
      </c>
    </row>
    <row r="40">
      <c r="A40" s="6" t="s">
        <v>1754</v>
      </c>
      <c r="B40" s="6" t="s">
        <v>1756</v>
      </c>
      <c r="C40" s="6" t="s">
        <v>252</v>
      </c>
      <c r="D40" s="6" t="s">
        <v>126</v>
      </c>
      <c r="E40" s="6" t="s">
        <v>1609</v>
      </c>
      <c r="F40" s="127">
        <v>45982.0</v>
      </c>
      <c r="G40" s="6" t="s">
        <v>1610</v>
      </c>
      <c r="H40" s="6" t="b">
        <v>0</v>
      </c>
      <c r="I40" s="6" t="s">
        <v>1756</v>
      </c>
      <c r="J40" s="6" t="s">
        <v>587</v>
      </c>
      <c r="K40" s="6">
        <v>197.0</v>
      </c>
      <c r="L40" s="6" t="s">
        <v>1696</v>
      </c>
      <c r="M40" s="6">
        <v>30.0</v>
      </c>
      <c r="N40" s="6">
        <v>29550.0</v>
      </c>
      <c r="O40" s="6" t="s">
        <v>1712</v>
      </c>
    </row>
  </sheetData>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8" t="s">
        <v>1852</v>
      </c>
      <c r="B1" s="128" t="s">
        <v>8</v>
      </c>
      <c r="C1" s="128" t="s">
        <v>9</v>
      </c>
      <c r="D1" s="128" t="s">
        <v>1855</v>
      </c>
      <c r="E1" s="128" t="s">
        <v>1856</v>
      </c>
      <c r="F1" s="128" t="s">
        <v>1857</v>
      </c>
      <c r="G1" s="128" t="s">
        <v>1858</v>
      </c>
      <c r="H1" s="128" t="s">
        <v>1859</v>
      </c>
      <c r="I1" s="128" t="s">
        <v>1860</v>
      </c>
      <c r="J1" s="128" t="s">
        <v>1861</v>
      </c>
      <c r="K1" s="128" t="s">
        <v>1862</v>
      </c>
      <c r="L1" s="128" t="s">
        <v>1863</v>
      </c>
      <c r="M1" s="128" t="s">
        <v>1864</v>
      </c>
    </row>
    <row r="2">
      <c r="A2" s="129">
        <v>2.0</v>
      </c>
      <c r="B2" s="130" t="s">
        <v>108</v>
      </c>
      <c r="C2" s="130" t="s">
        <v>191</v>
      </c>
      <c r="D2" s="130" t="s">
        <v>114</v>
      </c>
      <c r="E2" s="131" t="s">
        <v>1865</v>
      </c>
      <c r="F2" s="132" t="b">
        <v>1</v>
      </c>
      <c r="G2" s="129">
        <v>3460.0</v>
      </c>
      <c r="H2" s="130" t="s">
        <v>1867</v>
      </c>
      <c r="I2" s="130" t="s">
        <v>115</v>
      </c>
      <c r="J2" s="129">
        <v>12657.0</v>
      </c>
      <c r="K2" s="129">
        <v>100.0</v>
      </c>
      <c r="L2" s="130" t="s">
        <v>1868</v>
      </c>
      <c r="M2" s="130" t="s">
        <v>1869</v>
      </c>
    </row>
    <row r="3">
      <c r="A3" s="129">
        <v>3.0</v>
      </c>
      <c r="B3" s="130" t="s">
        <v>136</v>
      </c>
      <c r="C3" s="130" t="s">
        <v>257</v>
      </c>
      <c r="D3" s="130" t="s">
        <v>114</v>
      </c>
      <c r="E3" s="131" t="s">
        <v>1870</v>
      </c>
      <c r="F3" s="132" t="b">
        <v>1</v>
      </c>
      <c r="G3" s="129">
        <v>5826.0</v>
      </c>
      <c r="H3" s="130" t="s">
        <v>257</v>
      </c>
      <c r="I3" s="130" t="s">
        <v>115</v>
      </c>
      <c r="J3" s="129">
        <v>12635.0</v>
      </c>
      <c r="K3" s="129">
        <v>100.0</v>
      </c>
      <c r="L3" s="130" t="s">
        <v>1868</v>
      </c>
      <c r="M3" s="130" t="s">
        <v>1871</v>
      </c>
    </row>
    <row r="4">
      <c r="A4" s="129">
        <v>4.0</v>
      </c>
      <c r="B4" s="130" t="s">
        <v>288</v>
      </c>
      <c r="C4" s="130" t="s">
        <v>289</v>
      </c>
      <c r="D4" s="130" t="s">
        <v>129</v>
      </c>
      <c r="E4" s="131" t="s">
        <v>1870</v>
      </c>
      <c r="F4" s="132" t="b">
        <v>1</v>
      </c>
      <c r="G4" s="129">
        <v>2862.0</v>
      </c>
      <c r="H4" s="130" t="s">
        <v>289</v>
      </c>
      <c r="I4" s="130" t="s">
        <v>1872</v>
      </c>
      <c r="J4" s="129">
        <v>10889.0</v>
      </c>
      <c r="K4" s="129">
        <v>100.0</v>
      </c>
      <c r="L4" s="130" t="s">
        <v>1868</v>
      </c>
      <c r="M4" s="130" t="s">
        <v>1873</v>
      </c>
    </row>
    <row r="5">
      <c r="A5" s="129">
        <v>5.0</v>
      </c>
      <c r="B5" s="130" t="s">
        <v>227</v>
      </c>
      <c r="C5" s="130" t="s">
        <v>228</v>
      </c>
      <c r="D5" s="130" t="s">
        <v>121</v>
      </c>
      <c r="E5" s="131" t="s">
        <v>1865</v>
      </c>
      <c r="F5" s="132" t="b">
        <v>1</v>
      </c>
      <c r="G5" s="129">
        <v>292.0</v>
      </c>
      <c r="H5" s="130" t="s">
        <v>1874</v>
      </c>
      <c r="I5" s="130" t="s">
        <v>1875</v>
      </c>
      <c r="J5" s="129">
        <v>12700.0</v>
      </c>
      <c r="K5" s="129">
        <v>100.0</v>
      </c>
      <c r="L5" s="130" t="s">
        <v>1868</v>
      </c>
      <c r="M5" s="130" t="s">
        <v>1876</v>
      </c>
    </row>
    <row r="6">
      <c r="A6" s="129">
        <v>6.0</v>
      </c>
      <c r="B6" s="130" t="s">
        <v>318</v>
      </c>
      <c r="C6" s="130" t="s">
        <v>319</v>
      </c>
      <c r="D6" s="130" t="s">
        <v>122</v>
      </c>
      <c r="E6" s="131" t="s">
        <v>1870</v>
      </c>
      <c r="F6" s="132" t="b">
        <v>1</v>
      </c>
      <c r="G6" s="129">
        <v>3657.0</v>
      </c>
      <c r="H6" s="130" t="s">
        <v>319</v>
      </c>
      <c r="I6" s="130" t="s">
        <v>1877</v>
      </c>
      <c r="J6" s="129">
        <v>12670.0</v>
      </c>
      <c r="K6" s="129">
        <v>100.0</v>
      </c>
      <c r="L6" s="130" t="s">
        <v>1868</v>
      </c>
      <c r="M6" s="130" t="s">
        <v>1878</v>
      </c>
    </row>
    <row r="7">
      <c r="A7" s="129">
        <v>7.0</v>
      </c>
      <c r="B7" s="130" t="s">
        <v>358</v>
      </c>
      <c r="C7" s="130" t="s">
        <v>360</v>
      </c>
      <c r="D7" s="130" t="s">
        <v>123</v>
      </c>
      <c r="E7" s="133" t="s">
        <v>1881</v>
      </c>
      <c r="F7" s="134"/>
      <c r="G7" s="129">
        <v>4183.0</v>
      </c>
      <c r="H7" s="130" t="s">
        <v>1886</v>
      </c>
      <c r="I7" s="130" t="s">
        <v>1888</v>
      </c>
      <c r="J7" s="129">
        <v>15250.0</v>
      </c>
      <c r="K7" s="129">
        <v>85.2</v>
      </c>
      <c r="L7" s="130" t="s">
        <v>1868</v>
      </c>
      <c r="M7" s="130" t="s">
        <v>1889</v>
      </c>
    </row>
    <row r="8">
      <c r="A8" s="129">
        <v>8.0</v>
      </c>
      <c r="B8" s="130" t="s">
        <v>382</v>
      </c>
      <c r="C8" s="130" t="s">
        <v>383</v>
      </c>
      <c r="D8" s="130" t="s">
        <v>86</v>
      </c>
      <c r="E8" s="135" t="s">
        <v>1890</v>
      </c>
      <c r="F8" s="136"/>
      <c r="G8" s="129">
        <v>3203.0</v>
      </c>
      <c r="H8" s="130" t="s">
        <v>1891</v>
      </c>
      <c r="I8" s="130" t="s">
        <v>1888</v>
      </c>
      <c r="J8" s="129">
        <v>6482.0</v>
      </c>
      <c r="K8" s="129">
        <v>24.6</v>
      </c>
      <c r="L8" s="130" t="s">
        <v>1892</v>
      </c>
      <c r="M8" s="130" t="s">
        <v>1893</v>
      </c>
    </row>
    <row r="9">
      <c r="A9" s="129">
        <v>9.0</v>
      </c>
      <c r="B9" s="130" t="s">
        <v>202</v>
      </c>
      <c r="C9" s="130" t="s">
        <v>409</v>
      </c>
      <c r="D9" s="130" t="s">
        <v>114</v>
      </c>
      <c r="E9" s="137" t="s">
        <v>1895</v>
      </c>
      <c r="F9" s="132" t="b">
        <v>1</v>
      </c>
      <c r="G9" s="129">
        <v>23.0</v>
      </c>
      <c r="H9" s="130" t="s">
        <v>1896</v>
      </c>
      <c r="I9" s="130" t="s">
        <v>115</v>
      </c>
      <c r="J9" s="129">
        <v>13827.0</v>
      </c>
      <c r="K9" s="129">
        <v>100.0</v>
      </c>
      <c r="L9" s="130" t="s">
        <v>1868</v>
      </c>
      <c r="M9" s="130" t="s">
        <v>1897</v>
      </c>
    </row>
    <row r="10">
      <c r="A10" s="129">
        <v>10.0</v>
      </c>
      <c r="B10" s="130" t="s">
        <v>220</v>
      </c>
      <c r="C10" s="130" t="s">
        <v>428</v>
      </c>
      <c r="D10" s="130" t="s">
        <v>114</v>
      </c>
      <c r="E10" s="135" t="s">
        <v>1890</v>
      </c>
      <c r="F10" s="136"/>
      <c r="G10" s="129">
        <v>6027.0</v>
      </c>
      <c r="H10" s="130" t="s">
        <v>1898</v>
      </c>
      <c r="I10" s="130" t="s">
        <v>1899</v>
      </c>
      <c r="J10" s="129">
        <v>3704.0</v>
      </c>
      <c r="K10" s="129">
        <v>54.7</v>
      </c>
      <c r="L10" s="130" t="s">
        <v>1892</v>
      </c>
      <c r="M10" s="130" t="s">
        <v>1893</v>
      </c>
    </row>
    <row r="11">
      <c r="A11" s="129">
        <v>11.0</v>
      </c>
      <c r="B11" s="130" t="s">
        <v>249</v>
      </c>
      <c r="C11" s="130" t="s">
        <v>437</v>
      </c>
      <c r="D11" s="130" t="s">
        <v>114</v>
      </c>
      <c r="E11" s="131" t="s">
        <v>1870</v>
      </c>
      <c r="F11" s="132" t="b">
        <v>1</v>
      </c>
      <c r="G11" s="129">
        <v>3017.0</v>
      </c>
      <c r="H11" s="130" t="s">
        <v>437</v>
      </c>
      <c r="I11" s="130" t="s">
        <v>115</v>
      </c>
      <c r="J11" s="129">
        <v>14953.0</v>
      </c>
      <c r="K11" s="129">
        <v>100.0</v>
      </c>
      <c r="L11" s="130" t="s">
        <v>1868</v>
      </c>
      <c r="M11" s="130" t="s">
        <v>1900</v>
      </c>
    </row>
    <row r="12">
      <c r="A12" s="129">
        <v>12.0</v>
      </c>
      <c r="B12" s="130" t="s">
        <v>457</v>
      </c>
      <c r="C12" s="130" t="s">
        <v>458</v>
      </c>
      <c r="D12" s="130" t="s">
        <v>86</v>
      </c>
      <c r="E12" s="138" t="s">
        <v>1901</v>
      </c>
      <c r="F12" s="132" t="b">
        <v>1</v>
      </c>
      <c r="G12" s="129">
        <v>554.0</v>
      </c>
      <c r="H12" s="130" t="s">
        <v>1902</v>
      </c>
      <c r="I12" s="130" t="s">
        <v>1899</v>
      </c>
      <c r="J12" s="129">
        <v>15163.0</v>
      </c>
      <c r="K12" s="129">
        <v>84.1</v>
      </c>
      <c r="L12" s="130" t="s">
        <v>1868</v>
      </c>
      <c r="M12" s="130" t="s">
        <v>1903</v>
      </c>
    </row>
    <row r="13">
      <c r="A13" s="129">
        <v>13.0</v>
      </c>
      <c r="B13" s="130" t="s">
        <v>282</v>
      </c>
      <c r="C13" s="130" t="s">
        <v>476</v>
      </c>
      <c r="D13" s="130" t="s">
        <v>114</v>
      </c>
      <c r="E13" s="131" t="s">
        <v>1870</v>
      </c>
      <c r="F13" s="132" t="b">
        <v>1</v>
      </c>
      <c r="G13" s="129">
        <v>3446.0</v>
      </c>
      <c r="H13" s="130" t="s">
        <v>476</v>
      </c>
      <c r="I13" s="130" t="s">
        <v>115</v>
      </c>
      <c r="J13" s="129">
        <v>15023.0</v>
      </c>
      <c r="K13" s="129">
        <v>100.0</v>
      </c>
      <c r="L13" s="130" t="s">
        <v>1868</v>
      </c>
      <c r="M13" s="130" t="s">
        <v>1904</v>
      </c>
    </row>
    <row r="14">
      <c r="A14" s="129">
        <v>14.0</v>
      </c>
      <c r="B14" s="130" t="s">
        <v>509</v>
      </c>
      <c r="C14" s="130" t="s">
        <v>510</v>
      </c>
      <c r="D14" s="130" t="s">
        <v>123</v>
      </c>
      <c r="E14" s="135" t="s">
        <v>1890</v>
      </c>
      <c r="F14" s="136"/>
      <c r="G14" s="129">
        <v>4183.0</v>
      </c>
      <c r="H14" s="130" t="s">
        <v>1886</v>
      </c>
      <c r="I14" s="130" t="s">
        <v>1888</v>
      </c>
      <c r="J14" s="129">
        <v>15250.0</v>
      </c>
      <c r="K14" s="129">
        <v>35.0</v>
      </c>
      <c r="L14" s="130" t="s">
        <v>1868</v>
      </c>
      <c r="M14" s="130" t="s">
        <v>1889</v>
      </c>
    </row>
    <row r="15">
      <c r="A15" s="129">
        <v>15.0</v>
      </c>
      <c r="B15" s="130" t="s">
        <v>486</v>
      </c>
      <c r="C15" s="130" t="s">
        <v>487</v>
      </c>
      <c r="D15" s="130" t="s">
        <v>86</v>
      </c>
      <c r="E15" s="131" t="s">
        <v>1865</v>
      </c>
      <c r="F15" s="132" t="b">
        <v>1</v>
      </c>
      <c r="G15" s="129">
        <v>533.0</v>
      </c>
      <c r="H15" s="130" t="s">
        <v>1908</v>
      </c>
      <c r="I15" s="130" t="s">
        <v>1899</v>
      </c>
      <c r="J15" s="129">
        <v>15324.0</v>
      </c>
      <c r="K15" s="129">
        <v>100.0</v>
      </c>
      <c r="L15" s="130" t="s">
        <v>1868</v>
      </c>
      <c r="M15" s="130" t="s">
        <v>1909</v>
      </c>
    </row>
    <row r="16">
      <c r="A16" s="129">
        <v>16.0</v>
      </c>
      <c r="B16" s="130" t="s">
        <v>328</v>
      </c>
      <c r="C16" s="130" t="s">
        <v>526</v>
      </c>
      <c r="D16" s="130" t="s">
        <v>114</v>
      </c>
      <c r="E16" s="135" t="s">
        <v>1890</v>
      </c>
      <c r="F16" s="136"/>
      <c r="G16" s="129">
        <v>988.0</v>
      </c>
      <c r="H16" s="130" t="s">
        <v>1911</v>
      </c>
      <c r="I16" s="130" t="s">
        <v>115</v>
      </c>
      <c r="J16" s="129">
        <v>9251.0</v>
      </c>
      <c r="K16" s="129">
        <v>23.2</v>
      </c>
      <c r="L16" s="130" t="s">
        <v>1868</v>
      </c>
      <c r="M16" s="130" t="s">
        <v>1912</v>
      </c>
    </row>
    <row r="17">
      <c r="A17" s="129">
        <v>17.0</v>
      </c>
      <c r="B17" s="130" t="s">
        <v>556</v>
      </c>
      <c r="C17" s="130" t="s">
        <v>557</v>
      </c>
      <c r="D17" s="130" t="s">
        <v>138</v>
      </c>
      <c r="E17" s="133" t="s">
        <v>1881</v>
      </c>
      <c r="F17" s="134"/>
      <c r="G17" s="129">
        <v>506.0</v>
      </c>
      <c r="H17" s="130" t="s">
        <v>1913</v>
      </c>
      <c r="I17" s="130" t="s">
        <v>1914</v>
      </c>
      <c r="J17" s="129">
        <v>4694.0</v>
      </c>
      <c r="K17" s="129">
        <v>92.0</v>
      </c>
      <c r="L17" s="130" t="s">
        <v>1892</v>
      </c>
      <c r="M17" s="130" t="s">
        <v>1915</v>
      </c>
    </row>
    <row r="18">
      <c r="A18" s="129">
        <v>18.0</v>
      </c>
      <c r="B18" s="130" t="s">
        <v>343</v>
      </c>
      <c r="C18" s="130" t="s">
        <v>538</v>
      </c>
      <c r="D18" s="130" t="s">
        <v>114</v>
      </c>
      <c r="E18" s="131" t="s">
        <v>1870</v>
      </c>
      <c r="F18" s="132" t="b">
        <v>1</v>
      </c>
      <c r="G18" s="129">
        <v>3454.0</v>
      </c>
      <c r="H18" s="130" t="s">
        <v>538</v>
      </c>
      <c r="I18" s="130" t="s">
        <v>115</v>
      </c>
      <c r="J18" s="129">
        <v>14929.0</v>
      </c>
      <c r="K18" s="129">
        <v>100.0</v>
      </c>
      <c r="L18" s="130" t="s">
        <v>1868</v>
      </c>
      <c r="M18" s="130" t="s">
        <v>1916</v>
      </c>
    </row>
    <row r="19">
      <c r="A19" s="129">
        <v>19.0</v>
      </c>
      <c r="B19" s="130" t="s">
        <v>569</v>
      </c>
      <c r="C19" s="130" t="s">
        <v>570</v>
      </c>
      <c r="D19" s="130" t="s">
        <v>122</v>
      </c>
      <c r="E19" s="131" t="s">
        <v>1870</v>
      </c>
      <c r="F19" s="132" t="b">
        <v>1</v>
      </c>
      <c r="G19" s="129">
        <v>33.0</v>
      </c>
      <c r="H19" s="130" t="s">
        <v>570</v>
      </c>
      <c r="I19" s="130" t="s">
        <v>1877</v>
      </c>
      <c r="J19" s="129">
        <v>14935.0</v>
      </c>
      <c r="K19" s="129">
        <v>100.0</v>
      </c>
      <c r="L19" s="130" t="s">
        <v>1868</v>
      </c>
      <c r="M19" s="130" t="s">
        <v>1917</v>
      </c>
    </row>
    <row r="20">
      <c r="A20" s="129">
        <v>20.0</v>
      </c>
      <c r="B20" s="130" t="s">
        <v>617</v>
      </c>
      <c r="C20" s="130" t="s">
        <v>618</v>
      </c>
      <c r="D20" s="130" t="s">
        <v>119</v>
      </c>
      <c r="E20" s="131" t="s">
        <v>1865</v>
      </c>
      <c r="F20" s="132" t="b">
        <v>1</v>
      </c>
      <c r="G20" s="129">
        <v>3231.0</v>
      </c>
      <c r="H20" s="130" t="s">
        <v>1922</v>
      </c>
      <c r="I20" s="130" t="s">
        <v>1914</v>
      </c>
      <c r="J20" s="129">
        <v>14928.0</v>
      </c>
      <c r="K20" s="129">
        <v>100.0</v>
      </c>
      <c r="L20" s="130" t="s">
        <v>1868</v>
      </c>
      <c r="M20" s="130" t="s">
        <v>1923</v>
      </c>
    </row>
    <row r="21">
      <c r="A21" s="129">
        <v>21.0</v>
      </c>
      <c r="B21" s="130" t="s">
        <v>389</v>
      </c>
      <c r="C21" s="130" t="s">
        <v>583</v>
      </c>
      <c r="D21" s="130" t="s">
        <v>114</v>
      </c>
      <c r="E21" s="131" t="s">
        <v>1870</v>
      </c>
      <c r="F21" s="132" t="b">
        <v>1</v>
      </c>
      <c r="G21" s="129">
        <v>501.0</v>
      </c>
      <c r="H21" s="130" t="s">
        <v>583</v>
      </c>
      <c r="I21" s="130" t="s">
        <v>115</v>
      </c>
      <c r="J21" s="129">
        <v>14877.0</v>
      </c>
      <c r="K21" s="129">
        <v>100.0</v>
      </c>
      <c r="L21" s="130" t="s">
        <v>1868</v>
      </c>
      <c r="M21" s="130" t="s">
        <v>1926</v>
      </c>
    </row>
    <row r="22">
      <c r="A22" s="129">
        <v>22.0</v>
      </c>
      <c r="B22" s="130" t="s">
        <v>398</v>
      </c>
      <c r="C22" s="130" t="s">
        <v>583</v>
      </c>
      <c r="D22" s="130" t="s">
        <v>114</v>
      </c>
      <c r="E22" s="131" t="s">
        <v>1870</v>
      </c>
      <c r="F22" s="132" t="b">
        <v>1</v>
      </c>
      <c r="G22" s="129">
        <v>501.0</v>
      </c>
      <c r="H22" s="130" t="s">
        <v>583</v>
      </c>
      <c r="I22" s="130" t="s">
        <v>115</v>
      </c>
      <c r="J22" s="129">
        <v>14877.0</v>
      </c>
      <c r="K22" s="129">
        <v>100.0</v>
      </c>
      <c r="L22" s="130" t="s">
        <v>1868</v>
      </c>
      <c r="M22" s="130" t="s">
        <v>1926</v>
      </c>
    </row>
    <row r="23">
      <c r="A23" s="129">
        <v>23.0</v>
      </c>
      <c r="B23" s="130" t="s">
        <v>406</v>
      </c>
      <c r="C23" s="130" t="s">
        <v>640</v>
      </c>
      <c r="D23" s="130" t="s">
        <v>114</v>
      </c>
      <c r="E23" s="131" t="s">
        <v>1870</v>
      </c>
      <c r="F23" s="132" t="b">
        <v>1</v>
      </c>
      <c r="G23" s="129">
        <v>465.0</v>
      </c>
      <c r="H23" s="130" t="s">
        <v>640</v>
      </c>
      <c r="I23" s="130" t="s">
        <v>115</v>
      </c>
      <c r="J23" s="129">
        <v>14906.0</v>
      </c>
      <c r="K23" s="129">
        <v>100.0</v>
      </c>
      <c r="L23" s="130" t="s">
        <v>1868</v>
      </c>
      <c r="M23" s="130" t="s">
        <v>1928</v>
      </c>
    </row>
    <row r="24">
      <c r="A24" s="129">
        <v>24.0</v>
      </c>
      <c r="B24" s="130" t="s">
        <v>417</v>
      </c>
      <c r="C24" s="130" t="s">
        <v>650</v>
      </c>
      <c r="D24" s="130" t="s">
        <v>114</v>
      </c>
      <c r="E24" s="133" t="s">
        <v>1881</v>
      </c>
      <c r="F24" s="134"/>
      <c r="G24" s="129">
        <v>173.0</v>
      </c>
      <c r="H24" s="130" t="s">
        <v>1929</v>
      </c>
      <c r="I24" s="130" t="s">
        <v>115</v>
      </c>
      <c r="J24" s="129">
        <v>6032.0</v>
      </c>
      <c r="K24" s="129">
        <v>62.4</v>
      </c>
      <c r="L24" s="130" t="s">
        <v>1868</v>
      </c>
      <c r="M24" s="130" t="s">
        <v>1930</v>
      </c>
    </row>
    <row r="25">
      <c r="A25" s="129">
        <v>25.0</v>
      </c>
      <c r="B25" s="130" t="s">
        <v>425</v>
      </c>
      <c r="C25" s="130" t="s">
        <v>662</v>
      </c>
      <c r="D25" s="130" t="s">
        <v>114</v>
      </c>
      <c r="E25" s="131" t="s">
        <v>1870</v>
      </c>
      <c r="F25" s="132" t="b">
        <v>1</v>
      </c>
      <c r="G25" s="129">
        <v>2999.0</v>
      </c>
      <c r="H25" s="130" t="s">
        <v>1931</v>
      </c>
      <c r="I25" s="130" t="s">
        <v>115</v>
      </c>
      <c r="J25" s="129">
        <v>14952.0</v>
      </c>
      <c r="K25" s="129">
        <v>100.0</v>
      </c>
      <c r="L25" s="130" t="s">
        <v>1868</v>
      </c>
      <c r="M25" s="130" t="s">
        <v>1932</v>
      </c>
    </row>
    <row r="26">
      <c r="A26" s="129">
        <v>26.0</v>
      </c>
      <c r="B26" s="130" t="s">
        <v>435</v>
      </c>
      <c r="C26" s="130" t="s">
        <v>669</v>
      </c>
      <c r="D26" s="130" t="s">
        <v>114</v>
      </c>
      <c r="E26" s="131" t="s">
        <v>1870</v>
      </c>
      <c r="F26" s="132" t="b">
        <v>1</v>
      </c>
      <c r="G26" s="129">
        <v>2994.0</v>
      </c>
      <c r="H26" s="130" t="s">
        <v>669</v>
      </c>
      <c r="I26" s="130" t="s">
        <v>115</v>
      </c>
      <c r="J26" s="129">
        <v>14954.0</v>
      </c>
      <c r="K26" s="129">
        <v>100.0</v>
      </c>
      <c r="L26" s="130" t="s">
        <v>1868</v>
      </c>
      <c r="M26" s="130" t="s">
        <v>1933</v>
      </c>
    </row>
    <row r="27">
      <c r="A27" s="129">
        <v>27.0</v>
      </c>
      <c r="B27" s="130" t="s">
        <v>443</v>
      </c>
      <c r="C27" s="130" t="s">
        <v>815</v>
      </c>
      <c r="D27" s="130" t="s">
        <v>114</v>
      </c>
      <c r="E27" s="131" t="s">
        <v>1870</v>
      </c>
      <c r="F27" s="132" t="b">
        <v>1</v>
      </c>
      <c r="G27" s="129">
        <v>202.0</v>
      </c>
      <c r="H27" s="130" t="s">
        <v>815</v>
      </c>
      <c r="I27" s="130" t="s">
        <v>115</v>
      </c>
      <c r="J27" s="129">
        <v>15006.0</v>
      </c>
      <c r="K27" s="129">
        <v>100.0</v>
      </c>
      <c r="L27" s="130" t="s">
        <v>1868</v>
      </c>
      <c r="M27" s="130" t="s">
        <v>1936</v>
      </c>
    </row>
    <row r="28">
      <c r="A28" s="129">
        <v>28.0</v>
      </c>
      <c r="B28" s="130" t="s">
        <v>452</v>
      </c>
      <c r="C28" s="130" t="s">
        <v>716</v>
      </c>
      <c r="D28" s="130" t="s">
        <v>114</v>
      </c>
      <c r="E28" s="131" t="s">
        <v>1870</v>
      </c>
      <c r="F28" s="132" t="b">
        <v>1</v>
      </c>
      <c r="G28" s="129">
        <v>3455.0</v>
      </c>
      <c r="H28" s="130" t="s">
        <v>716</v>
      </c>
      <c r="I28" s="130" t="s">
        <v>115</v>
      </c>
      <c r="J28" s="129">
        <v>14975.0</v>
      </c>
      <c r="K28" s="129">
        <v>100.0</v>
      </c>
      <c r="L28" s="130" t="s">
        <v>1868</v>
      </c>
      <c r="M28" s="130" t="s">
        <v>1937</v>
      </c>
    </row>
    <row r="29">
      <c r="A29" s="129">
        <v>29.0</v>
      </c>
      <c r="B29" s="130" t="s">
        <v>471</v>
      </c>
      <c r="C29" s="130" t="s">
        <v>739</v>
      </c>
      <c r="D29" s="130" t="s">
        <v>114</v>
      </c>
      <c r="E29" s="131" t="s">
        <v>1870</v>
      </c>
      <c r="F29" s="132" t="b">
        <v>1</v>
      </c>
      <c r="G29" s="129">
        <v>3456.0</v>
      </c>
      <c r="H29" s="130" t="s">
        <v>739</v>
      </c>
      <c r="I29" s="130" t="s">
        <v>115</v>
      </c>
      <c r="J29" s="129">
        <v>14977.0</v>
      </c>
      <c r="K29" s="129">
        <v>100.0</v>
      </c>
      <c r="L29" s="130" t="s">
        <v>1868</v>
      </c>
      <c r="M29" s="130" t="s">
        <v>1943</v>
      </c>
    </row>
    <row r="30">
      <c r="A30" s="129">
        <v>30.0</v>
      </c>
      <c r="B30" s="130" t="s">
        <v>493</v>
      </c>
      <c r="C30" s="130" t="s">
        <v>771</v>
      </c>
      <c r="D30" s="130" t="s">
        <v>114</v>
      </c>
      <c r="E30" s="131" t="s">
        <v>1870</v>
      </c>
      <c r="F30" s="132" t="b">
        <v>1</v>
      </c>
      <c r="G30" s="129">
        <v>3458.0</v>
      </c>
      <c r="H30" s="130" t="s">
        <v>771</v>
      </c>
      <c r="I30" s="130" t="s">
        <v>115</v>
      </c>
      <c r="J30" s="129">
        <v>14984.0</v>
      </c>
      <c r="K30" s="129">
        <v>100.0</v>
      </c>
      <c r="L30" s="130" t="s">
        <v>1868</v>
      </c>
      <c r="M30" s="130" t="s">
        <v>1944</v>
      </c>
    </row>
    <row r="31">
      <c r="A31" s="129">
        <v>31.0</v>
      </c>
      <c r="B31" s="130" t="s">
        <v>507</v>
      </c>
      <c r="C31" s="130" t="s">
        <v>792</v>
      </c>
      <c r="D31" s="130" t="s">
        <v>114</v>
      </c>
      <c r="E31" s="131" t="s">
        <v>1870</v>
      </c>
      <c r="F31" s="132" t="b">
        <v>1</v>
      </c>
      <c r="G31" s="129">
        <v>3457.0</v>
      </c>
      <c r="H31" s="130" t="s">
        <v>792</v>
      </c>
      <c r="I31" s="130" t="s">
        <v>115</v>
      </c>
      <c r="J31" s="129">
        <v>14983.0</v>
      </c>
      <c r="K31" s="129">
        <v>100.0</v>
      </c>
      <c r="L31" s="130" t="s">
        <v>1868</v>
      </c>
      <c r="M31" s="130" t="s">
        <v>1946</v>
      </c>
    </row>
    <row r="32">
      <c r="A32" s="129">
        <v>32.0</v>
      </c>
      <c r="B32" s="130" t="s">
        <v>516</v>
      </c>
      <c r="C32" s="130" t="s">
        <v>800</v>
      </c>
      <c r="D32" s="130" t="s">
        <v>114</v>
      </c>
      <c r="E32" s="131" t="s">
        <v>1870</v>
      </c>
      <c r="F32" s="132" t="b">
        <v>1</v>
      </c>
      <c r="G32" s="129">
        <v>3459.0</v>
      </c>
      <c r="H32" s="130" t="s">
        <v>800</v>
      </c>
      <c r="I32" s="130" t="s">
        <v>115</v>
      </c>
      <c r="J32" s="129">
        <v>14985.0</v>
      </c>
      <c r="K32" s="129">
        <v>100.0</v>
      </c>
      <c r="L32" s="130" t="s">
        <v>1868</v>
      </c>
      <c r="M32" s="130" t="s">
        <v>1947</v>
      </c>
    </row>
    <row r="33">
      <c r="A33" s="129">
        <v>33.0</v>
      </c>
      <c r="B33" s="130" t="s">
        <v>524</v>
      </c>
      <c r="C33" s="130" t="s">
        <v>806</v>
      </c>
      <c r="D33" s="130" t="s">
        <v>114</v>
      </c>
      <c r="E33" s="131" t="s">
        <v>1870</v>
      </c>
      <c r="F33" s="132" t="b">
        <v>1</v>
      </c>
      <c r="G33" s="129">
        <v>3468.0</v>
      </c>
      <c r="H33" s="130" t="s">
        <v>806</v>
      </c>
      <c r="I33" s="130" t="s">
        <v>115</v>
      </c>
      <c r="J33" s="129">
        <v>14980.0</v>
      </c>
      <c r="K33" s="129">
        <v>100.0</v>
      </c>
      <c r="L33" s="130" t="s">
        <v>1868</v>
      </c>
      <c r="M33" s="130" t="s">
        <v>1948</v>
      </c>
    </row>
    <row r="34">
      <c r="A34" s="129">
        <v>34.0</v>
      </c>
      <c r="B34" s="130" t="s">
        <v>533</v>
      </c>
      <c r="C34" s="130" t="s">
        <v>701</v>
      </c>
      <c r="D34" s="130" t="s">
        <v>114</v>
      </c>
      <c r="E34" s="133" t="s">
        <v>1881</v>
      </c>
      <c r="F34" s="134"/>
      <c r="G34" s="129">
        <v>3017.0</v>
      </c>
      <c r="H34" s="130" t="s">
        <v>437</v>
      </c>
      <c r="I34" s="130" t="s">
        <v>115</v>
      </c>
      <c r="J34" s="129">
        <v>14953.0</v>
      </c>
      <c r="K34" s="129">
        <v>70.4</v>
      </c>
      <c r="L34" s="130" t="s">
        <v>1868</v>
      </c>
      <c r="M34" s="130" t="s">
        <v>1949</v>
      </c>
    </row>
    <row r="35">
      <c r="A35" s="129">
        <v>35.0</v>
      </c>
      <c r="B35" s="130" t="s">
        <v>679</v>
      </c>
      <c r="C35" s="130" t="s">
        <v>680</v>
      </c>
      <c r="D35" s="130" t="s">
        <v>111</v>
      </c>
      <c r="E35" s="131" t="s">
        <v>1870</v>
      </c>
      <c r="F35" s="132" t="b">
        <v>1</v>
      </c>
      <c r="G35" s="129">
        <v>3002.0</v>
      </c>
      <c r="H35" s="130" t="s">
        <v>1950</v>
      </c>
      <c r="I35" s="130" t="s">
        <v>1951</v>
      </c>
      <c r="J35" s="129">
        <v>15050.0</v>
      </c>
      <c r="K35" s="129">
        <v>100.0</v>
      </c>
      <c r="L35" s="130" t="s">
        <v>1868</v>
      </c>
      <c r="M35" s="130" t="s">
        <v>1952</v>
      </c>
    </row>
    <row r="36">
      <c r="A36" s="129">
        <v>36.0</v>
      </c>
      <c r="B36" s="130" t="s">
        <v>692</v>
      </c>
      <c r="C36" s="130" t="s">
        <v>693</v>
      </c>
      <c r="D36" s="130" t="s">
        <v>120</v>
      </c>
      <c r="E36" s="137" t="s">
        <v>1895</v>
      </c>
      <c r="F36" s="132" t="b">
        <v>1</v>
      </c>
      <c r="G36" s="129">
        <v>3012.0</v>
      </c>
      <c r="H36" s="130" t="s">
        <v>1953</v>
      </c>
      <c r="I36" s="130" t="s">
        <v>1954</v>
      </c>
      <c r="J36" s="129">
        <v>15049.0</v>
      </c>
      <c r="K36" s="129">
        <v>100.0</v>
      </c>
      <c r="L36" s="130" t="s">
        <v>1868</v>
      </c>
      <c r="M36" s="130" t="s">
        <v>1955</v>
      </c>
    </row>
    <row r="37">
      <c r="A37" s="129">
        <v>37.0</v>
      </c>
      <c r="B37" s="130" t="s">
        <v>551</v>
      </c>
      <c r="C37" s="130" t="s">
        <v>823</v>
      </c>
      <c r="D37" s="130" t="s">
        <v>114</v>
      </c>
      <c r="E37" s="137" t="s">
        <v>1895</v>
      </c>
      <c r="F37" s="132" t="b">
        <v>1</v>
      </c>
      <c r="G37" s="129">
        <v>5938.0</v>
      </c>
      <c r="H37" s="130" t="s">
        <v>1956</v>
      </c>
      <c r="I37" s="130" t="s">
        <v>115</v>
      </c>
      <c r="J37" s="129">
        <v>15124.0</v>
      </c>
      <c r="K37" s="129">
        <v>100.0</v>
      </c>
      <c r="L37" s="130" t="s">
        <v>1868</v>
      </c>
      <c r="M37" s="130" t="s">
        <v>1959</v>
      </c>
    </row>
    <row r="38">
      <c r="A38" s="129">
        <v>38.0</v>
      </c>
      <c r="B38" s="130" t="s">
        <v>707</v>
      </c>
      <c r="C38" s="130" t="s">
        <v>832</v>
      </c>
      <c r="D38" s="130" t="s">
        <v>114</v>
      </c>
      <c r="E38" s="131" t="s">
        <v>1870</v>
      </c>
      <c r="F38" s="132" t="b">
        <v>1</v>
      </c>
      <c r="G38" s="129">
        <v>4889.0</v>
      </c>
      <c r="H38" s="130" t="s">
        <v>832</v>
      </c>
      <c r="I38" s="130" t="s">
        <v>115</v>
      </c>
      <c r="J38" s="129">
        <v>15139.0</v>
      </c>
      <c r="K38" s="129">
        <v>100.0</v>
      </c>
      <c r="L38" s="130" t="s">
        <v>1868</v>
      </c>
      <c r="M38" s="130" t="s">
        <v>1965</v>
      </c>
    </row>
    <row r="39">
      <c r="A39" s="129">
        <v>39.0</v>
      </c>
      <c r="B39" s="130" t="s">
        <v>714</v>
      </c>
      <c r="C39" s="130" t="s">
        <v>886</v>
      </c>
      <c r="D39" s="130" t="s">
        <v>114</v>
      </c>
      <c r="E39" s="131" t="s">
        <v>1870</v>
      </c>
      <c r="F39" s="132" t="b">
        <v>1</v>
      </c>
      <c r="G39" s="129">
        <v>203.0</v>
      </c>
      <c r="H39" s="130" t="s">
        <v>886</v>
      </c>
      <c r="I39" s="130" t="s">
        <v>115</v>
      </c>
      <c r="J39" s="129">
        <v>15055.0</v>
      </c>
      <c r="K39" s="129">
        <v>100.0</v>
      </c>
      <c r="L39" s="130" t="s">
        <v>1868</v>
      </c>
      <c r="M39" s="130" t="s">
        <v>1967</v>
      </c>
    </row>
    <row r="40">
      <c r="A40" s="129">
        <v>40.0</v>
      </c>
      <c r="B40" s="130" t="s">
        <v>724</v>
      </c>
      <c r="C40" s="130" t="s">
        <v>842</v>
      </c>
      <c r="D40" s="130" t="s">
        <v>114</v>
      </c>
      <c r="E40" s="131" t="s">
        <v>1870</v>
      </c>
      <c r="F40" s="132" t="b">
        <v>1</v>
      </c>
      <c r="G40" s="129">
        <v>3001.0</v>
      </c>
      <c r="H40" s="130" t="s">
        <v>1968</v>
      </c>
      <c r="I40" s="130" t="s">
        <v>115</v>
      </c>
      <c r="J40" s="129">
        <v>15215.0</v>
      </c>
      <c r="K40" s="129">
        <v>100.0</v>
      </c>
      <c r="L40" s="130" t="s">
        <v>1868</v>
      </c>
      <c r="M40" s="130" t="s">
        <v>1969</v>
      </c>
    </row>
    <row r="41">
      <c r="A41" s="129">
        <v>41.0</v>
      </c>
      <c r="B41" s="130" t="s">
        <v>733</v>
      </c>
      <c r="C41" s="130" t="s">
        <v>858</v>
      </c>
      <c r="D41" s="130" t="s">
        <v>114</v>
      </c>
      <c r="E41" s="133" t="s">
        <v>1881</v>
      </c>
      <c r="F41" s="134"/>
      <c r="G41" s="129">
        <v>2999.0</v>
      </c>
      <c r="H41" s="130" t="s">
        <v>1931</v>
      </c>
      <c r="I41" s="130" t="s">
        <v>115</v>
      </c>
      <c r="J41" s="129">
        <v>14952.0</v>
      </c>
      <c r="K41" s="129">
        <v>66.0</v>
      </c>
      <c r="L41" s="130" t="s">
        <v>1868</v>
      </c>
      <c r="M41" s="130" t="s">
        <v>1970</v>
      </c>
    </row>
    <row r="42">
      <c r="A42" s="129">
        <v>42.0</v>
      </c>
      <c r="B42" s="130" t="s">
        <v>746</v>
      </c>
      <c r="C42" s="130" t="s">
        <v>868</v>
      </c>
      <c r="D42" s="130" t="s">
        <v>114</v>
      </c>
      <c r="E42" s="135" t="s">
        <v>1890</v>
      </c>
      <c r="F42" s="136"/>
      <c r="G42" s="129">
        <v>4991.0</v>
      </c>
      <c r="H42" s="130" t="s">
        <v>1971</v>
      </c>
      <c r="I42" s="130" t="s">
        <v>115</v>
      </c>
      <c r="J42" s="129">
        <v>6601.0</v>
      </c>
      <c r="K42" s="129">
        <v>52.7</v>
      </c>
      <c r="L42" s="130" t="s">
        <v>1868</v>
      </c>
      <c r="M42" s="130" t="s">
        <v>1972</v>
      </c>
    </row>
    <row r="43">
      <c r="A43" s="129">
        <v>43.0</v>
      </c>
      <c r="B43" s="130" t="s">
        <v>763</v>
      </c>
      <c r="C43" s="130" t="s">
        <v>876</v>
      </c>
      <c r="D43" s="130" t="s">
        <v>114</v>
      </c>
      <c r="E43" s="135" t="s">
        <v>1890</v>
      </c>
      <c r="F43" s="136"/>
      <c r="G43" s="129">
        <v>766.0</v>
      </c>
      <c r="H43" s="130" t="s">
        <v>1973</v>
      </c>
      <c r="I43" s="130" t="s">
        <v>1974</v>
      </c>
      <c r="J43" s="129">
        <v>9050.0</v>
      </c>
      <c r="K43" s="129">
        <v>51.8</v>
      </c>
      <c r="L43" s="130" t="s">
        <v>1892</v>
      </c>
      <c r="M43" s="130" t="s">
        <v>1975</v>
      </c>
    </row>
    <row r="44">
      <c r="A44" s="129">
        <v>44.0</v>
      </c>
      <c r="B44" s="130" t="s">
        <v>895</v>
      </c>
      <c r="C44" s="130" t="s">
        <v>896</v>
      </c>
      <c r="D44" s="130" t="s">
        <v>897</v>
      </c>
      <c r="E44" s="133" t="s">
        <v>1881</v>
      </c>
      <c r="F44" s="134"/>
      <c r="G44" s="129">
        <v>1446.0</v>
      </c>
      <c r="H44" s="130" t="s">
        <v>1977</v>
      </c>
      <c r="I44" s="130" t="s">
        <v>1872</v>
      </c>
      <c r="J44" s="129">
        <v>10989.0</v>
      </c>
      <c r="K44" s="129">
        <v>67.8</v>
      </c>
      <c r="L44" s="130" t="s">
        <v>1892</v>
      </c>
      <c r="M44" s="130" t="s">
        <v>1982</v>
      </c>
    </row>
    <row r="45">
      <c r="A45" s="129">
        <v>45.0</v>
      </c>
      <c r="B45" s="130" t="s">
        <v>777</v>
      </c>
      <c r="C45" s="130" t="s">
        <v>959</v>
      </c>
      <c r="D45" s="130" t="s">
        <v>114</v>
      </c>
      <c r="E45" s="137" t="s">
        <v>1895</v>
      </c>
      <c r="F45" s="132" t="b">
        <v>1</v>
      </c>
      <c r="G45" s="129">
        <v>5827.0</v>
      </c>
      <c r="H45" s="130" t="s">
        <v>1983</v>
      </c>
      <c r="I45" s="130" t="s">
        <v>115</v>
      </c>
      <c r="J45" s="129">
        <v>15180.0</v>
      </c>
      <c r="K45" s="129">
        <v>100.0</v>
      </c>
      <c r="L45" s="130" t="s">
        <v>1868</v>
      </c>
      <c r="M45" s="130" t="s">
        <v>1984</v>
      </c>
    </row>
    <row r="46">
      <c r="A46" s="129">
        <v>46.0</v>
      </c>
      <c r="B46" s="130" t="s">
        <v>919</v>
      </c>
      <c r="C46" s="130" t="s">
        <v>920</v>
      </c>
      <c r="D46" s="130" t="s">
        <v>119</v>
      </c>
      <c r="E46" s="137" t="s">
        <v>1895</v>
      </c>
      <c r="F46" s="132" t="b">
        <v>1</v>
      </c>
      <c r="G46" s="129">
        <v>1636.0</v>
      </c>
      <c r="H46" s="130" t="s">
        <v>1986</v>
      </c>
      <c r="I46" s="130" t="s">
        <v>1914</v>
      </c>
      <c r="J46" s="129">
        <v>14961.0</v>
      </c>
      <c r="K46" s="129">
        <v>100.0</v>
      </c>
      <c r="L46" s="130" t="s">
        <v>1868</v>
      </c>
      <c r="M46" s="130" t="s">
        <v>1987</v>
      </c>
    </row>
    <row r="47">
      <c r="A47" s="129">
        <v>47.0</v>
      </c>
      <c r="B47" s="130" t="s">
        <v>788</v>
      </c>
      <c r="C47" s="130" t="s">
        <v>908</v>
      </c>
      <c r="D47" s="130" t="s">
        <v>114</v>
      </c>
      <c r="E47" s="135" t="s">
        <v>1890</v>
      </c>
      <c r="F47" s="136"/>
      <c r="G47" s="129">
        <v>1683.0</v>
      </c>
      <c r="H47" s="130" t="s">
        <v>1988</v>
      </c>
      <c r="I47" s="130" t="s">
        <v>115</v>
      </c>
      <c r="J47" s="129">
        <v>10822.0</v>
      </c>
      <c r="K47" s="129">
        <v>60.2</v>
      </c>
      <c r="L47" s="130" t="s">
        <v>1868</v>
      </c>
      <c r="M47" s="130" t="s">
        <v>1989</v>
      </c>
    </row>
    <row r="48">
      <c r="A48" s="129">
        <v>48.0</v>
      </c>
      <c r="B48" s="130" t="s">
        <v>944</v>
      </c>
      <c r="C48" s="130" t="s">
        <v>945</v>
      </c>
      <c r="D48" s="130" t="s">
        <v>122</v>
      </c>
      <c r="E48" s="137" t="s">
        <v>1895</v>
      </c>
      <c r="F48" s="132" t="b">
        <v>1</v>
      </c>
      <c r="G48" s="129">
        <v>3660.0</v>
      </c>
      <c r="H48" s="130" t="s">
        <v>1990</v>
      </c>
      <c r="I48" s="130" t="s">
        <v>1877</v>
      </c>
      <c r="J48" s="129">
        <v>15001.0</v>
      </c>
      <c r="K48" s="129">
        <v>100.0</v>
      </c>
      <c r="L48" s="130" t="s">
        <v>1868</v>
      </c>
      <c r="M48" s="130" t="s">
        <v>1991</v>
      </c>
    </row>
    <row r="49">
      <c r="A49" s="129">
        <v>49.0</v>
      </c>
      <c r="B49" s="130" t="s">
        <v>791</v>
      </c>
      <c r="C49" s="130" t="s">
        <v>935</v>
      </c>
      <c r="D49" s="130" t="s">
        <v>124</v>
      </c>
      <c r="E49" s="138" t="s">
        <v>1901</v>
      </c>
      <c r="F49" s="132" t="b">
        <v>1</v>
      </c>
      <c r="G49" s="129">
        <v>4621.0</v>
      </c>
      <c r="H49" s="130" t="s">
        <v>1992</v>
      </c>
      <c r="I49" s="130" t="s">
        <v>1993</v>
      </c>
      <c r="J49" s="129">
        <v>15018.0</v>
      </c>
      <c r="K49" s="129">
        <v>89.6</v>
      </c>
      <c r="L49" s="130" t="s">
        <v>1868</v>
      </c>
      <c r="M49" s="130" t="s">
        <v>1995</v>
      </c>
    </row>
    <row r="50">
      <c r="A50" s="129">
        <v>50.0</v>
      </c>
      <c r="B50" s="130" t="s">
        <v>1997</v>
      </c>
      <c r="C50" s="130" t="s">
        <v>1998</v>
      </c>
      <c r="D50" s="130" t="s">
        <v>86</v>
      </c>
      <c r="E50" s="135" t="s">
        <v>1890</v>
      </c>
      <c r="F50" s="136"/>
      <c r="G50" s="129">
        <v>1197.0</v>
      </c>
      <c r="H50" s="130" t="s">
        <v>1999</v>
      </c>
      <c r="I50" s="130" t="s">
        <v>115</v>
      </c>
      <c r="J50" s="129">
        <v>1355.0</v>
      </c>
      <c r="K50" s="129">
        <v>63.1</v>
      </c>
      <c r="L50" s="130" t="s">
        <v>1892</v>
      </c>
      <c r="M50" s="130" t="s">
        <v>1893</v>
      </c>
    </row>
    <row r="51">
      <c r="A51" s="129">
        <v>51.0</v>
      </c>
      <c r="B51" s="130" t="s">
        <v>967</v>
      </c>
      <c r="C51" s="130" t="s">
        <v>969</v>
      </c>
      <c r="D51" s="130" t="s">
        <v>122</v>
      </c>
      <c r="E51" s="131" t="s">
        <v>1870</v>
      </c>
      <c r="F51" s="132" t="b">
        <v>1</v>
      </c>
      <c r="G51" s="129">
        <v>92.0</v>
      </c>
      <c r="H51" s="130" t="s">
        <v>2001</v>
      </c>
      <c r="I51" s="130" t="s">
        <v>1877</v>
      </c>
      <c r="J51" s="129">
        <v>15201.0</v>
      </c>
      <c r="K51" s="129">
        <v>100.0</v>
      </c>
      <c r="L51" s="130" t="s">
        <v>1868</v>
      </c>
      <c r="M51" s="130" t="s">
        <v>2006</v>
      </c>
    </row>
    <row r="52">
      <c r="A52" s="129">
        <v>52.0</v>
      </c>
      <c r="B52" s="130" t="s">
        <v>995</v>
      </c>
      <c r="C52" s="130" t="s">
        <v>996</v>
      </c>
      <c r="D52" s="130" t="s">
        <v>122</v>
      </c>
      <c r="E52" s="133" t="s">
        <v>1881</v>
      </c>
      <c r="F52" s="134"/>
      <c r="G52" s="129">
        <v>5693.0</v>
      </c>
      <c r="H52" s="130" t="s">
        <v>2007</v>
      </c>
      <c r="I52" s="130" t="s">
        <v>2008</v>
      </c>
      <c r="J52" s="129">
        <v>2573.0</v>
      </c>
      <c r="K52" s="129">
        <v>73.7</v>
      </c>
      <c r="L52" s="130" t="s">
        <v>1892</v>
      </c>
      <c r="M52" s="130" t="s">
        <v>2009</v>
      </c>
    </row>
    <row r="53">
      <c r="A53" s="129">
        <v>53.0</v>
      </c>
      <c r="B53" s="130" t="s">
        <v>980</v>
      </c>
      <c r="C53" s="130" t="s">
        <v>981</v>
      </c>
      <c r="D53" s="130" t="s">
        <v>120</v>
      </c>
      <c r="E53" s="135" t="s">
        <v>1890</v>
      </c>
      <c r="F53" s="136"/>
      <c r="G53" s="129">
        <v>1600.0</v>
      </c>
      <c r="H53" s="130" t="s">
        <v>2011</v>
      </c>
      <c r="I53" s="130" t="s">
        <v>1888</v>
      </c>
      <c r="J53" s="129">
        <v>5888.0</v>
      </c>
      <c r="K53" s="129">
        <v>40.4</v>
      </c>
      <c r="L53" s="130" t="s">
        <v>1892</v>
      </c>
      <c r="M53" s="130" t="s">
        <v>2012</v>
      </c>
    </row>
    <row r="54">
      <c r="A54" s="129">
        <v>54.0</v>
      </c>
      <c r="B54" s="130" t="s">
        <v>1004</v>
      </c>
      <c r="C54" s="130" t="s">
        <v>1005</v>
      </c>
      <c r="D54" s="130" t="s">
        <v>120</v>
      </c>
      <c r="E54" s="135" t="s">
        <v>1890</v>
      </c>
      <c r="F54" s="136"/>
      <c r="G54" s="129">
        <v>1197.0</v>
      </c>
      <c r="H54" s="130" t="s">
        <v>1999</v>
      </c>
      <c r="I54" s="130" t="s">
        <v>115</v>
      </c>
      <c r="J54" s="129">
        <v>1355.0</v>
      </c>
      <c r="K54" s="129">
        <v>56.7</v>
      </c>
      <c r="L54" s="130" t="s">
        <v>1892</v>
      </c>
      <c r="M54" s="130" t="s">
        <v>1893</v>
      </c>
    </row>
    <row r="55">
      <c r="A55" s="129">
        <v>55.0</v>
      </c>
      <c r="B55" s="130" t="s">
        <v>849</v>
      </c>
      <c r="C55" s="130" t="s">
        <v>1018</v>
      </c>
      <c r="D55" s="130" t="s">
        <v>114</v>
      </c>
      <c r="E55" s="131" t="s">
        <v>1870</v>
      </c>
      <c r="F55" s="132" t="b">
        <v>1</v>
      </c>
      <c r="G55" s="129">
        <v>4888.0</v>
      </c>
      <c r="H55" s="130" t="s">
        <v>1018</v>
      </c>
      <c r="I55" s="130" t="s">
        <v>115</v>
      </c>
      <c r="J55" s="129">
        <v>15075.0</v>
      </c>
      <c r="K55" s="129">
        <v>100.0</v>
      </c>
      <c r="L55" s="130" t="s">
        <v>1868</v>
      </c>
      <c r="M55" s="130" t="s">
        <v>2013</v>
      </c>
    </row>
    <row r="56">
      <c r="A56" s="129">
        <v>56.0</v>
      </c>
      <c r="B56" s="130" t="s">
        <v>1032</v>
      </c>
      <c r="C56" s="130" t="s">
        <v>1033</v>
      </c>
      <c r="D56" s="130" t="s">
        <v>114</v>
      </c>
      <c r="E56" s="131" t="s">
        <v>1870</v>
      </c>
      <c r="F56" s="132" t="b">
        <v>1</v>
      </c>
      <c r="G56" s="129">
        <v>3453.0</v>
      </c>
      <c r="H56" s="130" t="s">
        <v>1033</v>
      </c>
      <c r="I56" s="130" t="s">
        <v>115</v>
      </c>
      <c r="J56" s="129">
        <v>15083.0</v>
      </c>
      <c r="K56" s="129">
        <v>100.0</v>
      </c>
      <c r="L56" s="130" t="s">
        <v>1868</v>
      </c>
      <c r="M56" s="130" t="s">
        <v>2014</v>
      </c>
    </row>
    <row r="57">
      <c r="A57" s="129">
        <v>57.0</v>
      </c>
      <c r="B57" s="130" t="s">
        <v>1043</v>
      </c>
      <c r="C57" s="130" t="s">
        <v>1044</v>
      </c>
      <c r="D57" s="130" t="s">
        <v>86</v>
      </c>
      <c r="E57" s="135" t="s">
        <v>1890</v>
      </c>
      <c r="F57" s="136"/>
      <c r="G57" s="129">
        <v>2122.0</v>
      </c>
      <c r="H57" s="130" t="s">
        <v>2015</v>
      </c>
      <c r="I57" s="130" t="s">
        <v>1899</v>
      </c>
      <c r="J57" s="129">
        <v>9167.0</v>
      </c>
      <c r="K57" s="129">
        <v>54.0</v>
      </c>
      <c r="L57" s="130" t="s">
        <v>1868</v>
      </c>
      <c r="M57" s="130" t="s">
        <v>2016</v>
      </c>
    </row>
    <row r="58">
      <c r="A58" s="129">
        <v>58.0</v>
      </c>
      <c r="B58" s="130" t="s">
        <v>1073</v>
      </c>
      <c r="C58" s="130" t="s">
        <v>1074</v>
      </c>
      <c r="D58" s="130" t="s">
        <v>129</v>
      </c>
      <c r="E58" s="131" t="s">
        <v>1870</v>
      </c>
      <c r="F58" s="132" t="b">
        <v>1</v>
      </c>
      <c r="G58" s="129">
        <v>1637.0</v>
      </c>
      <c r="H58" s="130" t="s">
        <v>1074</v>
      </c>
      <c r="I58" s="130" t="s">
        <v>1872</v>
      </c>
      <c r="J58" s="129">
        <v>15099.0</v>
      </c>
      <c r="K58" s="129">
        <v>100.0</v>
      </c>
      <c r="L58" s="130" t="s">
        <v>1868</v>
      </c>
      <c r="M58" s="130" t="s">
        <v>2018</v>
      </c>
    </row>
    <row r="59">
      <c r="A59" s="129">
        <v>59.0</v>
      </c>
      <c r="B59" s="130" t="s">
        <v>1008</v>
      </c>
      <c r="C59" s="130" t="s">
        <v>1087</v>
      </c>
      <c r="D59" s="130" t="s">
        <v>114</v>
      </c>
      <c r="E59" s="138" t="s">
        <v>1901</v>
      </c>
      <c r="F59" s="132" t="b">
        <v>1</v>
      </c>
      <c r="G59" s="129">
        <v>3241.0</v>
      </c>
      <c r="H59" s="130" t="s">
        <v>2021</v>
      </c>
      <c r="I59" s="130" t="s">
        <v>115</v>
      </c>
      <c r="J59" s="129">
        <v>15197.0</v>
      </c>
      <c r="K59" s="129">
        <v>86.9</v>
      </c>
      <c r="L59" s="130" t="s">
        <v>1868</v>
      </c>
      <c r="M59" s="130" t="s">
        <v>2022</v>
      </c>
    </row>
    <row r="60">
      <c r="A60" s="129">
        <v>60.0</v>
      </c>
      <c r="B60" s="130" t="s">
        <v>819</v>
      </c>
      <c r="C60" s="130" t="s">
        <v>1060</v>
      </c>
      <c r="D60" s="130" t="s">
        <v>123</v>
      </c>
      <c r="E60" s="131" t="s">
        <v>1870</v>
      </c>
      <c r="F60" s="132" t="b">
        <v>1</v>
      </c>
      <c r="G60" s="129">
        <v>4607.0</v>
      </c>
      <c r="H60" s="130" t="s">
        <v>1060</v>
      </c>
      <c r="I60" s="130" t="s">
        <v>1888</v>
      </c>
      <c r="J60" s="129">
        <v>15117.0</v>
      </c>
      <c r="K60" s="129">
        <v>100.0</v>
      </c>
      <c r="L60" s="130" t="s">
        <v>1868</v>
      </c>
      <c r="M60" s="130" t="s">
        <v>2024</v>
      </c>
    </row>
    <row r="61">
      <c r="A61" s="129">
        <v>61.0</v>
      </c>
      <c r="B61" s="130" t="s">
        <v>1099</v>
      </c>
      <c r="C61" s="130" t="s">
        <v>296</v>
      </c>
      <c r="D61" s="130" t="s">
        <v>129</v>
      </c>
      <c r="E61" s="135" t="s">
        <v>1890</v>
      </c>
      <c r="F61" s="136"/>
      <c r="G61" s="129">
        <v>2908.0</v>
      </c>
      <c r="H61" s="130" t="s">
        <v>2027</v>
      </c>
      <c r="I61" s="130" t="s">
        <v>1872</v>
      </c>
      <c r="J61" s="129">
        <v>1940.0</v>
      </c>
      <c r="K61" s="129">
        <v>53.2</v>
      </c>
      <c r="L61" s="130" t="s">
        <v>1868</v>
      </c>
      <c r="M61" s="130" t="s">
        <v>2028</v>
      </c>
    </row>
    <row r="62">
      <c r="A62" s="129">
        <v>62.0</v>
      </c>
      <c r="B62" s="130" t="s">
        <v>1107</v>
      </c>
      <c r="C62" s="130" t="s">
        <v>1128</v>
      </c>
      <c r="D62" s="130" t="s">
        <v>114</v>
      </c>
      <c r="E62" s="135" t="s">
        <v>1890</v>
      </c>
      <c r="F62" s="136"/>
      <c r="G62" s="129">
        <v>2994.0</v>
      </c>
      <c r="H62" s="130" t="s">
        <v>669</v>
      </c>
      <c r="I62" s="130" t="s">
        <v>115</v>
      </c>
      <c r="J62" s="129">
        <v>14954.0</v>
      </c>
      <c r="K62" s="129">
        <v>62.1</v>
      </c>
      <c r="L62" s="130" t="s">
        <v>1868</v>
      </c>
      <c r="M62" s="130" t="s">
        <v>2029</v>
      </c>
    </row>
    <row r="63">
      <c r="A63" s="129">
        <v>63.0</v>
      </c>
      <c r="B63" s="130" t="s">
        <v>1113</v>
      </c>
      <c r="C63" s="130" t="s">
        <v>1145</v>
      </c>
      <c r="D63" s="130" t="s">
        <v>114</v>
      </c>
      <c r="E63" s="137" t="s">
        <v>1895</v>
      </c>
      <c r="F63" s="132" t="b">
        <v>1</v>
      </c>
      <c r="G63" s="129">
        <v>4891.0</v>
      </c>
      <c r="H63" s="130" t="s">
        <v>2030</v>
      </c>
      <c r="I63" s="130" t="s">
        <v>115</v>
      </c>
      <c r="J63" s="129">
        <v>15288.0</v>
      </c>
      <c r="K63" s="129">
        <v>100.0</v>
      </c>
      <c r="L63" s="130" t="s">
        <v>1868</v>
      </c>
      <c r="M63" s="130" t="s">
        <v>2031</v>
      </c>
    </row>
    <row r="64">
      <c r="A64" s="129">
        <v>64.0</v>
      </c>
      <c r="B64" s="130" t="s">
        <v>1133</v>
      </c>
      <c r="C64" s="130" t="s">
        <v>1134</v>
      </c>
      <c r="D64" s="130" t="s">
        <v>111</v>
      </c>
      <c r="E64" s="137" t="s">
        <v>1895</v>
      </c>
      <c r="F64" s="132" t="b">
        <v>1</v>
      </c>
      <c r="G64" s="129">
        <v>3005.0</v>
      </c>
      <c r="H64" s="130" t="s">
        <v>2032</v>
      </c>
      <c r="I64" s="130" t="s">
        <v>1951</v>
      </c>
      <c r="J64" s="129">
        <v>15409.0</v>
      </c>
      <c r="K64" s="129">
        <v>100.0</v>
      </c>
      <c r="L64" s="130" t="s">
        <v>1868</v>
      </c>
      <c r="M64" s="130" t="s">
        <v>2033</v>
      </c>
    </row>
    <row r="65">
      <c r="A65" s="129">
        <v>65.0</v>
      </c>
      <c r="B65" s="130" t="s">
        <v>1116</v>
      </c>
      <c r="C65" s="130" t="s">
        <v>1118</v>
      </c>
      <c r="D65" s="130" t="s">
        <v>114</v>
      </c>
      <c r="E65" s="135" t="s">
        <v>1890</v>
      </c>
      <c r="F65" s="136"/>
      <c r="G65" s="129">
        <v>2462.0</v>
      </c>
      <c r="H65" s="130" t="s">
        <v>2034</v>
      </c>
      <c r="I65" s="130" t="s">
        <v>115</v>
      </c>
      <c r="J65" s="129">
        <v>9623.0</v>
      </c>
      <c r="K65" s="129">
        <v>54.6</v>
      </c>
      <c r="L65" s="130" t="s">
        <v>1868</v>
      </c>
      <c r="M65" s="130" t="s">
        <v>2035</v>
      </c>
    </row>
    <row r="66">
      <c r="A66" s="129">
        <v>66.0</v>
      </c>
      <c r="B66" s="130" t="s">
        <v>1168</v>
      </c>
      <c r="C66" s="130" t="s">
        <v>1169</v>
      </c>
      <c r="D66" s="130" t="s">
        <v>119</v>
      </c>
      <c r="E66" s="137" t="s">
        <v>1895</v>
      </c>
      <c r="F66" s="132" t="b">
        <v>1</v>
      </c>
      <c r="G66" s="129">
        <v>574.0</v>
      </c>
      <c r="H66" s="130" t="s">
        <v>2037</v>
      </c>
      <c r="I66" s="130" t="s">
        <v>1914</v>
      </c>
      <c r="J66" s="129">
        <v>5381.0</v>
      </c>
      <c r="K66" s="129">
        <v>100.0</v>
      </c>
      <c r="L66" s="130" t="s">
        <v>1868</v>
      </c>
      <c r="M66" s="130" t="s">
        <v>2042</v>
      </c>
    </row>
    <row r="67">
      <c r="A67" s="129">
        <v>67.0</v>
      </c>
      <c r="B67" s="130" t="s">
        <v>1140</v>
      </c>
      <c r="C67" s="130" t="s">
        <v>1178</v>
      </c>
      <c r="D67" s="130" t="s">
        <v>114</v>
      </c>
      <c r="E67" s="135" t="s">
        <v>1890</v>
      </c>
      <c r="F67" s="136"/>
      <c r="G67" s="129">
        <v>4630.0</v>
      </c>
      <c r="H67" s="130" t="s">
        <v>2044</v>
      </c>
      <c r="I67" s="130" t="s">
        <v>115</v>
      </c>
      <c r="J67" s="129">
        <v>3210.0</v>
      </c>
      <c r="K67" s="129">
        <v>60.8</v>
      </c>
      <c r="L67" s="130" t="s">
        <v>1868</v>
      </c>
      <c r="M67" s="130" t="s">
        <v>2045</v>
      </c>
    </row>
    <row r="68">
      <c r="A68" s="129">
        <v>68.0</v>
      </c>
      <c r="B68" s="130" t="s">
        <v>1158</v>
      </c>
      <c r="C68" s="130" t="s">
        <v>1159</v>
      </c>
      <c r="D68" s="130" t="s">
        <v>119</v>
      </c>
      <c r="E68" s="131" t="s">
        <v>1870</v>
      </c>
      <c r="F68" s="132" t="b">
        <v>1</v>
      </c>
      <c r="G68" s="129">
        <v>3489.0</v>
      </c>
      <c r="H68" s="130" t="s">
        <v>1159</v>
      </c>
      <c r="I68" s="130" t="s">
        <v>1914</v>
      </c>
      <c r="J68" s="129">
        <v>15295.0</v>
      </c>
      <c r="K68" s="129">
        <v>100.0</v>
      </c>
      <c r="L68" s="130" t="s">
        <v>1868</v>
      </c>
      <c r="M68" s="130" t="s">
        <v>2048</v>
      </c>
    </row>
    <row r="69">
      <c r="A69" s="129">
        <v>69.0</v>
      </c>
      <c r="B69" s="130" t="s">
        <v>990</v>
      </c>
      <c r="C69" s="130" t="s">
        <v>1192</v>
      </c>
      <c r="D69" s="130" t="s">
        <v>114</v>
      </c>
      <c r="E69" s="131" t="s">
        <v>1870</v>
      </c>
      <c r="F69" s="132" t="b">
        <v>1</v>
      </c>
      <c r="G69" s="129">
        <v>204.0</v>
      </c>
      <c r="H69" s="130" t="s">
        <v>1192</v>
      </c>
      <c r="I69" s="130" t="s">
        <v>115</v>
      </c>
      <c r="J69" s="129">
        <v>15230.0</v>
      </c>
      <c r="K69" s="129">
        <v>100.0</v>
      </c>
      <c r="L69" s="130" t="s">
        <v>1868</v>
      </c>
      <c r="M69" s="130" t="s">
        <v>2049</v>
      </c>
    </row>
    <row r="70">
      <c r="A70" s="129">
        <v>70.0</v>
      </c>
      <c r="B70" s="130" t="s">
        <v>1157</v>
      </c>
      <c r="C70" s="130" t="s">
        <v>1186</v>
      </c>
      <c r="D70" s="130" t="s">
        <v>114</v>
      </c>
      <c r="E70" s="135" t="s">
        <v>1890</v>
      </c>
      <c r="F70" s="136"/>
      <c r="G70" s="129">
        <v>4344.0</v>
      </c>
      <c r="H70" s="130" t="s">
        <v>2050</v>
      </c>
      <c r="I70" s="130" t="s">
        <v>2051</v>
      </c>
      <c r="J70" s="129">
        <v>7629.0</v>
      </c>
      <c r="K70" s="129">
        <v>52.2</v>
      </c>
      <c r="L70" s="130" t="s">
        <v>1892</v>
      </c>
      <c r="M70" s="130" t="s">
        <v>2052</v>
      </c>
    </row>
    <row r="71">
      <c r="A71" s="129">
        <v>71.0</v>
      </c>
      <c r="B71" s="130" t="s">
        <v>1198</v>
      </c>
      <c r="C71" s="130" t="s">
        <v>1199</v>
      </c>
      <c r="D71" s="130" t="s">
        <v>124</v>
      </c>
      <c r="E71" s="135" t="s">
        <v>1890</v>
      </c>
      <c r="F71" s="136"/>
      <c r="G71" s="129">
        <v>212.0</v>
      </c>
      <c r="H71" s="130" t="s">
        <v>2053</v>
      </c>
      <c r="I71" s="130" t="s">
        <v>2054</v>
      </c>
      <c r="J71" s="129">
        <v>7818.0</v>
      </c>
      <c r="K71" s="129">
        <v>29.0</v>
      </c>
      <c r="L71" s="130" t="s">
        <v>1892</v>
      </c>
      <c r="M71" s="130" t="s">
        <v>1893</v>
      </c>
    </row>
    <row r="72">
      <c r="A72" s="129">
        <v>72.0</v>
      </c>
      <c r="B72" s="130" t="s">
        <v>1212</v>
      </c>
      <c r="C72" s="130" t="s">
        <v>1213</v>
      </c>
      <c r="D72" s="130" t="s">
        <v>124</v>
      </c>
      <c r="E72" s="135" t="s">
        <v>1890</v>
      </c>
      <c r="F72" s="136"/>
      <c r="G72" s="129">
        <v>211.0</v>
      </c>
      <c r="H72" s="130" t="s">
        <v>2056</v>
      </c>
      <c r="I72" s="130" t="s">
        <v>2054</v>
      </c>
      <c r="J72" s="129">
        <v>7498.0</v>
      </c>
      <c r="K72" s="129">
        <v>27.8</v>
      </c>
      <c r="L72" s="130" t="s">
        <v>1892</v>
      </c>
      <c r="M72" s="130" t="s">
        <v>1893</v>
      </c>
    </row>
    <row r="73">
      <c r="A73" s="129">
        <v>73.0</v>
      </c>
      <c r="B73" s="130" t="s">
        <v>805</v>
      </c>
      <c r="C73" s="130" t="s">
        <v>1224</v>
      </c>
      <c r="D73" s="130" t="s">
        <v>123</v>
      </c>
      <c r="E73" s="135" t="s">
        <v>1890</v>
      </c>
      <c r="F73" s="136"/>
      <c r="G73" s="129">
        <v>4594.0</v>
      </c>
      <c r="H73" s="130" t="s">
        <v>1280</v>
      </c>
      <c r="I73" s="130" t="s">
        <v>1951</v>
      </c>
      <c r="J73" s="129">
        <v>15252.0</v>
      </c>
      <c r="K73" s="129">
        <v>45.1</v>
      </c>
      <c r="L73" s="130" t="s">
        <v>1892</v>
      </c>
      <c r="M73" s="130" t="s">
        <v>1893</v>
      </c>
    </row>
    <row r="74">
      <c r="A74" s="129">
        <v>74.0</v>
      </c>
      <c r="B74" s="130" t="s">
        <v>1207</v>
      </c>
      <c r="C74" s="130" t="s">
        <v>1231</v>
      </c>
      <c r="D74" s="130" t="s">
        <v>114</v>
      </c>
      <c r="E74" s="131" t="s">
        <v>1870</v>
      </c>
      <c r="F74" s="132" t="b">
        <v>1</v>
      </c>
      <c r="G74" s="129">
        <v>2995.0</v>
      </c>
      <c r="H74" s="130" t="s">
        <v>1231</v>
      </c>
      <c r="I74" s="130" t="s">
        <v>115</v>
      </c>
      <c r="J74" s="129">
        <v>15352.0</v>
      </c>
      <c r="K74" s="129">
        <v>100.0</v>
      </c>
      <c r="L74" s="130" t="s">
        <v>1868</v>
      </c>
      <c r="M74" s="130" t="s">
        <v>2061</v>
      </c>
    </row>
    <row r="75">
      <c r="A75" s="129">
        <v>75.0</v>
      </c>
      <c r="B75" s="130" t="s">
        <v>1256</v>
      </c>
      <c r="C75" s="130" t="s">
        <v>1257</v>
      </c>
      <c r="D75" s="130" t="s">
        <v>122</v>
      </c>
      <c r="E75" s="137" t="s">
        <v>1895</v>
      </c>
      <c r="F75" s="132" t="b">
        <v>1</v>
      </c>
      <c r="G75" s="129">
        <v>3667.0</v>
      </c>
      <c r="H75" s="130" t="s">
        <v>2062</v>
      </c>
      <c r="I75" s="130" t="s">
        <v>1877</v>
      </c>
      <c r="J75" s="129">
        <v>15318.0</v>
      </c>
      <c r="K75" s="129">
        <v>100.0</v>
      </c>
      <c r="L75" s="130" t="s">
        <v>1868</v>
      </c>
      <c r="M75" s="130" t="s">
        <v>2063</v>
      </c>
    </row>
    <row r="76">
      <c r="A76" s="129">
        <v>76.0</v>
      </c>
      <c r="B76" s="130" t="s">
        <v>1244</v>
      </c>
      <c r="C76" s="130" t="s">
        <v>1245</v>
      </c>
      <c r="D76" s="130" t="s">
        <v>122</v>
      </c>
      <c r="E76" s="133" t="s">
        <v>1881</v>
      </c>
      <c r="F76" s="134"/>
      <c r="G76" s="129">
        <v>1637.0</v>
      </c>
      <c r="H76" s="130" t="s">
        <v>1074</v>
      </c>
      <c r="I76" s="130" t="s">
        <v>1872</v>
      </c>
      <c r="J76" s="129">
        <v>15099.0</v>
      </c>
      <c r="K76" s="129">
        <v>69.2</v>
      </c>
      <c r="L76" s="130" t="s">
        <v>1892</v>
      </c>
      <c r="M76" s="130" t="s">
        <v>2065</v>
      </c>
    </row>
    <row r="77">
      <c r="A77" s="129">
        <v>77.0</v>
      </c>
      <c r="B77" s="130" t="s">
        <v>1237</v>
      </c>
      <c r="C77" s="130" t="s">
        <v>1237</v>
      </c>
      <c r="D77" s="130" t="s">
        <v>114</v>
      </c>
      <c r="E77" s="133" t="s">
        <v>1881</v>
      </c>
      <c r="F77" s="134"/>
      <c r="G77" s="129">
        <v>6164.0</v>
      </c>
      <c r="H77" s="130" t="s">
        <v>2066</v>
      </c>
      <c r="I77" s="130" t="s">
        <v>1877</v>
      </c>
      <c r="J77" s="129">
        <v>3174.0</v>
      </c>
      <c r="K77" s="129">
        <v>66.9</v>
      </c>
      <c r="L77" s="130" t="s">
        <v>1892</v>
      </c>
      <c r="M77" s="130" t="s">
        <v>2067</v>
      </c>
    </row>
    <row r="78">
      <c r="A78" s="129">
        <v>78.0</v>
      </c>
      <c r="B78" s="130" t="s">
        <v>1242</v>
      </c>
      <c r="C78" s="130" t="s">
        <v>1393</v>
      </c>
      <c r="D78" s="130" t="s">
        <v>114</v>
      </c>
      <c r="E78" s="135" t="s">
        <v>1890</v>
      </c>
      <c r="F78" s="136"/>
      <c r="G78" s="129">
        <v>1683.0</v>
      </c>
      <c r="H78" s="130" t="s">
        <v>1988</v>
      </c>
      <c r="I78" s="130" t="s">
        <v>115</v>
      </c>
      <c r="J78" s="129">
        <v>10822.0</v>
      </c>
      <c r="K78" s="129">
        <v>57.3</v>
      </c>
      <c r="L78" s="130" t="s">
        <v>1868</v>
      </c>
      <c r="M78" s="130" t="s">
        <v>1989</v>
      </c>
    </row>
    <row r="79">
      <c r="A79" s="129">
        <v>79.0</v>
      </c>
      <c r="B79" s="130" t="s">
        <v>1053</v>
      </c>
      <c r="C79" s="130" t="s">
        <v>1280</v>
      </c>
      <c r="D79" s="130" t="s">
        <v>111</v>
      </c>
      <c r="E79" s="131" t="s">
        <v>1870</v>
      </c>
      <c r="F79" s="132" t="b">
        <v>1</v>
      </c>
      <c r="G79" s="129">
        <v>4594.0</v>
      </c>
      <c r="H79" s="130" t="s">
        <v>1280</v>
      </c>
      <c r="I79" s="130" t="s">
        <v>1951</v>
      </c>
      <c r="J79" s="129">
        <v>15252.0</v>
      </c>
      <c r="K79" s="129">
        <v>100.0</v>
      </c>
      <c r="L79" s="130" t="s">
        <v>1868</v>
      </c>
      <c r="M79" s="130" t="s">
        <v>2068</v>
      </c>
    </row>
    <row r="80">
      <c r="A80" s="129">
        <v>80.0</v>
      </c>
      <c r="B80" s="130" t="s">
        <v>1254</v>
      </c>
      <c r="C80" s="130" t="s">
        <v>1254</v>
      </c>
      <c r="D80" s="130" t="s">
        <v>114</v>
      </c>
      <c r="E80" s="133" t="s">
        <v>1881</v>
      </c>
      <c r="F80" s="134"/>
      <c r="G80" s="129">
        <v>3697.0</v>
      </c>
      <c r="H80" s="130" t="s">
        <v>2069</v>
      </c>
      <c r="I80" s="130" t="s">
        <v>115</v>
      </c>
      <c r="J80" s="129">
        <v>7591.0</v>
      </c>
      <c r="K80" s="129">
        <v>80.9</v>
      </c>
      <c r="L80" s="130" t="s">
        <v>1868</v>
      </c>
      <c r="M80" s="130" t="s">
        <v>2070</v>
      </c>
    </row>
    <row r="81">
      <c r="A81" s="129">
        <v>81.0</v>
      </c>
      <c r="B81" s="130" t="s">
        <v>1265</v>
      </c>
      <c r="C81" s="130" t="s">
        <v>1298</v>
      </c>
      <c r="D81" s="130" t="s">
        <v>114</v>
      </c>
      <c r="E81" s="135" t="s">
        <v>1890</v>
      </c>
      <c r="F81" s="136"/>
      <c r="G81" s="129">
        <v>3758.0</v>
      </c>
      <c r="H81" s="130" t="s">
        <v>2071</v>
      </c>
      <c r="I81" s="130" t="s">
        <v>115</v>
      </c>
      <c r="J81" s="129">
        <v>5110.0</v>
      </c>
      <c r="K81" s="129">
        <v>57.7</v>
      </c>
      <c r="L81" s="130" t="s">
        <v>1868</v>
      </c>
      <c r="M81" s="130" t="s">
        <v>2073</v>
      </c>
    </row>
    <row r="82">
      <c r="A82" s="129">
        <v>82.0</v>
      </c>
      <c r="B82" s="130" t="s">
        <v>1272</v>
      </c>
      <c r="C82" s="130" t="s">
        <v>1314</v>
      </c>
      <c r="D82" s="130" t="s">
        <v>114</v>
      </c>
      <c r="E82" s="133" t="s">
        <v>1881</v>
      </c>
      <c r="F82" s="134"/>
      <c r="G82" s="129">
        <v>6446.0</v>
      </c>
      <c r="H82" s="130" t="s">
        <v>2075</v>
      </c>
      <c r="I82" s="130" t="s">
        <v>115</v>
      </c>
      <c r="J82" s="129">
        <v>9221.0</v>
      </c>
      <c r="K82" s="129">
        <v>64.8</v>
      </c>
      <c r="L82" s="130" t="s">
        <v>1868</v>
      </c>
      <c r="M82" s="130" t="s">
        <v>2076</v>
      </c>
    </row>
    <row r="83">
      <c r="A83" s="129">
        <v>83.0</v>
      </c>
      <c r="B83" s="130" t="s">
        <v>1278</v>
      </c>
      <c r="C83" s="130" t="s">
        <v>1321</v>
      </c>
      <c r="D83" s="130" t="s">
        <v>114</v>
      </c>
      <c r="E83" s="133" t="s">
        <v>1881</v>
      </c>
      <c r="F83" s="134"/>
      <c r="G83" s="129">
        <v>3697.0</v>
      </c>
      <c r="H83" s="130" t="s">
        <v>2069</v>
      </c>
      <c r="I83" s="130" t="s">
        <v>115</v>
      </c>
      <c r="J83" s="129">
        <v>7591.0</v>
      </c>
      <c r="K83" s="129">
        <v>63.6</v>
      </c>
      <c r="L83" s="130" t="s">
        <v>1868</v>
      </c>
      <c r="M83" s="130" t="s">
        <v>2070</v>
      </c>
    </row>
    <row r="84">
      <c r="A84" s="129">
        <v>84.0</v>
      </c>
      <c r="B84" s="130" t="s">
        <v>1286</v>
      </c>
      <c r="C84" s="130" t="s">
        <v>1336</v>
      </c>
      <c r="D84" s="130" t="s">
        <v>114</v>
      </c>
      <c r="E84" s="135" t="s">
        <v>1890</v>
      </c>
      <c r="F84" s="136"/>
      <c r="G84" s="129">
        <v>173.0</v>
      </c>
      <c r="H84" s="130" t="s">
        <v>1929</v>
      </c>
      <c r="I84" s="130" t="s">
        <v>115</v>
      </c>
      <c r="J84" s="129">
        <v>6032.0</v>
      </c>
      <c r="K84" s="129">
        <v>50.9</v>
      </c>
      <c r="L84" s="130" t="s">
        <v>1868</v>
      </c>
      <c r="M84" s="130" t="s">
        <v>2079</v>
      </c>
    </row>
    <row r="85">
      <c r="A85" s="129">
        <v>85.0</v>
      </c>
      <c r="B85" s="130" t="s">
        <v>1295</v>
      </c>
      <c r="C85" s="130" t="s">
        <v>1344</v>
      </c>
      <c r="D85" s="130" t="s">
        <v>114</v>
      </c>
      <c r="E85" s="133" t="s">
        <v>1881</v>
      </c>
      <c r="F85" s="134"/>
      <c r="G85" s="129">
        <v>3697.0</v>
      </c>
      <c r="H85" s="130" t="s">
        <v>2069</v>
      </c>
      <c r="I85" s="130" t="s">
        <v>115</v>
      </c>
      <c r="J85" s="129">
        <v>7591.0</v>
      </c>
      <c r="K85" s="129">
        <v>63.2</v>
      </c>
      <c r="L85" s="130" t="s">
        <v>1868</v>
      </c>
      <c r="M85" s="130" t="s">
        <v>2070</v>
      </c>
    </row>
    <row r="86">
      <c r="A86" s="129">
        <v>86.0</v>
      </c>
      <c r="B86" s="130" t="s">
        <v>1305</v>
      </c>
      <c r="C86" s="130" t="s">
        <v>1359</v>
      </c>
      <c r="D86" s="130" t="s">
        <v>114</v>
      </c>
      <c r="E86" s="135" t="s">
        <v>1890</v>
      </c>
      <c r="F86" s="136"/>
      <c r="G86" s="129">
        <v>1197.0</v>
      </c>
      <c r="H86" s="130" t="s">
        <v>1999</v>
      </c>
      <c r="I86" s="130" t="s">
        <v>115</v>
      </c>
      <c r="J86" s="129">
        <v>1355.0</v>
      </c>
      <c r="K86" s="129">
        <v>73.5</v>
      </c>
      <c r="L86" s="130" t="s">
        <v>1868</v>
      </c>
      <c r="M86" s="130" t="s">
        <v>2080</v>
      </c>
    </row>
    <row r="87">
      <c r="A87" s="129">
        <v>87.0</v>
      </c>
      <c r="B87" s="130" t="s">
        <v>1312</v>
      </c>
      <c r="C87" s="130" t="s">
        <v>1370</v>
      </c>
      <c r="D87" s="130" t="s">
        <v>114</v>
      </c>
      <c r="E87" s="135" t="s">
        <v>1890</v>
      </c>
      <c r="F87" s="136"/>
      <c r="G87" s="129">
        <v>6054.0</v>
      </c>
      <c r="H87" s="130" t="s">
        <v>2081</v>
      </c>
      <c r="I87" s="130" t="s">
        <v>115</v>
      </c>
      <c r="J87" s="129">
        <v>2678.0</v>
      </c>
      <c r="K87" s="129">
        <v>54.1</v>
      </c>
      <c r="L87" s="130" t="s">
        <v>1868</v>
      </c>
      <c r="M87" s="130" t="s">
        <v>2082</v>
      </c>
    </row>
    <row r="88">
      <c r="A88" s="129">
        <v>88.0</v>
      </c>
      <c r="B88" s="130" t="s">
        <v>1030</v>
      </c>
      <c r="C88" s="130" t="s">
        <v>1379</v>
      </c>
      <c r="D88" s="130" t="s">
        <v>114</v>
      </c>
      <c r="E88" s="131" t="s">
        <v>1870</v>
      </c>
      <c r="F88" s="132" t="b">
        <v>1</v>
      </c>
      <c r="G88" s="129">
        <v>4688.0</v>
      </c>
      <c r="H88" s="130" t="s">
        <v>1379</v>
      </c>
      <c r="I88" s="130" t="s">
        <v>115</v>
      </c>
      <c r="J88" s="129">
        <v>15376.0</v>
      </c>
      <c r="K88" s="129">
        <v>100.0</v>
      </c>
      <c r="L88" s="130" t="s">
        <v>1868</v>
      </c>
      <c r="M88" s="130" t="s">
        <v>2085</v>
      </c>
    </row>
    <row r="89">
      <c r="A89" s="129">
        <v>89.0</v>
      </c>
      <c r="B89" s="130" t="s">
        <v>1326</v>
      </c>
      <c r="C89" s="130" t="s">
        <v>1456</v>
      </c>
      <c r="D89" s="130" t="s">
        <v>114</v>
      </c>
      <c r="E89" s="135" t="s">
        <v>1890</v>
      </c>
      <c r="F89" s="136"/>
      <c r="G89" s="129">
        <v>6202.0</v>
      </c>
      <c r="H89" s="130" t="s">
        <v>2086</v>
      </c>
      <c r="I89" s="130" t="s">
        <v>115</v>
      </c>
      <c r="J89" s="129">
        <v>2700.0</v>
      </c>
      <c r="K89" s="129">
        <v>36.8</v>
      </c>
      <c r="L89" s="130" t="s">
        <v>1868</v>
      </c>
      <c r="M89" s="130" t="s">
        <v>1912</v>
      </c>
    </row>
    <row r="90">
      <c r="A90" s="129">
        <v>90.0</v>
      </c>
      <c r="B90" s="130" t="s">
        <v>766</v>
      </c>
      <c r="C90" s="130" t="s">
        <v>1425</v>
      </c>
      <c r="D90" s="130" t="s">
        <v>129</v>
      </c>
      <c r="E90" s="133" t="s">
        <v>1881</v>
      </c>
      <c r="F90" s="134"/>
      <c r="G90" s="129">
        <v>332.0</v>
      </c>
      <c r="H90" s="130" t="s">
        <v>2087</v>
      </c>
      <c r="I90" s="130" t="s">
        <v>1875</v>
      </c>
      <c r="J90" s="129">
        <v>6753.0</v>
      </c>
      <c r="K90" s="129">
        <v>63.4</v>
      </c>
      <c r="L90" s="130" t="s">
        <v>1892</v>
      </c>
      <c r="M90" s="130" t="s">
        <v>2088</v>
      </c>
    </row>
    <row r="91">
      <c r="A91" s="129">
        <v>91.0</v>
      </c>
      <c r="B91" s="130" t="s">
        <v>871</v>
      </c>
      <c r="C91" s="130" t="s">
        <v>1401</v>
      </c>
      <c r="D91" s="130" t="s">
        <v>114</v>
      </c>
      <c r="E91" s="135" t="s">
        <v>1890</v>
      </c>
      <c r="F91" s="136"/>
      <c r="G91" s="129">
        <v>4782.0</v>
      </c>
      <c r="H91" s="130" t="s">
        <v>2089</v>
      </c>
      <c r="I91" s="130" t="s">
        <v>1877</v>
      </c>
      <c r="J91" s="129">
        <v>15052.0</v>
      </c>
      <c r="K91" s="129">
        <v>52.7</v>
      </c>
      <c r="L91" s="130" t="s">
        <v>1892</v>
      </c>
      <c r="M91" s="130" t="s">
        <v>2090</v>
      </c>
    </row>
    <row r="92">
      <c r="A92" s="129">
        <v>92.0</v>
      </c>
      <c r="B92" s="130" t="s">
        <v>1342</v>
      </c>
      <c r="C92" s="130" t="s">
        <v>1586</v>
      </c>
      <c r="D92" s="130" t="s">
        <v>114</v>
      </c>
      <c r="E92" s="135" t="s">
        <v>1890</v>
      </c>
      <c r="F92" s="136"/>
      <c r="G92" s="129">
        <v>422.0</v>
      </c>
      <c r="H92" s="130" t="s">
        <v>2091</v>
      </c>
      <c r="I92" s="130" t="s">
        <v>2092</v>
      </c>
      <c r="J92" s="129">
        <v>15048.0</v>
      </c>
      <c r="K92" s="129">
        <v>30.0</v>
      </c>
      <c r="L92" s="130" t="s">
        <v>1892</v>
      </c>
      <c r="M92" s="130" t="s">
        <v>2052</v>
      </c>
    </row>
    <row r="93">
      <c r="A93" s="129">
        <v>93.0</v>
      </c>
      <c r="B93" s="130" t="s">
        <v>1351</v>
      </c>
      <c r="C93" s="130" t="s">
        <v>1555</v>
      </c>
      <c r="D93" s="130" t="s">
        <v>114</v>
      </c>
      <c r="E93" s="131" t="s">
        <v>1865</v>
      </c>
      <c r="F93" s="132" t="b">
        <v>1</v>
      </c>
      <c r="G93" s="129">
        <v>3668.0</v>
      </c>
      <c r="H93" s="130" t="s">
        <v>2093</v>
      </c>
      <c r="I93" s="130" t="s">
        <v>115</v>
      </c>
      <c r="J93" s="129">
        <v>15354.0</v>
      </c>
      <c r="K93" s="129">
        <v>100.0</v>
      </c>
      <c r="L93" s="130" t="s">
        <v>1868</v>
      </c>
      <c r="M93" s="130" t="s">
        <v>2094</v>
      </c>
    </row>
    <row r="94">
      <c r="A94" s="129">
        <v>94.0</v>
      </c>
      <c r="B94" s="130" t="s">
        <v>1564</v>
      </c>
      <c r="C94" s="130" t="s">
        <v>1565</v>
      </c>
      <c r="D94" s="130" t="s">
        <v>118</v>
      </c>
      <c r="E94" s="135" t="s">
        <v>1890</v>
      </c>
      <c r="F94" s="136"/>
      <c r="G94" s="129">
        <v>4555.0</v>
      </c>
      <c r="H94" s="130" t="s">
        <v>2095</v>
      </c>
      <c r="I94" s="130" t="s">
        <v>2096</v>
      </c>
      <c r="J94" s="129">
        <v>10882.0</v>
      </c>
      <c r="K94" s="129">
        <v>54.2</v>
      </c>
      <c r="L94" s="130" t="s">
        <v>1892</v>
      </c>
      <c r="M94" s="130" t="s">
        <v>2097</v>
      </c>
    </row>
    <row r="95">
      <c r="A95" s="129">
        <v>95.0</v>
      </c>
      <c r="B95" s="130" t="s">
        <v>837</v>
      </c>
      <c r="C95" s="130" t="s">
        <v>1577</v>
      </c>
      <c r="D95" s="130" t="s">
        <v>122</v>
      </c>
      <c r="E95" s="131" t="s">
        <v>1870</v>
      </c>
      <c r="F95" s="132" t="b">
        <v>1</v>
      </c>
      <c r="G95" s="129">
        <v>2440.0</v>
      </c>
      <c r="H95" s="130" t="s">
        <v>1577</v>
      </c>
      <c r="I95" s="130" t="s">
        <v>1877</v>
      </c>
      <c r="J95" s="129">
        <v>15328.0</v>
      </c>
      <c r="K95" s="129">
        <v>100.0</v>
      </c>
      <c r="L95" s="130" t="s">
        <v>1868</v>
      </c>
      <c r="M95" s="130" t="s">
        <v>2102</v>
      </c>
    </row>
    <row r="96">
      <c r="A96" s="129">
        <v>96.0</v>
      </c>
      <c r="B96" s="130" t="s">
        <v>1529</v>
      </c>
      <c r="C96" s="130" t="s">
        <v>1530</v>
      </c>
      <c r="D96" s="130" t="s">
        <v>129</v>
      </c>
      <c r="E96" s="131" t="s">
        <v>1865</v>
      </c>
      <c r="F96" s="132" t="b">
        <v>1</v>
      </c>
      <c r="G96" s="129">
        <v>3666.0</v>
      </c>
      <c r="H96" s="130" t="s">
        <v>2103</v>
      </c>
      <c r="I96" s="130" t="s">
        <v>1872</v>
      </c>
      <c r="J96" s="129">
        <v>15311.0</v>
      </c>
      <c r="K96" s="129">
        <v>100.0</v>
      </c>
      <c r="L96" s="130" t="s">
        <v>1868</v>
      </c>
      <c r="M96" s="130" t="s">
        <v>2104</v>
      </c>
    </row>
    <row r="97">
      <c r="A97" s="129">
        <v>97.0</v>
      </c>
      <c r="B97" s="130" t="s">
        <v>1492</v>
      </c>
      <c r="C97" s="130" t="s">
        <v>1493</v>
      </c>
      <c r="D97" s="130" t="s">
        <v>129</v>
      </c>
      <c r="E97" s="131" t="s">
        <v>1865</v>
      </c>
      <c r="F97" s="132" t="b">
        <v>1</v>
      </c>
      <c r="G97" s="129">
        <v>3011.0</v>
      </c>
      <c r="H97" s="130" t="s">
        <v>2105</v>
      </c>
      <c r="I97" s="130" t="s">
        <v>1872</v>
      </c>
      <c r="J97" s="129">
        <v>15323.0</v>
      </c>
      <c r="K97" s="129">
        <v>100.0</v>
      </c>
      <c r="L97" s="130" t="s">
        <v>1868</v>
      </c>
      <c r="M97" s="130" t="s">
        <v>2106</v>
      </c>
    </row>
    <row r="98">
      <c r="A98" s="129">
        <v>98.0</v>
      </c>
      <c r="B98" s="130" t="s">
        <v>1365</v>
      </c>
      <c r="C98" s="130" t="s">
        <v>1465</v>
      </c>
      <c r="D98" s="130" t="s">
        <v>114</v>
      </c>
      <c r="E98" s="135" t="s">
        <v>1890</v>
      </c>
      <c r="F98" s="136"/>
      <c r="G98" s="129">
        <v>2367.0</v>
      </c>
      <c r="H98" s="130" t="s">
        <v>2107</v>
      </c>
      <c r="I98" s="130" t="s">
        <v>115</v>
      </c>
      <c r="J98" s="129">
        <v>1736.0</v>
      </c>
      <c r="K98" s="129">
        <v>47.7</v>
      </c>
      <c r="L98" s="130" t="s">
        <v>1868</v>
      </c>
      <c r="M98" s="130" t="s">
        <v>1912</v>
      </c>
    </row>
    <row r="99">
      <c r="A99" s="129">
        <v>99.0</v>
      </c>
      <c r="B99" s="130" t="s">
        <v>1629</v>
      </c>
      <c r="C99" s="130" t="s">
        <v>1630</v>
      </c>
      <c r="D99" s="130" t="s">
        <v>86</v>
      </c>
      <c r="E99" s="135" t="s">
        <v>1890</v>
      </c>
      <c r="F99" s="136"/>
      <c r="G99" s="129">
        <v>1066.0</v>
      </c>
      <c r="H99" s="130" t="s">
        <v>2108</v>
      </c>
      <c r="I99" s="130" t="s">
        <v>2109</v>
      </c>
      <c r="J99" s="129">
        <v>15346.0</v>
      </c>
      <c r="K99" s="129">
        <v>62.1</v>
      </c>
      <c r="L99" s="130" t="s">
        <v>1892</v>
      </c>
      <c r="M99" s="130" t="s">
        <v>2110</v>
      </c>
    </row>
    <row r="100">
      <c r="A100" s="129">
        <v>100.0</v>
      </c>
      <c r="B100" s="130" t="s">
        <v>1376</v>
      </c>
      <c r="C100" s="130" t="s">
        <v>1683</v>
      </c>
      <c r="D100" s="130" t="s">
        <v>114</v>
      </c>
      <c r="E100" s="131" t="s">
        <v>1865</v>
      </c>
      <c r="F100" s="132" t="b">
        <v>1</v>
      </c>
      <c r="G100" s="129">
        <v>2996.0</v>
      </c>
      <c r="H100" s="130" t="s">
        <v>2112</v>
      </c>
      <c r="I100" s="130" t="s">
        <v>115</v>
      </c>
      <c r="J100" s="129">
        <v>15404.0</v>
      </c>
      <c r="K100" s="129">
        <v>100.0</v>
      </c>
      <c r="L100" s="130" t="s">
        <v>1868</v>
      </c>
      <c r="M100" s="130" t="s">
        <v>2114</v>
      </c>
    </row>
    <row r="101">
      <c r="A101" s="129">
        <v>101.0</v>
      </c>
      <c r="B101" s="130" t="s">
        <v>1385</v>
      </c>
      <c r="C101" s="130" t="s">
        <v>1722</v>
      </c>
      <c r="D101" s="130" t="s">
        <v>114</v>
      </c>
      <c r="E101" s="131" t="s">
        <v>1865</v>
      </c>
      <c r="F101" s="132" t="b">
        <v>1</v>
      </c>
      <c r="G101" s="129">
        <v>2998.0</v>
      </c>
      <c r="H101" s="130" t="s">
        <v>2115</v>
      </c>
      <c r="I101" s="130" t="s">
        <v>115</v>
      </c>
      <c r="J101" s="129">
        <v>15405.0</v>
      </c>
      <c r="K101" s="129">
        <v>100.0</v>
      </c>
      <c r="L101" s="130" t="s">
        <v>1868</v>
      </c>
      <c r="M101" s="130" t="s">
        <v>2116</v>
      </c>
    </row>
    <row r="102">
      <c r="A102" s="129">
        <v>102.0</v>
      </c>
      <c r="B102" s="130" t="s">
        <v>1391</v>
      </c>
      <c r="C102" s="130" t="s">
        <v>1759</v>
      </c>
      <c r="D102" s="130" t="s">
        <v>114</v>
      </c>
      <c r="E102" s="131" t="s">
        <v>1865</v>
      </c>
      <c r="F102" s="132" t="b">
        <v>1</v>
      </c>
      <c r="G102" s="129">
        <v>3000.0</v>
      </c>
      <c r="H102" s="130" t="s">
        <v>2117</v>
      </c>
      <c r="I102" s="130" t="s">
        <v>115</v>
      </c>
      <c r="J102" s="129">
        <v>15406.0</v>
      </c>
      <c r="K102" s="129">
        <v>100.0</v>
      </c>
      <c r="L102" s="130" t="s">
        <v>1868</v>
      </c>
      <c r="M102" s="130" t="s">
        <v>2116</v>
      </c>
    </row>
    <row r="103">
      <c r="A103" s="129">
        <v>103.0</v>
      </c>
      <c r="B103" s="130" t="s">
        <v>1399</v>
      </c>
      <c r="C103" s="130" t="s">
        <v>1769</v>
      </c>
      <c r="D103" s="130" t="s">
        <v>114</v>
      </c>
      <c r="E103" s="131" t="s">
        <v>1865</v>
      </c>
      <c r="F103" s="132" t="b">
        <v>1</v>
      </c>
      <c r="G103" s="129">
        <v>2997.0</v>
      </c>
      <c r="H103" s="130" t="s">
        <v>2120</v>
      </c>
      <c r="I103" s="130" t="s">
        <v>115</v>
      </c>
      <c r="J103" s="129">
        <v>15403.0</v>
      </c>
      <c r="K103" s="129">
        <v>100.0</v>
      </c>
      <c r="L103" s="130" t="s">
        <v>1868</v>
      </c>
      <c r="M103" s="130" t="s">
        <v>2121</v>
      </c>
    </row>
    <row r="104">
      <c r="A104" s="129">
        <v>104.0</v>
      </c>
      <c r="B104" s="130" t="s">
        <v>1408</v>
      </c>
      <c r="C104" s="130" t="s">
        <v>1781</v>
      </c>
      <c r="D104" s="130" t="s">
        <v>114</v>
      </c>
      <c r="E104" s="135" t="s">
        <v>1890</v>
      </c>
      <c r="F104" s="136"/>
      <c r="G104" s="129">
        <v>5826.0</v>
      </c>
      <c r="H104" s="130" t="s">
        <v>257</v>
      </c>
      <c r="I104" s="130" t="s">
        <v>115</v>
      </c>
      <c r="J104" s="129">
        <v>12635.0</v>
      </c>
      <c r="K104" s="129">
        <v>56.6</v>
      </c>
      <c r="L104" s="130" t="s">
        <v>1868</v>
      </c>
      <c r="M104" s="130" t="s">
        <v>2122</v>
      </c>
    </row>
    <row r="105">
      <c r="A105" s="129">
        <v>105.0</v>
      </c>
      <c r="B105" s="130" t="s">
        <v>1415</v>
      </c>
      <c r="C105" s="130" t="s">
        <v>1796</v>
      </c>
      <c r="D105" s="130" t="s">
        <v>114</v>
      </c>
      <c r="E105" s="133" t="s">
        <v>1881</v>
      </c>
      <c r="F105" s="134"/>
      <c r="G105" s="129">
        <v>5825.0</v>
      </c>
      <c r="H105" s="130" t="s">
        <v>2123</v>
      </c>
      <c r="I105" s="130" t="s">
        <v>115</v>
      </c>
      <c r="J105" s="129">
        <v>11184.0</v>
      </c>
      <c r="K105" s="129">
        <v>68.2</v>
      </c>
      <c r="L105" s="130" t="s">
        <v>1868</v>
      </c>
      <c r="M105" s="130" t="s">
        <v>2124</v>
      </c>
    </row>
    <row r="106">
      <c r="A106" s="129">
        <v>106.0</v>
      </c>
      <c r="B106" s="130" t="s">
        <v>1431</v>
      </c>
      <c r="C106" s="130" t="s">
        <v>1804</v>
      </c>
      <c r="D106" s="130" t="s">
        <v>114</v>
      </c>
      <c r="E106" s="133" t="s">
        <v>1881</v>
      </c>
      <c r="F106" s="134"/>
      <c r="G106" s="129">
        <v>3645.0</v>
      </c>
      <c r="H106" s="130" t="s">
        <v>2125</v>
      </c>
      <c r="I106" s="130" t="s">
        <v>115</v>
      </c>
      <c r="J106" s="129">
        <v>9276.0</v>
      </c>
      <c r="K106" s="129">
        <v>64.6</v>
      </c>
      <c r="L106" s="130" t="s">
        <v>1868</v>
      </c>
      <c r="M106" s="130" t="s">
        <v>2126</v>
      </c>
    </row>
    <row r="107">
      <c r="A107" s="129">
        <v>107.0</v>
      </c>
      <c r="B107" s="130" t="s">
        <v>1439</v>
      </c>
      <c r="C107" s="130" t="s">
        <v>1814</v>
      </c>
      <c r="D107" s="130" t="s">
        <v>114</v>
      </c>
      <c r="E107" s="133" t="s">
        <v>1881</v>
      </c>
      <c r="F107" s="134"/>
      <c r="G107" s="129">
        <v>3081.0</v>
      </c>
      <c r="H107" s="130" t="s">
        <v>2127</v>
      </c>
      <c r="I107" s="130" t="s">
        <v>115</v>
      </c>
      <c r="J107" s="129">
        <v>4179.0</v>
      </c>
      <c r="K107" s="129">
        <v>67.9</v>
      </c>
      <c r="L107" s="130" t="s">
        <v>1868</v>
      </c>
      <c r="M107" s="130" t="s">
        <v>2128</v>
      </c>
    </row>
    <row r="108">
      <c r="A108" s="129">
        <v>108.0</v>
      </c>
      <c r="B108" s="130" t="s">
        <v>889</v>
      </c>
      <c r="C108" s="130" t="s">
        <v>1824</v>
      </c>
      <c r="D108" s="130" t="s">
        <v>114</v>
      </c>
      <c r="E108" s="135" t="s">
        <v>1890</v>
      </c>
      <c r="F108" s="136"/>
      <c r="G108" s="129">
        <v>2392.0</v>
      </c>
      <c r="H108" s="130" t="s">
        <v>2129</v>
      </c>
      <c r="I108" s="130" t="s">
        <v>115</v>
      </c>
      <c r="J108" s="129">
        <v>7027.0</v>
      </c>
      <c r="K108" s="129">
        <v>23.2</v>
      </c>
      <c r="L108" s="130" t="s">
        <v>1868</v>
      </c>
      <c r="M108" s="130" t="s">
        <v>2080</v>
      </c>
    </row>
    <row r="109">
      <c r="A109" s="129">
        <v>109.0</v>
      </c>
      <c r="B109" s="130" t="s">
        <v>1454</v>
      </c>
      <c r="C109" s="130" t="s">
        <v>1832</v>
      </c>
      <c r="D109" s="130" t="s">
        <v>114</v>
      </c>
      <c r="E109" s="135" t="s">
        <v>1890</v>
      </c>
      <c r="F109" s="136"/>
      <c r="G109" s="129">
        <v>4630.0</v>
      </c>
      <c r="H109" s="130" t="s">
        <v>2044</v>
      </c>
      <c r="I109" s="130" t="s">
        <v>115</v>
      </c>
      <c r="J109" s="129">
        <v>3210.0</v>
      </c>
      <c r="K109" s="129">
        <v>62.8</v>
      </c>
      <c r="L109" s="130" t="s">
        <v>1868</v>
      </c>
      <c r="M109" s="130" t="s">
        <v>2045</v>
      </c>
    </row>
    <row r="110">
      <c r="A110" s="129">
        <v>110.0</v>
      </c>
      <c r="B110" s="130" t="s">
        <v>1463</v>
      </c>
      <c r="C110" s="130" t="s">
        <v>1843</v>
      </c>
      <c r="D110" s="130" t="s">
        <v>114</v>
      </c>
      <c r="E110" s="133" t="s">
        <v>1881</v>
      </c>
      <c r="F110" s="134"/>
      <c r="G110" s="129">
        <v>5940.0</v>
      </c>
      <c r="H110" s="130" t="s">
        <v>2132</v>
      </c>
      <c r="I110" s="130" t="s">
        <v>115</v>
      </c>
      <c r="J110" s="129">
        <v>11276.0</v>
      </c>
      <c r="K110" s="129">
        <v>95.5</v>
      </c>
      <c r="L110" s="130" t="s">
        <v>1868</v>
      </c>
      <c r="M110" s="130" t="s">
        <v>2135</v>
      </c>
    </row>
    <row r="111">
      <c r="A111" s="129">
        <v>111.0</v>
      </c>
      <c r="B111" s="130" t="s">
        <v>1471</v>
      </c>
      <c r="C111" s="130" t="s">
        <v>1848</v>
      </c>
      <c r="D111" s="130" t="s">
        <v>114</v>
      </c>
      <c r="E111" s="133" t="s">
        <v>1881</v>
      </c>
      <c r="F111" s="134"/>
      <c r="G111" s="129">
        <v>2975.0</v>
      </c>
      <c r="H111" s="130" t="s">
        <v>2137</v>
      </c>
      <c r="I111" s="130" t="s">
        <v>115</v>
      </c>
      <c r="J111" s="129">
        <v>3471.0</v>
      </c>
      <c r="K111" s="129">
        <v>76.1</v>
      </c>
      <c r="L111" s="130" t="s">
        <v>1868</v>
      </c>
      <c r="M111" s="130" t="s">
        <v>2140</v>
      </c>
    </row>
    <row r="112">
      <c r="A112" s="129">
        <v>112.0</v>
      </c>
      <c r="B112" s="130" t="s">
        <v>1482</v>
      </c>
      <c r="C112" s="130" t="s">
        <v>1853</v>
      </c>
      <c r="D112" s="130" t="s">
        <v>114</v>
      </c>
      <c r="E112" s="133" t="s">
        <v>1881</v>
      </c>
      <c r="F112" s="134"/>
      <c r="G112" s="129">
        <v>3862.0</v>
      </c>
      <c r="H112" s="130" t="s">
        <v>2142</v>
      </c>
      <c r="I112" s="130" t="s">
        <v>115</v>
      </c>
      <c r="J112" s="129">
        <v>6222.0</v>
      </c>
      <c r="K112" s="129">
        <v>72.5</v>
      </c>
      <c r="L112" s="130" t="s">
        <v>1868</v>
      </c>
      <c r="M112" s="130" t="s">
        <v>2143</v>
      </c>
    </row>
    <row r="113">
      <c r="A113" s="129">
        <v>113.0</v>
      </c>
      <c r="B113" s="130" t="s">
        <v>1502</v>
      </c>
      <c r="C113" s="130" t="s">
        <v>1879</v>
      </c>
      <c r="D113" s="130" t="s">
        <v>114</v>
      </c>
      <c r="E113" s="133" t="s">
        <v>1881</v>
      </c>
      <c r="F113" s="134"/>
      <c r="G113" s="129">
        <v>3874.0</v>
      </c>
      <c r="H113" s="130" t="s">
        <v>2144</v>
      </c>
      <c r="I113" s="130" t="s">
        <v>115</v>
      </c>
      <c r="J113" s="129">
        <v>9733.0</v>
      </c>
      <c r="K113" s="129">
        <v>65.6</v>
      </c>
      <c r="L113" s="130" t="s">
        <v>1868</v>
      </c>
      <c r="M113" s="130" t="s">
        <v>2145</v>
      </c>
    </row>
    <row r="114">
      <c r="A114" s="129">
        <v>114.0</v>
      </c>
      <c r="B114" s="130" t="s">
        <v>1522</v>
      </c>
      <c r="C114" s="130" t="s">
        <v>1907</v>
      </c>
      <c r="D114" s="130" t="s">
        <v>114</v>
      </c>
      <c r="E114" s="133" t="s">
        <v>1881</v>
      </c>
      <c r="F114" s="134"/>
      <c r="G114" s="129">
        <v>143.0</v>
      </c>
      <c r="H114" s="130" t="s">
        <v>2146</v>
      </c>
      <c r="I114" s="130" t="s">
        <v>115</v>
      </c>
      <c r="J114" s="129">
        <v>1599.0</v>
      </c>
      <c r="K114" s="129">
        <v>69.0</v>
      </c>
      <c r="L114" s="130" t="s">
        <v>1868</v>
      </c>
      <c r="M114" s="130" t="s">
        <v>2147</v>
      </c>
    </row>
    <row r="115">
      <c r="A115" s="129">
        <v>115.0</v>
      </c>
      <c r="B115" s="130" t="s">
        <v>1544</v>
      </c>
      <c r="C115" s="130" t="s">
        <v>1934</v>
      </c>
      <c r="D115" s="130" t="s">
        <v>114</v>
      </c>
      <c r="E115" s="135" t="s">
        <v>1890</v>
      </c>
      <c r="F115" s="136"/>
      <c r="G115" s="129">
        <v>6367.0</v>
      </c>
      <c r="H115" s="130" t="s">
        <v>2150</v>
      </c>
      <c r="I115" s="130" t="s">
        <v>115</v>
      </c>
      <c r="J115" s="129">
        <v>2710.0</v>
      </c>
      <c r="K115" s="129">
        <v>55.4</v>
      </c>
      <c r="L115" s="130" t="s">
        <v>1868</v>
      </c>
      <c r="M115" s="130" t="s">
        <v>2151</v>
      </c>
    </row>
    <row r="116">
      <c r="A116" s="129">
        <v>116.0</v>
      </c>
      <c r="B116" s="130" t="s">
        <v>1562</v>
      </c>
      <c r="C116" s="130" t="s">
        <v>1963</v>
      </c>
      <c r="D116" s="130" t="s">
        <v>114</v>
      </c>
      <c r="E116" s="133" t="s">
        <v>1881</v>
      </c>
      <c r="F116" s="134"/>
      <c r="G116" s="129">
        <v>5172.0</v>
      </c>
      <c r="H116" s="130" t="s">
        <v>2152</v>
      </c>
      <c r="I116" s="130" t="s">
        <v>1899</v>
      </c>
      <c r="J116" s="129">
        <v>4127.0</v>
      </c>
      <c r="K116" s="129">
        <v>68.2</v>
      </c>
      <c r="L116" s="130" t="s">
        <v>1892</v>
      </c>
      <c r="M116" s="130" t="s">
        <v>2153</v>
      </c>
    </row>
    <row r="117">
      <c r="A117" s="129">
        <v>117.0</v>
      </c>
      <c r="B117" s="130" t="s">
        <v>1584</v>
      </c>
      <c r="C117" s="130" t="s">
        <v>1994</v>
      </c>
      <c r="D117" s="130" t="s">
        <v>114</v>
      </c>
      <c r="E117" s="133" t="s">
        <v>1881</v>
      </c>
      <c r="F117" s="134"/>
      <c r="G117" s="129">
        <v>5172.0</v>
      </c>
      <c r="H117" s="130" t="s">
        <v>2152</v>
      </c>
      <c r="I117" s="130" t="s">
        <v>1899</v>
      </c>
      <c r="J117" s="129">
        <v>4127.0</v>
      </c>
      <c r="K117" s="129">
        <v>66.5</v>
      </c>
      <c r="L117" s="130" t="s">
        <v>1892</v>
      </c>
      <c r="M117" s="130" t="s">
        <v>2153</v>
      </c>
    </row>
    <row r="118">
      <c r="A118" s="129">
        <v>118.0</v>
      </c>
      <c r="B118" s="130" t="s">
        <v>1595</v>
      </c>
      <c r="C118" s="130" t="s">
        <v>2025</v>
      </c>
      <c r="D118" s="130" t="s">
        <v>114</v>
      </c>
      <c r="E118" s="135" t="s">
        <v>1890</v>
      </c>
      <c r="F118" s="136"/>
      <c r="G118" s="129">
        <v>1492.0</v>
      </c>
      <c r="H118" s="130" t="s">
        <v>2154</v>
      </c>
      <c r="I118" s="130" t="s">
        <v>1872</v>
      </c>
      <c r="J118" s="129">
        <v>14858.0</v>
      </c>
      <c r="K118" s="129">
        <v>48.3</v>
      </c>
      <c r="L118" s="130" t="s">
        <v>1892</v>
      </c>
      <c r="M118" s="130" t="s">
        <v>2155</v>
      </c>
    </row>
    <row r="119">
      <c r="A119" s="129">
        <v>119.0</v>
      </c>
      <c r="B119" s="130" t="s">
        <v>1623</v>
      </c>
      <c r="C119" s="130" t="s">
        <v>2055</v>
      </c>
      <c r="D119" s="130" t="s">
        <v>114</v>
      </c>
      <c r="E119" s="133" t="s">
        <v>1881</v>
      </c>
      <c r="F119" s="134"/>
      <c r="G119" s="129">
        <v>2796.0</v>
      </c>
      <c r="H119" s="130" t="s">
        <v>2156</v>
      </c>
      <c r="I119" s="130" t="s">
        <v>115</v>
      </c>
      <c r="J119" s="129">
        <v>7228.0</v>
      </c>
      <c r="K119" s="129">
        <v>73.4</v>
      </c>
      <c r="L119" s="130" t="s">
        <v>1868</v>
      </c>
      <c r="M119" s="130" t="s">
        <v>2157</v>
      </c>
    </row>
    <row r="120">
      <c r="A120" s="129">
        <v>120.0</v>
      </c>
      <c r="B120" s="130" t="s">
        <v>1648</v>
      </c>
      <c r="C120" s="130" t="s">
        <v>2077</v>
      </c>
      <c r="D120" s="130" t="s">
        <v>114</v>
      </c>
      <c r="E120" s="133" t="s">
        <v>1881</v>
      </c>
      <c r="F120" s="134"/>
      <c r="G120" s="129">
        <v>2796.0</v>
      </c>
      <c r="H120" s="130" t="s">
        <v>2156</v>
      </c>
      <c r="I120" s="130" t="s">
        <v>115</v>
      </c>
      <c r="J120" s="129">
        <v>7228.0</v>
      </c>
      <c r="K120" s="129">
        <v>72.9</v>
      </c>
      <c r="L120" s="130" t="s">
        <v>1868</v>
      </c>
      <c r="M120" s="130" t="s">
        <v>2157</v>
      </c>
    </row>
    <row r="121">
      <c r="A121" s="129">
        <v>121.0</v>
      </c>
      <c r="B121" s="130" t="s">
        <v>929</v>
      </c>
      <c r="C121" s="130" t="s">
        <v>2098</v>
      </c>
      <c r="D121" s="130" t="s">
        <v>120</v>
      </c>
      <c r="E121" s="131" t="s">
        <v>1870</v>
      </c>
      <c r="F121" s="132" t="b">
        <v>1</v>
      </c>
      <c r="G121" s="129">
        <v>4893.0</v>
      </c>
      <c r="H121" s="130" t="s">
        <v>2098</v>
      </c>
      <c r="I121" s="130" t="s">
        <v>1954</v>
      </c>
      <c r="J121" s="129">
        <v>15388.0</v>
      </c>
      <c r="K121" s="129">
        <v>100.0</v>
      </c>
      <c r="L121" s="130" t="s">
        <v>1868</v>
      </c>
      <c r="M121" s="130" t="s">
        <v>2163</v>
      </c>
    </row>
    <row r="122">
      <c r="A122" s="129">
        <v>122.0</v>
      </c>
      <c r="B122" s="130" t="s">
        <v>1686</v>
      </c>
      <c r="C122" s="130" t="s">
        <v>2164</v>
      </c>
      <c r="D122" s="130" t="s">
        <v>114</v>
      </c>
      <c r="E122" s="133" t="s">
        <v>1881</v>
      </c>
      <c r="F122" s="134"/>
      <c r="G122" s="129">
        <v>5825.0</v>
      </c>
      <c r="H122" s="130" t="s">
        <v>2123</v>
      </c>
      <c r="I122" s="130" t="s">
        <v>115</v>
      </c>
      <c r="J122" s="129">
        <v>11184.0</v>
      </c>
      <c r="K122" s="129">
        <v>72.7</v>
      </c>
      <c r="L122" s="130" t="s">
        <v>1868</v>
      </c>
      <c r="M122" s="130" t="s">
        <v>2124</v>
      </c>
    </row>
    <row r="123">
      <c r="A123" s="129">
        <v>123.0</v>
      </c>
      <c r="B123" s="130" t="s">
        <v>1710</v>
      </c>
      <c r="C123" s="130" t="s">
        <v>2166</v>
      </c>
      <c r="D123" s="130" t="s">
        <v>114</v>
      </c>
      <c r="E123" s="133" t="s">
        <v>1881</v>
      </c>
      <c r="F123" s="134"/>
      <c r="G123" s="129">
        <v>138.0</v>
      </c>
      <c r="H123" s="130" t="s">
        <v>2167</v>
      </c>
      <c r="I123" s="130" t="s">
        <v>115</v>
      </c>
      <c r="J123" s="129">
        <v>1594.0</v>
      </c>
      <c r="K123" s="129">
        <v>55.1</v>
      </c>
      <c r="L123" s="130" t="s">
        <v>1868</v>
      </c>
      <c r="M123" s="130" t="s">
        <v>2168</v>
      </c>
    </row>
    <row r="124">
      <c r="A124" s="129">
        <v>124.0</v>
      </c>
      <c r="B124" s="130" t="s">
        <v>857</v>
      </c>
      <c r="C124" s="130" t="s">
        <v>2169</v>
      </c>
      <c r="D124" s="130" t="s">
        <v>114</v>
      </c>
      <c r="E124" s="133" t="s">
        <v>1881</v>
      </c>
      <c r="F124" s="134"/>
      <c r="G124" s="129">
        <v>2975.0</v>
      </c>
      <c r="H124" s="130" t="s">
        <v>2137</v>
      </c>
      <c r="I124" s="130" t="s">
        <v>115</v>
      </c>
      <c r="J124" s="129">
        <v>3471.0</v>
      </c>
      <c r="K124" s="129">
        <v>74.1</v>
      </c>
      <c r="L124" s="130" t="s">
        <v>1868</v>
      </c>
      <c r="M124" s="130" t="s">
        <v>2140</v>
      </c>
    </row>
    <row r="125">
      <c r="A125" s="129">
        <v>125.0</v>
      </c>
      <c r="B125" s="130" t="s">
        <v>1757</v>
      </c>
      <c r="C125" s="130" t="s">
        <v>2170</v>
      </c>
      <c r="D125" s="130" t="s">
        <v>114</v>
      </c>
      <c r="E125" s="133" t="s">
        <v>1881</v>
      </c>
      <c r="F125" s="134"/>
      <c r="G125" s="129">
        <v>2975.0</v>
      </c>
      <c r="H125" s="130" t="s">
        <v>2137</v>
      </c>
      <c r="I125" s="130" t="s">
        <v>115</v>
      </c>
      <c r="J125" s="129">
        <v>3471.0</v>
      </c>
      <c r="K125" s="129">
        <v>66.3</v>
      </c>
      <c r="L125" s="130" t="s">
        <v>1868</v>
      </c>
      <c r="M125" s="130" t="s">
        <v>2140</v>
      </c>
    </row>
    <row r="126">
      <c r="A126" s="129">
        <v>126.0</v>
      </c>
      <c r="B126" s="130" t="s">
        <v>1765</v>
      </c>
      <c r="C126" s="130" t="s">
        <v>2171</v>
      </c>
      <c r="D126" s="130" t="s">
        <v>114</v>
      </c>
      <c r="E126" s="135" t="s">
        <v>1890</v>
      </c>
      <c r="F126" s="136"/>
      <c r="G126" s="129">
        <v>3496.0</v>
      </c>
      <c r="H126" s="130" t="s">
        <v>2172</v>
      </c>
      <c r="I126" s="130" t="s">
        <v>2173</v>
      </c>
      <c r="J126" s="129">
        <v>5951.0</v>
      </c>
      <c r="K126" s="129">
        <v>38.7</v>
      </c>
      <c r="L126" s="130" t="s">
        <v>1892</v>
      </c>
      <c r="M126" s="130" t="s">
        <v>2052</v>
      </c>
    </row>
    <row r="127">
      <c r="A127" s="129">
        <v>127.0</v>
      </c>
      <c r="B127" s="130" t="s">
        <v>1772</v>
      </c>
      <c r="C127" s="130" t="s">
        <v>2174</v>
      </c>
      <c r="D127" s="130" t="s">
        <v>114</v>
      </c>
      <c r="E127" s="133" t="s">
        <v>1881</v>
      </c>
      <c r="F127" s="134"/>
      <c r="G127" s="129">
        <v>3874.0</v>
      </c>
      <c r="H127" s="130" t="s">
        <v>2144</v>
      </c>
      <c r="I127" s="130" t="s">
        <v>115</v>
      </c>
      <c r="J127" s="129">
        <v>9733.0</v>
      </c>
      <c r="K127" s="129">
        <v>74.0</v>
      </c>
      <c r="L127" s="130" t="s">
        <v>1868</v>
      </c>
      <c r="M127" s="130" t="s">
        <v>2145</v>
      </c>
    </row>
    <row r="128">
      <c r="A128" s="129">
        <v>128.0</v>
      </c>
      <c r="B128" s="130" t="s">
        <v>1779</v>
      </c>
      <c r="C128" s="130" t="s">
        <v>2175</v>
      </c>
      <c r="D128" s="130" t="s">
        <v>114</v>
      </c>
      <c r="E128" s="133" t="s">
        <v>1881</v>
      </c>
      <c r="F128" s="134"/>
      <c r="G128" s="129">
        <v>3874.0</v>
      </c>
      <c r="H128" s="130" t="s">
        <v>2144</v>
      </c>
      <c r="I128" s="130" t="s">
        <v>115</v>
      </c>
      <c r="J128" s="129">
        <v>9733.0</v>
      </c>
      <c r="K128" s="129">
        <v>66.3</v>
      </c>
      <c r="L128" s="130" t="s">
        <v>1868</v>
      </c>
      <c r="M128" s="130" t="s">
        <v>2145</v>
      </c>
    </row>
    <row r="129">
      <c r="A129" s="129">
        <v>129.0</v>
      </c>
      <c r="B129" s="130" t="s">
        <v>1788</v>
      </c>
      <c r="C129" s="130" t="s">
        <v>2177</v>
      </c>
      <c r="D129" s="130" t="s">
        <v>114</v>
      </c>
      <c r="E129" s="133" t="s">
        <v>1881</v>
      </c>
      <c r="F129" s="134"/>
      <c r="G129" s="129">
        <v>3874.0</v>
      </c>
      <c r="H129" s="130" t="s">
        <v>2144</v>
      </c>
      <c r="I129" s="130" t="s">
        <v>115</v>
      </c>
      <c r="J129" s="129">
        <v>9733.0</v>
      </c>
      <c r="K129" s="129">
        <v>68.3</v>
      </c>
      <c r="L129" s="130" t="s">
        <v>1868</v>
      </c>
      <c r="M129" s="130" t="s">
        <v>2145</v>
      </c>
    </row>
    <row r="130">
      <c r="A130" s="129">
        <v>130.0</v>
      </c>
      <c r="B130" s="130" t="s">
        <v>1794</v>
      </c>
      <c r="C130" s="130" t="s">
        <v>2179</v>
      </c>
      <c r="D130" s="130" t="s">
        <v>114</v>
      </c>
      <c r="E130" s="133" t="s">
        <v>1881</v>
      </c>
      <c r="F130" s="134"/>
      <c r="G130" s="129">
        <v>5172.0</v>
      </c>
      <c r="H130" s="130" t="s">
        <v>2152</v>
      </c>
      <c r="I130" s="130" t="s">
        <v>1899</v>
      </c>
      <c r="J130" s="129">
        <v>4127.0</v>
      </c>
      <c r="K130" s="129">
        <v>71.1</v>
      </c>
      <c r="L130" s="130" t="s">
        <v>1892</v>
      </c>
      <c r="M130" s="130" t="s">
        <v>2153</v>
      </c>
    </row>
    <row r="131">
      <c r="A131" s="129">
        <v>131.0</v>
      </c>
      <c r="B131" s="130" t="s">
        <v>1802</v>
      </c>
      <c r="C131" s="130" t="s">
        <v>2180</v>
      </c>
      <c r="D131" s="130" t="s">
        <v>114</v>
      </c>
      <c r="E131" s="133" t="s">
        <v>1881</v>
      </c>
      <c r="F131" s="134"/>
      <c r="G131" s="129">
        <v>347.0</v>
      </c>
      <c r="H131" s="130" t="s">
        <v>2181</v>
      </c>
      <c r="I131" s="130" t="s">
        <v>115</v>
      </c>
      <c r="J131" s="129">
        <v>7987.0</v>
      </c>
      <c r="K131" s="129">
        <v>67.2</v>
      </c>
      <c r="L131" s="130" t="s">
        <v>1868</v>
      </c>
      <c r="M131" s="130" t="s">
        <v>2182</v>
      </c>
    </row>
    <row r="132">
      <c r="A132" s="129">
        <v>132.0</v>
      </c>
      <c r="B132" s="130" t="s">
        <v>2133</v>
      </c>
      <c r="C132" s="130" t="s">
        <v>2134</v>
      </c>
      <c r="D132" s="130" t="s">
        <v>140</v>
      </c>
      <c r="E132" s="135" t="s">
        <v>1890</v>
      </c>
      <c r="F132" s="136"/>
      <c r="G132" s="129">
        <v>3316.0</v>
      </c>
      <c r="H132" s="130" t="s">
        <v>2183</v>
      </c>
      <c r="I132" s="130" t="s">
        <v>1875</v>
      </c>
      <c r="J132" s="129">
        <v>7979.0</v>
      </c>
      <c r="K132" s="129">
        <v>66.5</v>
      </c>
      <c r="L132" s="130" t="s">
        <v>1892</v>
      </c>
      <c r="M132" s="130" t="s">
        <v>1893</v>
      </c>
    </row>
    <row r="133">
      <c r="A133" s="129">
        <v>133.0</v>
      </c>
      <c r="B133" s="130" t="s">
        <v>1807</v>
      </c>
      <c r="C133" s="130" t="s">
        <v>2184</v>
      </c>
      <c r="D133" s="130" t="s">
        <v>114</v>
      </c>
      <c r="E133" s="133" t="s">
        <v>1881</v>
      </c>
      <c r="F133" s="134"/>
      <c r="G133" s="129">
        <v>3017.0</v>
      </c>
      <c r="H133" s="130" t="s">
        <v>437</v>
      </c>
      <c r="I133" s="130" t="s">
        <v>115</v>
      </c>
      <c r="J133" s="129">
        <v>14953.0</v>
      </c>
      <c r="K133" s="129">
        <v>76.7</v>
      </c>
      <c r="L133" s="130" t="s">
        <v>1868</v>
      </c>
      <c r="M133" s="130" t="s">
        <v>2188</v>
      </c>
    </row>
    <row r="134">
      <c r="A134" s="129">
        <v>134.0</v>
      </c>
      <c r="B134" s="130" t="s">
        <v>1812</v>
      </c>
      <c r="C134" s="130" t="s">
        <v>2189</v>
      </c>
      <c r="D134" s="130" t="s">
        <v>114</v>
      </c>
      <c r="E134" s="133" t="s">
        <v>1881</v>
      </c>
      <c r="F134" s="134"/>
      <c r="G134" s="129">
        <v>3003.0</v>
      </c>
      <c r="H134" s="130" t="s">
        <v>2190</v>
      </c>
      <c r="I134" s="130" t="s">
        <v>115</v>
      </c>
      <c r="J134" s="129">
        <v>14852.0</v>
      </c>
      <c r="K134" s="129">
        <v>80.7</v>
      </c>
      <c r="L134" s="130" t="s">
        <v>1868</v>
      </c>
      <c r="M134" s="130" t="s">
        <v>2191</v>
      </c>
    </row>
    <row r="135">
      <c r="A135" s="129">
        <v>135.0</v>
      </c>
      <c r="B135" s="130" t="s">
        <v>1820</v>
      </c>
      <c r="C135" s="130" t="s">
        <v>2192</v>
      </c>
      <c r="D135" s="130" t="s">
        <v>114</v>
      </c>
      <c r="E135" s="135" t="s">
        <v>1890</v>
      </c>
      <c r="F135" s="136"/>
      <c r="G135" s="129">
        <v>3273.0</v>
      </c>
      <c r="H135" s="130" t="s">
        <v>2194</v>
      </c>
      <c r="I135" s="130" t="s">
        <v>115</v>
      </c>
      <c r="J135" s="129">
        <v>5495.0</v>
      </c>
      <c r="K135" s="129">
        <v>55.8</v>
      </c>
      <c r="L135" s="130" t="s">
        <v>1868</v>
      </c>
      <c r="M135" s="130" t="s">
        <v>2195</v>
      </c>
    </row>
    <row r="136">
      <c r="A136" s="129">
        <v>136.0</v>
      </c>
      <c r="B136" s="130" t="s">
        <v>1827</v>
      </c>
      <c r="C136" s="130" t="s">
        <v>2198</v>
      </c>
      <c r="D136" s="130" t="s">
        <v>114</v>
      </c>
      <c r="E136" s="133" t="s">
        <v>1881</v>
      </c>
      <c r="F136" s="134"/>
      <c r="G136" s="129">
        <v>3497.0</v>
      </c>
      <c r="H136" s="130" t="s">
        <v>2199</v>
      </c>
      <c r="I136" s="130" t="s">
        <v>115</v>
      </c>
      <c r="J136" s="129">
        <v>5844.0</v>
      </c>
      <c r="K136" s="129">
        <v>77.1</v>
      </c>
      <c r="L136" s="130" t="s">
        <v>1868</v>
      </c>
      <c r="M136" s="130" t="s">
        <v>2200</v>
      </c>
    </row>
    <row r="137">
      <c r="A137" s="129">
        <v>137.0</v>
      </c>
      <c r="B137" s="130" t="s">
        <v>2201</v>
      </c>
      <c r="C137" s="130" t="s">
        <v>2202</v>
      </c>
      <c r="D137" s="130" t="s">
        <v>129</v>
      </c>
      <c r="E137" s="131" t="s">
        <v>1870</v>
      </c>
      <c r="F137" s="132" t="b">
        <v>1</v>
      </c>
      <c r="G137" s="129">
        <v>3670.0</v>
      </c>
      <c r="H137" s="130" t="s">
        <v>2202</v>
      </c>
      <c r="I137" s="130" t="s">
        <v>1872</v>
      </c>
      <c r="J137" s="129">
        <v>15461.0</v>
      </c>
      <c r="K137" s="129">
        <v>100.0</v>
      </c>
      <c r="L137" s="130" t="s">
        <v>1868</v>
      </c>
      <c r="M137" s="130" t="s">
        <v>2203</v>
      </c>
    </row>
    <row r="138">
      <c r="A138" s="129">
        <v>138.0</v>
      </c>
      <c r="B138" s="130" t="s">
        <v>2204</v>
      </c>
      <c r="C138" s="130" t="s">
        <v>2205</v>
      </c>
      <c r="D138" s="130" t="s">
        <v>129</v>
      </c>
      <c r="E138" s="133" t="s">
        <v>1881</v>
      </c>
      <c r="F138" s="134"/>
      <c r="G138" s="129">
        <v>4597.0</v>
      </c>
      <c r="H138" s="130" t="s">
        <v>2206</v>
      </c>
      <c r="I138" s="130" t="s">
        <v>1872</v>
      </c>
      <c r="J138" s="129">
        <v>6570.0</v>
      </c>
      <c r="K138" s="129">
        <v>63.7</v>
      </c>
      <c r="L138" s="130" t="s">
        <v>1868</v>
      </c>
      <c r="M138" s="130" t="s">
        <v>2207</v>
      </c>
    </row>
    <row r="139">
      <c r="A139" s="129">
        <v>139.0</v>
      </c>
      <c r="B139" s="130" t="s">
        <v>2208</v>
      </c>
      <c r="C139" s="130" t="s">
        <v>1425</v>
      </c>
      <c r="D139" s="130" t="s">
        <v>129</v>
      </c>
      <c r="E139" s="133" t="s">
        <v>1881</v>
      </c>
      <c r="F139" s="134"/>
      <c r="G139" s="129">
        <v>332.0</v>
      </c>
      <c r="H139" s="130" t="s">
        <v>2087</v>
      </c>
      <c r="I139" s="130" t="s">
        <v>1875</v>
      </c>
      <c r="J139" s="129">
        <v>6753.0</v>
      </c>
      <c r="K139" s="129">
        <v>63.4</v>
      </c>
      <c r="L139" s="130" t="s">
        <v>1892</v>
      </c>
      <c r="M139" s="130" t="s">
        <v>2088</v>
      </c>
    </row>
    <row r="140">
      <c r="A140" s="129">
        <v>140.0</v>
      </c>
      <c r="B140" s="130" t="s">
        <v>2209</v>
      </c>
      <c r="C140" s="130" t="s">
        <v>2210</v>
      </c>
      <c r="D140" s="130" t="s">
        <v>113</v>
      </c>
      <c r="E140" s="133" t="s">
        <v>1881</v>
      </c>
      <c r="F140" s="134"/>
      <c r="G140" s="129">
        <v>5348.0</v>
      </c>
      <c r="H140" s="130" t="s">
        <v>2211</v>
      </c>
      <c r="I140" s="130" t="s">
        <v>1875</v>
      </c>
      <c r="J140" s="129">
        <v>6461.0</v>
      </c>
      <c r="K140" s="129">
        <v>61.8</v>
      </c>
      <c r="L140" s="130" t="s">
        <v>1892</v>
      </c>
      <c r="M140" s="130" t="s">
        <v>2212</v>
      </c>
    </row>
    <row r="141">
      <c r="A141" s="129">
        <v>141.0</v>
      </c>
      <c r="B141" s="130" t="s">
        <v>1838</v>
      </c>
      <c r="C141" s="130" t="s">
        <v>2213</v>
      </c>
      <c r="D141" s="130" t="s">
        <v>114</v>
      </c>
      <c r="E141" s="135" t="s">
        <v>1890</v>
      </c>
      <c r="F141" s="136"/>
      <c r="G141" s="129">
        <v>4990.0</v>
      </c>
      <c r="H141" s="130" t="s">
        <v>2214</v>
      </c>
      <c r="I141" s="130" t="s">
        <v>115</v>
      </c>
      <c r="J141" s="129">
        <v>9648.0</v>
      </c>
      <c r="K141" s="129">
        <v>21.0</v>
      </c>
      <c r="L141" s="130" t="s">
        <v>1868</v>
      </c>
      <c r="M141" s="130" t="s">
        <v>2080</v>
      </c>
    </row>
    <row r="142">
      <c r="A142" s="129">
        <v>142.0</v>
      </c>
      <c r="B142" s="130" t="s">
        <v>2217</v>
      </c>
      <c r="C142" s="130" t="s">
        <v>2218</v>
      </c>
      <c r="D142" s="130" t="s">
        <v>86</v>
      </c>
      <c r="E142" s="131" t="s">
        <v>1865</v>
      </c>
      <c r="F142" s="132" t="b">
        <v>1</v>
      </c>
      <c r="G142" s="129">
        <v>4534.0</v>
      </c>
      <c r="H142" s="130" t="s">
        <v>2219</v>
      </c>
      <c r="I142" s="130" t="s">
        <v>1899</v>
      </c>
      <c r="J142" s="129">
        <v>7474.0</v>
      </c>
      <c r="K142" s="129">
        <v>100.0</v>
      </c>
      <c r="L142" s="130" t="s">
        <v>1868</v>
      </c>
      <c r="M142" s="130" t="s">
        <v>2220</v>
      </c>
    </row>
    <row r="143">
      <c r="A143" s="129">
        <v>143.0</v>
      </c>
      <c r="B143" s="130" t="s">
        <v>2221</v>
      </c>
      <c r="C143" s="130" t="s">
        <v>2222</v>
      </c>
      <c r="D143" s="130" t="s">
        <v>126</v>
      </c>
      <c r="E143" s="133" t="s">
        <v>1881</v>
      </c>
      <c r="F143" s="134"/>
      <c r="G143" s="129">
        <v>4594.0</v>
      </c>
      <c r="H143" s="130" t="s">
        <v>1280</v>
      </c>
      <c r="I143" s="130" t="s">
        <v>1951</v>
      </c>
      <c r="J143" s="129">
        <v>15252.0</v>
      </c>
      <c r="K143" s="129">
        <v>71.6</v>
      </c>
      <c r="L143" s="130" t="s">
        <v>1892</v>
      </c>
      <c r="M143" s="130" t="s">
        <v>2223</v>
      </c>
    </row>
    <row r="144">
      <c r="A144" s="129">
        <v>144.0</v>
      </c>
      <c r="B144" s="130" t="s">
        <v>2224</v>
      </c>
      <c r="C144" s="130" t="s">
        <v>1425</v>
      </c>
      <c r="D144" s="130" t="s">
        <v>129</v>
      </c>
      <c r="E144" s="133" t="s">
        <v>1881</v>
      </c>
      <c r="F144" s="134"/>
      <c r="G144" s="129">
        <v>332.0</v>
      </c>
      <c r="H144" s="130" t="s">
        <v>2087</v>
      </c>
      <c r="I144" s="130" t="s">
        <v>1875</v>
      </c>
      <c r="J144" s="129">
        <v>6753.0</v>
      </c>
      <c r="K144" s="129">
        <v>63.4</v>
      </c>
      <c r="L144" s="130" t="s">
        <v>1892</v>
      </c>
      <c r="M144" s="130" t="s">
        <v>2088</v>
      </c>
    </row>
    <row r="145">
      <c r="A145" s="129">
        <v>145.0</v>
      </c>
      <c r="B145" s="130" t="s">
        <v>2225</v>
      </c>
      <c r="C145" s="130" t="s">
        <v>2226</v>
      </c>
      <c r="D145" s="130" t="s">
        <v>113</v>
      </c>
      <c r="E145" s="133" t="s">
        <v>1881</v>
      </c>
      <c r="F145" s="134"/>
      <c r="G145" s="129">
        <v>4653.0</v>
      </c>
      <c r="H145" s="130" t="s">
        <v>2227</v>
      </c>
      <c r="I145" s="130" t="s">
        <v>1877</v>
      </c>
      <c r="J145" s="129">
        <v>4824.0</v>
      </c>
      <c r="K145" s="129">
        <v>83.4</v>
      </c>
      <c r="L145" s="130" t="s">
        <v>1892</v>
      </c>
      <c r="M145" s="130" t="s">
        <v>2228</v>
      </c>
    </row>
    <row r="146">
      <c r="A146" s="129">
        <v>146.0</v>
      </c>
      <c r="B146" s="130" t="s">
        <v>1887</v>
      </c>
      <c r="C146" s="130" t="s">
        <v>2229</v>
      </c>
      <c r="D146" s="130" t="s">
        <v>114</v>
      </c>
      <c r="E146" s="133" t="s">
        <v>1881</v>
      </c>
      <c r="F146" s="134"/>
      <c r="G146" s="129">
        <v>4377.0</v>
      </c>
      <c r="H146" s="130" t="s">
        <v>2231</v>
      </c>
      <c r="I146" s="130" t="s">
        <v>1872</v>
      </c>
      <c r="J146" s="129">
        <v>10861.0</v>
      </c>
      <c r="K146" s="129">
        <v>66.2</v>
      </c>
      <c r="L146" s="130" t="s">
        <v>1892</v>
      </c>
      <c r="M146" s="130" t="s">
        <v>2232</v>
      </c>
    </row>
    <row r="147">
      <c r="A147" s="129">
        <v>147.0</v>
      </c>
      <c r="B147" s="130" t="s">
        <v>1924</v>
      </c>
      <c r="C147" s="130" t="s">
        <v>2233</v>
      </c>
      <c r="D147" s="130" t="s">
        <v>114</v>
      </c>
      <c r="E147" s="135" t="s">
        <v>1890</v>
      </c>
      <c r="F147" s="136"/>
      <c r="G147" s="129">
        <v>3112.0</v>
      </c>
      <c r="H147" s="130" t="s">
        <v>2234</v>
      </c>
      <c r="I147" s="130" t="s">
        <v>115</v>
      </c>
      <c r="J147" s="129">
        <v>6485.0</v>
      </c>
      <c r="K147" s="129">
        <v>58.2</v>
      </c>
      <c r="L147" s="130" t="s">
        <v>1868</v>
      </c>
      <c r="M147" s="130" t="s">
        <v>2235</v>
      </c>
    </row>
    <row r="148">
      <c r="A148" s="129">
        <v>148.0</v>
      </c>
      <c r="B148" s="130" t="s">
        <v>2236</v>
      </c>
      <c r="C148" s="130" t="s">
        <v>2218</v>
      </c>
      <c r="D148" s="130" t="s">
        <v>86</v>
      </c>
      <c r="E148" s="131" t="s">
        <v>1865</v>
      </c>
      <c r="F148" s="132" t="b">
        <v>1</v>
      </c>
      <c r="G148" s="129">
        <v>4534.0</v>
      </c>
      <c r="H148" s="130" t="s">
        <v>2219</v>
      </c>
      <c r="I148" s="130" t="s">
        <v>1899</v>
      </c>
      <c r="J148" s="129">
        <v>7474.0</v>
      </c>
      <c r="K148" s="129">
        <v>100.0</v>
      </c>
      <c r="L148" s="130" t="s">
        <v>1868</v>
      </c>
      <c r="M148" s="130" t="s">
        <v>2220</v>
      </c>
    </row>
    <row r="149">
      <c r="A149" s="129">
        <v>149.0</v>
      </c>
      <c r="B149" s="130" t="s">
        <v>1942</v>
      </c>
      <c r="C149" s="130" t="s">
        <v>2239</v>
      </c>
      <c r="D149" s="130" t="s">
        <v>114</v>
      </c>
      <c r="E149" s="135" t="s">
        <v>1890</v>
      </c>
      <c r="F149" s="136"/>
      <c r="G149" s="129">
        <v>1956.0</v>
      </c>
      <c r="H149" s="130" t="s">
        <v>2240</v>
      </c>
      <c r="I149" s="130" t="s">
        <v>115</v>
      </c>
      <c r="J149" s="129">
        <v>9410.0</v>
      </c>
      <c r="K149" s="129">
        <v>45.6</v>
      </c>
      <c r="L149" s="130" t="s">
        <v>1868</v>
      </c>
      <c r="M149" s="130" t="s">
        <v>2241</v>
      </c>
    </row>
    <row r="150">
      <c r="A150" s="129">
        <v>150.0</v>
      </c>
      <c r="B150" s="130" t="s">
        <v>1962</v>
      </c>
      <c r="C150" s="130" t="s">
        <v>2242</v>
      </c>
      <c r="D150" s="130" t="s">
        <v>114</v>
      </c>
      <c r="E150" s="135" t="s">
        <v>1890</v>
      </c>
      <c r="F150" s="136"/>
      <c r="G150" s="129">
        <v>1956.0</v>
      </c>
      <c r="H150" s="130" t="s">
        <v>2240</v>
      </c>
      <c r="I150" s="130" t="s">
        <v>115</v>
      </c>
      <c r="J150" s="129">
        <v>9410.0</v>
      </c>
      <c r="K150" s="129">
        <v>56.1</v>
      </c>
      <c r="L150" s="130" t="s">
        <v>1868</v>
      </c>
      <c r="M150" s="130" t="s">
        <v>2241</v>
      </c>
    </row>
    <row r="151">
      <c r="A151" s="129">
        <v>151.0</v>
      </c>
      <c r="B151" s="130" t="s">
        <v>1981</v>
      </c>
      <c r="C151" s="130" t="s">
        <v>2243</v>
      </c>
      <c r="D151" s="130" t="s">
        <v>114</v>
      </c>
      <c r="E151" s="135" t="s">
        <v>1890</v>
      </c>
      <c r="F151" s="136"/>
      <c r="G151" s="129">
        <v>1956.0</v>
      </c>
      <c r="H151" s="130" t="s">
        <v>2240</v>
      </c>
      <c r="I151" s="130" t="s">
        <v>115</v>
      </c>
      <c r="J151" s="129">
        <v>9410.0</v>
      </c>
      <c r="K151" s="129">
        <v>52.4</v>
      </c>
      <c r="L151" s="130" t="s">
        <v>1868</v>
      </c>
      <c r="M151" s="130" t="s">
        <v>2241</v>
      </c>
    </row>
    <row r="152">
      <c r="A152" s="129">
        <v>152.0</v>
      </c>
      <c r="B152" s="130" t="s">
        <v>2005</v>
      </c>
      <c r="C152" s="130" t="s">
        <v>2246</v>
      </c>
      <c r="D152" s="130" t="s">
        <v>114</v>
      </c>
      <c r="E152" s="135" t="s">
        <v>1890</v>
      </c>
      <c r="F152" s="136"/>
      <c r="G152" s="129">
        <v>6136.0</v>
      </c>
      <c r="H152" s="130" t="s">
        <v>2247</v>
      </c>
      <c r="I152" s="130" t="s">
        <v>115</v>
      </c>
      <c r="J152" s="129">
        <v>9608.0</v>
      </c>
      <c r="K152" s="129">
        <v>39.6</v>
      </c>
      <c r="L152" s="130" t="s">
        <v>1868</v>
      </c>
      <c r="M152" s="130" t="s">
        <v>2080</v>
      </c>
    </row>
    <row r="153">
      <c r="A153" s="129">
        <v>153.0</v>
      </c>
      <c r="B153" s="130" t="s">
        <v>2043</v>
      </c>
      <c r="C153" s="130" t="s">
        <v>2248</v>
      </c>
      <c r="D153" s="130" t="s">
        <v>114</v>
      </c>
      <c r="E153" s="135" t="s">
        <v>1890</v>
      </c>
      <c r="F153" s="136"/>
      <c r="G153" s="129">
        <v>5351.0</v>
      </c>
      <c r="H153" s="130" t="s">
        <v>2249</v>
      </c>
      <c r="I153" s="130" t="s">
        <v>1954</v>
      </c>
      <c r="J153" s="129">
        <v>12717.0</v>
      </c>
      <c r="K153" s="129">
        <v>50.2</v>
      </c>
      <c r="L153" s="130" t="s">
        <v>1892</v>
      </c>
      <c r="M153" s="130" t="s">
        <v>1893</v>
      </c>
    </row>
    <row r="154">
      <c r="A154" s="129">
        <v>154.0</v>
      </c>
      <c r="B154" s="130" t="s">
        <v>2250</v>
      </c>
      <c r="C154" s="130" t="s">
        <v>2251</v>
      </c>
      <c r="D154" s="130" t="s">
        <v>124</v>
      </c>
      <c r="E154" s="135" t="s">
        <v>1890</v>
      </c>
      <c r="F154" s="136"/>
      <c r="G154" s="129">
        <v>6086.0</v>
      </c>
      <c r="H154" s="130" t="s">
        <v>2252</v>
      </c>
      <c r="I154" s="130" t="s">
        <v>1899</v>
      </c>
      <c r="J154" s="129">
        <v>4632.0</v>
      </c>
      <c r="K154" s="129">
        <v>58.6</v>
      </c>
      <c r="L154" s="130" t="s">
        <v>1892</v>
      </c>
      <c r="M154" s="130" t="s">
        <v>2253</v>
      </c>
    </row>
    <row r="155">
      <c r="A155" s="129">
        <v>155.0</v>
      </c>
      <c r="B155" s="130" t="s">
        <v>2254</v>
      </c>
      <c r="C155" s="130" t="s">
        <v>2255</v>
      </c>
      <c r="D155" s="130" t="s">
        <v>111</v>
      </c>
      <c r="E155" s="135" t="s">
        <v>1890</v>
      </c>
      <c r="F155" s="136"/>
      <c r="G155" s="129">
        <v>6413.0</v>
      </c>
      <c r="H155" s="130" t="s">
        <v>2256</v>
      </c>
      <c r="I155" s="130" t="s">
        <v>1951</v>
      </c>
      <c r="J155" s="129">
        <v>4237.0</v>
      </c>
      <c r="K155" s="129">
        <v>4.2</v>
      </c>
      <c r="L155" s="130" t="s">
        <v>1868</v>
      </c>
      <c r="M155" s="130" t="s">
        <v>1912</v>
      </c>
    </row>
    <row r="156">
      <c r="A156" s="129">
        <v>156.0</v>
      </c>
      <c r="B156" s="130" t="s">
        <v>2257</v>
      </c>
      <c r="C156" s="130" t="s">
        <v>2255</v>
      </c>
      <c r="D156" s="130" t="s">
        <v>86</v>
      </c>
      <c r="E156" s="135" t="s">
        <v>1890</v>
      </c>
      <c r="F156" s="136"/>
      <c r="G156" s="129">
        <v>6422.0</v>
      </c>
      <c r="H156" s="130" t="s">
        <v>2258</v>
      </c>
      <c r="I156" s="130" t="s">
        <v>2092</v>
      </c>
      <c r="J156" s="129">
        <v>2730.0</v>
      </c>
      <c r="K156" s="129">
        <v>3.5</v>
      </c>
      <c r="L156" s="130" t="s">
        <v>1892</v>
      </c>
      <c r="M156" s="130" t="s">
        <v>1893</v>
      </c>
    </row>
    <row r="157">
      <c r="A157" s="129">
        <v>157.0</v>
      </c>
      <c r="B157" s="130" t="s">
        <v>1441</v>
      </c>
      <c r="C157" s="130" t="s">
        <v>1442</v>
      </c>
      <c r="D157" s="130" t="s">
        <v>114</v>
      </c>
      <c r="E157" s="133" t="s">
        <v>1881</v>
      </c>
      <c r="F157" s="134"/>
      <c r="G157" s="129">
        <v>5889.0</v>
      </c>
      <c r="H157" s="130" t="s">
        <v>2259</v>
      </c>
      <c r="I157" s="130" t="s">
        <v>2260</v>
      </c>
      <c r="J157" s="129">
        <v>11277.0</v>
      </c>
      <c r="K157" s="129">
        <v>73.5</v>
      </c>
      <c r="L157" s="130" t="s">
        <v>1892</v>
      </c>
      <c r="M157" s="130" t="s">
        <v>2262</v>
      </c>
    </row>
    <row r="158">
      <c r="A158" s="129">
        <v>158.0</v>
      </c>
      <c r="B158" s="130" t="s">
        <v>1742</v>
      </c>
      <c r="C158" s="130" t="s">
        <v>1743</v>
      </c>
      <c r="D158" s="130" t="s">
        <v>114</v>
      </c>
      <c r="E158" s="135" t="s">
        <v>1890</v>
      </c>
      <c r="F158" s="136"/>
      <c r="G158" s="129">
        <v>4991.0</v>
      </c>
      <c r="H158" s="130" t="s">
        <v>1971</v>
      </c>
      <c r="I158" s="130" t="s">
        <v>115</v>
      </c>
      <c r="J158" s="129">
        <v>6601.0</v>
      </c>
      <c r="K158" s="129">
        <v>56.6</v>
      </c>
      <c r="L158" s="130" t="s">
        <v>1868</v>
      </c>
      <c r="M158" s="130" t="s">
        <v>1972</v>
      </c>
    </row>
    <row r="159">
      <c r="A159" s="129">
        <v>159.0</v>
      </c>
      <c r="B159" s="130" t="s">
        <v>2264</v>
      </c>
      <c r="C159" s="130" t="s">
        <v>2265</v>
      </c>
      <c r="D159" s="130" t="s">
        <v>122</v>
      </c>
      <c r="E159" s="135" t="s">
        <v>1890</v>
      </c>
      <c r="F159" s="136"/>
      <c r="G159" s="129">
        <v>315.0</v>
      </c>
      <c r="H159" s="130" t="s">
        <v>2267</v>
      </c>
      <c r="I159" s="130" t="s">
        <v>115</v>
      </c>
      <c r="J159" s="129">
        <v>15396.0</v>
      </c>
      <c r="K159" s="129">
        <v>41.9</v>
      </c>
      <c r="L159" s="130" t="s">
        <v>1892</v>
      </c>
      <c r="M159" s="130" t="s">
        <v>2268</v>
      </c>
    </row>
    <row r="160">
      <c r="A160" s="129">
        <v>160.0</v>
      </c>
      <c r="B160" s="130" t="s">
        <v>2159</v>
      </c>
      <c r="C160" s="130" t="s">
        <v>2160</v>
      </c>
      <c r="D160" s="130" t="s">
        <v>114</v>
      </c>
      <c r="E160" s="133" t="s">
        <v>1881</v>
      </c>
      <c r="F160" s="134"/>
      <c r="G160" s="129">
        <v>3096.0</v>
      </c>
      <c r="H160" s="130" t="s">
        <v>2269</v>
      </c>
      <c r="I160" s="130" t="s">
        <v>1954</v>
      </c>
      <c r="J160" s="129">
        <v>5104.0</v>
      </c>
      <c r="K160" s="129">
        <v>76.4</v>
      </c>
      <c r="L160" s="130" t="s">
        <v>1892</v>
      </c>
      <c r="M160" s="130" t="s">
        <v>2270</v>
      </c>
    </row>
    <row r="161">
      <c r="A161" s="129">
        <v>161.0</v>
      </c>
      <c r="B161" s="130" t="s">
        <v>1613</v>
      </c>
      <c r="C161" s="130" t="s">
        <v>1614</v>
      </c>
      <c r="D161" s="130" t="s">
        <v>114</v>
      </c>
      <c r="E161" s="135" t="s">
        <v>1890</v>
      </c>
      <c r="F161" s="136"/>
      <c r="G161" s="129">
        <v>4241.0</v>
      </c>
      <c r="H161" s="130" t="s">
        <v>2271</v>
      </c>
      <c r="I161" s="130" t="s">
        <v>1877</v>
      </c>
      <c r="J161" s="129">
        <v>15281.0</v>
      </c>
      <c r="K161" s="129">
        <v>51.1</v>
      </c>
      <c r="L161" s="130" t="s">
        <v>1892</v>
      </c>
      <c r="M161" s="130" t="s">
        <v>2272</v>
      </c>
    </row>
    <row r="162">
      <c r="A162" s="129">
        <v>162.0</v>
      </c>
      <c r="B162" s="130" t="s">
        <v>1686</v>
      </c>
      <c r="C162" s="130" t="s">
        <v>2164</v>
      </c>
      <c r="D162" s="130" t="s">
        <v>114</v>
      </c>
      <c r="E162" s="133" t="s">
        <v>1881</v>
      </c>
      <c r="F162" s="134"/>
      <c r="G162" s="129">
        <v>5825.0</v>
      </c>
      <c r="H162" s="130" t="s">
        <v>2123</v>
      </c>
      <c r="I162" s="130" t="s">
        <v>115</v>
      </c>
      <c r="J162" s="129">
        <v>11184.0</v>
      </c>
      <c r="K162" s="129">
        <v>72.7</v>
      </c>
      <c r="L162" s="130" t="s">
        <v>1868</v>
      </c>
      <c r="M162" s="130" t="s">
        <v>2124</v>
      </c>
    </row>
    <row r="163">
      <c r="A163" s="129">
        <v>163.0</v>
      </c>
      <c r="B163" s="130" t="s">
        <v>1617</v>
      </c>
      <c r="C163" s="130" t="s">
        <v>1618</v>
      </c>
      <c r="D163" s="130" t="s">
        <v>114</v>
      </c>
      <c r="E163" s="133" t="s">
        <v>1881</v>
      </c>
      <c r="F163" s="134"/>
      <c r="G163" s="129">
        <v>2456.0</v>
      </c>
      <c r="H163" s="130" t="s">
        <v>2275</v>
      </c>
      <c r="I163" s="130" t="s">
        <v>115</v>
      </c>
      <c r="J163" s="129">
        <v>7950.0</v>
      </c>
      <c r="K163" s="129">
        <v>64.0</v>
      </c>
      <c r="L163" s="130" t="s">
        <v>1868</v>
      </c>
      <c r="M163" s="130" t="s">
        <v>2276</v>
      </c>
    </row>
    <row r="164">
      <c r="A164" s="129">
        <v>164.0</v>
      </c>
      <c r="B164" s="130" t="s">
        <v>1624</v>
      </c>
      <c r="C164" s="130" t="s">
        <v>1625</v>
      </c>
      <c r="D164" s="130" t="s">
        <v>114</v>
      </c>
      <c r="E164" s="135" t="s">
        <v>1890</v>
      </c>
      <c r="F164" s="136"/>
      <c r="G164" s="129">
        <v>6089.0</v>
      </c>
      <c r="H164" s="130" t="s">
        <v>2277</v>
      </c>
      <c r="I164" s="130" t="s">
        <v>2278</v>
      </c>
      <c r="J164" s="129">
        <v>11181.0</v>
      </c>
      <c r="K164" s="129">
        <v>36.1</v>
      </c>
      <c r="L164" s="130" t="s">
        <v>1892</v>
      </c>
      <c r="M164" s="130" t="s">
        <v>1893</v>
      </c>
    </row>
    <row r="165">
      <c r="A165" s="129">
        <v>165.0</v>
      </c>
      <c r="B165" s="130" t="s">
        <v>1710</v>
      </c>
      <c r="C165" s="130" t="s">
        <v>2166</v>
      </c>
      <c r="D165" s="130" t="s">
        <v>114</v>
      </c>
      <c r="E165" s="133" t="s">
        <v>1881</v>
      </c>
      <c r="F165" s="134"/>
      <c r="G165" s="129">
        <v>138.0</v>
      </c>
      <c r="H165" s="130" t="s">
        <v>2167</v>
      </c>
      <c r="I165" s="130" t="s">
        <v>115</v>
      </c>
      <c r="J165" s="129">
        <v>1594.0</v>
      </c>
      <c r="K165" s="129">
        <v>55.1</v>
      </c>
      <c r="L165" s="130" t="s">
        <v>1868</v>
      </c>
      <c r="M165" s="130" t="s">
        <v>2168</v>
      </c>
    </row>
    <row r="166">
      <c r="A166" s="129">
        <v>166.0</v>
      </c>
      <c r="B166" s="130" t="s">
        <v>1626</v>
      </c>
      <c r="C166" s="130" t="s">
        <v>1627</v>
      </c>
      <c r="D166" s="130" t="s">
        <v>114</v>
      </c>
      <c r="E166" s="135" t="s">
        <v>1890</v>
      </c>
      <c r="F166" s="136"/>
      <c r="G166" s="129">
        <v>5191.0</v>
      </c>
      <c r="H166" s="130" t="s">
        <v>2279</v>
      </c>
      <c r="I166" s="130" t="s">
        <v>115</v>
      </c>
      <c r="J166" s="129">
        <v>7507.0</v>
      </c>
      <c r="K166" s="129">
        <v>57.3</v>
      </c>
      <c r="L166" s="130" t="s">
        <v>1868</v>
      </c>
      <c r="M166" s="130" t="s">
        <v>2280</v>
      </c>
    </row>
    <row r="167">
      <c r="A167" s="129">
        <v>167.0</v>
      </c>
      <c r="B167" s="130" t="s">
        <v>1631</v>
      </c>
      <c r="C167" s="130" t="s">
        <v>1633</v>
      </c>
      <c r="D167" s="130" t="s">
        <v>114</v>
      </c>
      <c r="E167" s="135" t="s">
        <v>1890</v>
      </c>
      <c r="F167" s="136"/>
      <c r="G167" s="129">
        <v>2873.0</v>
      </c>
      <c r="H167" s="130" t="s">
        <v>2281</v>
      </c>
      <c r="I167" s="130" t="s">
        <v>115</v>
      </c>
      <c r="J167" s="129">
        <v>9098.0</v>
      </c>
      <c r="K167" s="129">
        <v>58.9</v>
      </c>
      <c r="L167" s="130" t="s">
        <v>1868</v>
      </c>
      <c r="M167" s="130" t="s">
        <v>2282</v>
      </c>
    </row>
    <row r="168">
      <c r="A168" s="129">
        <v>168.0</v>
      </c>
      <c r="B168" s="130" t="s">
        <v>857</v>
      </c>
      <c r="C168" s="130" t="s">
        <v>2169</v>
      </c>
      <c r="D168" s="130" t="s">
        <v>114</v>
      </c>
      <c r="E168" s="133" t="s">
        <v>1881</v>
      </c>
      <c r="F168" s="134"/>
      <c r="G168" s="129">
        <v>2975.0</v>
      </c>
      <c r="H168" s="130" t="s">
        <v>2137</v>
      </c>
      <c r="I168" s="130" t="s">
        <v>115</v>
      </c>
      <c r="J168" s="129">
        <v>3471.0</v>
      </c>
      <c r="K168" s="129">
        <v>74.1</v>
      </c>
      <c r="L168" s="130" t="s">
        <v>1868</v>
      </c>
      <c r="M168" s="130" t="s">
        <v>2140</v>
      </c>
    </row>
    <row r="169">
      <c r="A169" s="129">
        <v>169.0</v>
      </c>
      <c r="B169" s="130" t="s">
        <v>1757</v>
      </c>
      <c r="C169" s="130" t="s">
        <v>2170</v>
      </c>
      <c r="D169" s="130" t="s">
        <v>114</v>
      </c>
      <c r="E169" s="133" t="s">
        <v>1881</v>
      </c>
      <c r="F169" s="134"/>
      <c r="G169" s="129">
        <v>2975.0</v>
      </c>
      <c r="H169" s="130" t="s">
        <v>2137</v>
      </c>
      <c r="I169" s="130" t="s">
        <v>115</v>
      </c>
      <c r="J169" s="129">
        <v>3471.0</v>
      </c>
      <c r="K169" s="129">
        <v>66.3</v>
      </c>
      <c r="L169" s="130" t="s">
        <v>1868</v>
      </c>
      <c r="M169" s="130" t="s">
        <v>2140</v>
      </c>
    </row>
    <row r="170">
      <c r="A170" s="129">
        <v>170.0</v>
      </c>
      <c r="B170" s="130" t="s">
        <v>2284</v>
      </c>
      <c r="C170" s="130" t="s">
        <v>2171</v>
      </c>
      <c r="D170" s="130" t="s">
        <v>114</v>
      </c>
      <c r="E170" s="135" t="s">
        <v>1890</v>
      </c>
      <c r="F170" s="136"/>
      <c r="G170" s="129">
        <v>3496.0</v>
      </c>
      <c r="H170" s="130" t="s">
        <v>2172</v>
      </c>
      <c r="I170" s="130" t="s">
        <v>2173</v>
      </c>
      <c r="J170" s="129">
        <v>5951.0</v>
      </c>
      <c r="K170" s="129">
        <v>38.7</v>
      </c>
      <c r="L170" s="130" t="s">
        <v>1892</v>
      </c>
      <c r="M170" s="130" t="s">
        <v>2052</v>
      </c>
    </row>
    <row r="171">
      <c r="A171" s="129">
        <v>171.0</v>
      </c>
      <c r="B171" s="130" t="s">
        <v>1634</v>
      </c>
      <c r="C171" s="130" t="s">
        <v>1635</v>
      </c>
      <c r="D171" s="130" t="s">
        <v>114</v>
      </c>
      <c r="E171" s="135" t="s">
        <v>1890</v>
      </c>
      <c r="F171" s="136"/>
      <c r="G171" s="129">
        <v>242.0</v>
      </c>
      <c r="H171" s="130" t="s">
        <v>2285</v>
      </c>
      <c r="I171" s="130" t="s">
        <v>115</v>
      </c>
      <c r="J171" s="129">
        <v>4410.0</v>
      </c>
      <c r="K171" s="129">
        <v>70.9</v>
      </c>
      <c r="L171" s="130" t="s">
        <v>1868</v>
      </c>
      <c r="M171" s="130" t="s">
        <v>2286</v>
      </c>
    </row>
    <row r="172">
      <c r="A172" s="129">
        <v>172.0</v>
      </c>
      <c r="B172" s="130" t="s">
        <v>1636</v>
      </c>
      <c r="C172" s="130" t="s">
        <v>1637</v>
      </c>
      <c r="D172" s="130" t="s">
        <v>114</v>
      </c>
      <c r="E172" s="133" t="s">
        <v>1881</v>
      </c>
      <c r="F172" s="134"/>
      <c r="G172" s="129">
        <v>3862.0</v>
      </c>
      <c r="H172" s="130" t="s">
        <v>2142</v>
      </c>
      <c r="I172" s="130" t="s">
        <v>115</v>
      </c>
      <c r="J172" s="129">
        <v>6222.0</v>
      </c>
      <c r="K172" s="129">
        <v>76.9</v>
      </c>
      <c r="L172" s="130" t="s">
        <v>1868</v>
      </c>
      <c r="M172" s="130" t="s">
        <v>2143</v>
      </c>
    </row>
    <row r="173">
      <c r="A173" s="129">
        <v>173.0</v>
      </c>
      <c r="B173" s="130" t="s">
        <v>1772</v>
      </c>
      <c r="C173" s="130" t="s">
        <v>2174</v>
      </c>
      <c r="D173" s="130" t="s">
        <v>114</v>
      </c>
      <c r="E173" s="133" t="s">
        <v>1881</v>
      </c>
      <c r="F173" s="134"/>
      <c r="G173" s="129">
        <v>3874.0</v>
      </c>
      <c r="H173" s="130" t="s">
        <v>2144</v>
      </c>
      <c r="I173" s="130" t="s">
        <v>115</v>
      </c>
      <c r="J173" s="129">
        <v>9733.0</v>
      </c>
      <c r="K173" s="129">
        <v>74.0</v>
      </c>
      <c r="L173" s="130" t="s">
        <v>1868</v>
      </c>
      <c r="M173" s="130" t="s">
        <v>2145</v>
      </c>
    </row>
    <row r="174">
      <c r="A174" s="129">
        <v>174.0</v>
      </c>
      <c r="B174" s="130" t="s">
        <v>1779</v>
      </c>
      <c r="C174" s="130" t="s">
        <v>2175</v>
      </c>
      <c r="D174" s="130" t="s">
        <v>114</v>
      </c>
      <c r="E174" s="133" t="s">
        <v>1881</v>
      </c>
      <c r="F174" s="134"/>
      <c r="G174" s="129">
        <v>3874.0</v>
      </c>
      <c r="H174" s="130" t="s">
        <v>2144</v>
      </c>
      <c r="I174" s="130" t="s">
        <v>115</v>
      </c>
      <c r="J174" s="129">
        <v>9733.0</v>
      </c>
      <c r="K174" s="129">
        <v>66.3</v>
      </c>
      <c r="L174" s="130" t="s">
        <v>1868</v>
      </c>
      <c r="M174" s="130" t="s">
        <v>2145</v>
      </c>
    </row>
    <row r="175">
      <c r="A175" s="129">
        <v>175.0</v>
      </c>
      <c r="B175" s="130" t="s">
        <v>1788</v>
      </c>
      <c r="C175" s="130" t="s">
        <v>2177</v>
      </c>
      <c r="D175" s="130" t="s">
        <v>114</v>
      </c>
      <c r="E175" s="133" t="s">
        <v>1881</v>
      </c>
      <c r="F175" s="134"/>
      <c r="G175" s="129">
        <v>3874.0</v>
      </c>
      <c r="H175" s="130" t="s">
        <v>2144</v>
      </c>
      <c r="I175" s="130" t="s">
        <v>115</v>
      </c>
      <c r="J175" s="129">
        <v>9733.0</v>
      </c>
      <c r="K175" s="129">
        <v>68.3</v>
      </c>
      <c r="L175" s="130" t="s">
        <v>1868</v>
      </c>
      <c r="M175" s="130" t="s">
        <v>2145</v>
      </c>
    </row>
    <row r="176">
      <c r="A176" s="129">
        <v>176.0</v>
      </c>
      <c r="B176" s="130" t="s">
        <v>2287</v>
      </c>
      <c r="C176" s="130" t="s">
        <v>2288</v>
      </c>
      <c r="D176" s="130" t="s">
        <v>114</v>
      </c>
      <c r="E176" s="133" t="s">
        <v>1881</v>
      </c>
      <c r="F176" s="134"/>
      <c r="G176" s="129">
        <v>4691.0</v>
      </c>
      <c r="H176" s="130" t="s">
        <v>2289</v>
      </c>
      <c r="I176" s="130" t="s">
        <v>115</v>
      </c>
      <c r="J176" s="129">
        <v>12674.0</v>
      </c>
      <c r="K176" s="129">
        <v>77.2</v>
      </c>
      <c r="L176" s="130" t="s">
        <v>1868</v>
      </c>
      <c r="M176" s="130" t="s">
        <v>2292</v>
      </c>
    </row>
    <row r="177">
      <c r="A177" s="129">
        <v>177.0</v>
      </c>
      <c r="B177" s="130" t="s">
        <v>1794</v>
      </c>
      <c r="C177" s="130" t="s">
        <v>2179</v>
      </c>
      <c r="D177" s="130" t="s">
        <v>114</v>
      </c>
      <c r="E177" s="133" t="s">
        <v>1881</v>
      </c>
      <c r="F177" s="134"/>
      <c r="G177" s="129">
        <v>5172.0</v>
      </c>
      <c r="H177" s="130" t="s">
        <v>2152</v>
      </c>
      <c r="I177" s="130" t="s">
        <v>1899</v>
      </c>
      <c r="J177" s="129">
        <v>4127.0</v>
      </c>
      <c r="K177" s="129">
        <v>71.1</v>
      </c>
      <c r="L177" s="130" t="s">
        <v>1892</v>
      </c>
      <c r="M177" s="130" t="s">
        <v>2153</v>
      </c>
    </row>
    <row r="178">
      <c r="A178" s="129">
        <v>178.0</v>
      </c>
      <c r="B178" s="130" t="s">
        <v>2293</v>
      </c>
      <c r="C178" s="130" t="s">
        <v>2294</v>
      </c>
      <c r="D178" s="130" t="s">
        <v>114</v>
      </c>
      <c r="E178" s="133" t="s">
        <v>1881</v>
      </c>
      <c r="F178" s="134"/>
      <c r="G178" s="129">
        <v>6425.0</v>
      </c>
      <c r="H178" s="130" t="s">
        <v>2295</v>
      </c>
      <c r="I178" s="130" t="s">
        <v>115</v>
      </c>
      <c r="J178" s="129">
        <v>2734.0</v>
      </c>
      <c r="K178" s="129">
        <v>66.3</v>
      </c>
      <c r="L178" s="130" t="s">
        <v>1868</v>
      </c>
      <c r="M178" s="130" t="s">
        <v>2296</v>
      </c>
    </row>
    <row r="179">
      <c r="A179" s="129">
        <v>179.0</v>
      </c>
      <c r="B179" s="130" t="s">
        <v>1802</v>
      </c>
      <c r="C179" s="130" t="s">
        <v>2180</v>
      </c>
      <c r="D179" s="130" t="s">
        <v>114</v>
      </c>
      <c r="E179" s="133" t="s">
        <v>1881</v>
      </c>
      <c r="F179" s="134"/>
      <c r="G179" s="129">
        <v>347.0</v>
      </c>
      <c r="H179" s="130" t="s">
        <v>2181</v>
      </c>
      <c r="I179" s="130" t="s">
        <v>115</v>
      </c>
      <c r="J179" s="129">
        <v>7987.0</v>
      </c>
      <c r="K179" s="129">
        <v>67.2</v>
      </c>
      <c r="L179" s="130" t="s">
        <v>1868</v>
      </c>
      <c r="M179" s="130" t="s">
        <v>2182</v>
      </c>
    </row>
    <row r="180">
      <c r="A180" s="129">
        <v>180.0</v>
      </c>
      <c r="B180" s="130" t="s">
        <v>2298</v>
      </c>
      <c r="C180" s="130" t="s">
        <v>2299</v>
      </c>
      <c r="D180" s="130" t="s">
        <v>114</v>
      </c>
      <c r="E180" s="135" t="s">
        <v>1890</v>
      </c>
      <c r="F180" s="136"/>
      <c r="G180" s="129">
        <v>6377.0</v>
      </c>
      <c r="H180" s="130" t="s">
        <v>2301</v>
      </c>
      <c r="I180" s="130" t="s">
        <v>115</v>
      </c>
      <c r="J180" s="129">
        <v>7813.0</v>
      </c>
      <c r="K180" s="129">
        <v>43.9</v>
      </c>
      <c r="L180" s="130" t="s">
        <v>1868</v>
      </c>
      <c r="M180" s="130" t="s">
        <v>2080</v>
      </c>
    </row>
    <row r="181">
      <c r="A181" s="129">
        <v>181.0</v>
      </c>
      <c r="B181" s="130" t="s">
        <v>2303</v>
      </c>
      <c r="C181" s="130" t="s">
        <v>2304</v>
      </c>
      <c r="D181" s="130" t="s">
        <v>129</v>
      </c>
      <c r="E181" s="135" t="s">
        <v>1890</v>
      </c>
      <c r="F181" s="136"/>
      <c r="G181" s="129">
        <v>4713.0</v>
      </c>
      <c r="H181" s="130" t="s">
        <v>2305</v>
      </c>
      <c r="I181" s="130" t="s">
        <v>1877</v>
      </c>
      <c r="J181" s="129">
        <v>3386.0</v>
      </c>
      <c r="K181" s="129">
        <v>60.9</v>
      </c>
      <c r="L181" s="130" t="s">
        <v>1892</v>
      </c>
      <c r="M181" s="130" t="s">
        <v>2306</v>
      </c>
    </row>
    <row r="182">
      <c r="A182" s="129">
        <v>182.0</v>
      </c>
      <c r="B182" s="130" t="s">
        <v>2307</v>
      </c>
      <c r="C182" s="130" t="s">
        <v>1725</v>
      </c>
      <c r="D182" s="130" t="s">
        <v>114</v>
      </c>
      <c r="E182" s="135" t="s">
        <v>1890</v>
      </c>
      <c r="F182" s="136"/>
      <c r="G182" s="129">
        <v>2250.0</v>
      </c>
      <c r="H182" s="130" t="s">
        <v>2308</v>
      </c>
      <c r="I182" s="130" t="s">
        <v>115</v>
      </c>
      <c r="J182" s="129">
        <v>6184.0</v>
      </c>
      <c r="K182" s="129">
        <v>59.5</v>
      </c>
      <c r="L182" s="130" t="s">
        <v>1868</v>
      </c>
      <c r="M182" s="130" t="s">
        <v>2309</v>
      </c>
    </row>
    <row r="183">
      <c r="A183" s="129">
        <v>183.0</v>
      </c>
      <c r="B183" s="130" t="s">
        <v>2310</v>
      </c>
      <c r="C183" s="130" t="s">
        <v>2311</v>
      </c>
      <c r="D183" s="130" t="s">
        <v>114</v>
      </c>
      <c r="E183" s="135" t="s">
        <v>1890</v>
      </c>
      <c r="F183" s="136"/>
      <c r="G183" s="129">
        <v>2371.0</v>
      </c>
      <c r="H183" s="130" t="s">
        <v>2312</v>
      </c>
      <c r="I183" s="130" t="s">
        <v>115</v>
      </c>
      <c r="J183" s="129">
        <v>3186.0</v>
      </c>
      <c r="K183" s="129">
        <v>44.5</v>
      </c>
      <c r="L183" s="130" t="s">
        <v>1868</v>
      </c>
      <c r="M183" s="130" t="s">
        <v>2313</v>
      </c>
    </row>
    <row r="184">
      <c r="A184" s="129">
        <v>184.0</v>
      </c>
      <c r="B184" s="130" t="s">
        <v>2315</v>
      </c>
      <c r="C184" s="130" t="s">
        <v>2316</v>
      </c>
      <c r="D184" s="130" t="s">
        <v>114</v>
      </c>
      <c r="E184" s="135" t="s">
        <v>1890</v>
      </c>
      <c r="F184" s="136"/>
      <c r="G184" s="129">
        <v>2153.0</v>
      </c>
      <c r="H184" s="130" t="s">
        <v>2318</v>
      </c>
      <c r="I184" s="130" t="s">
        <v>115</v>
      </c>
      <c r="J184" s="129">
        <v>11272.0</v>
      </c>
      <c r="K184" s="129">
        <v>16.5</v>
      </c>
      <c r="L184" s="130" t="s">
        <v>1868</v>
      </c>
      <c r="M184" s="130" t="s">
        <v>2080</v>
      </c>
    </row>
    <row r="185">
      <c r="A185" s="129">
        <v>185.0</v>
      </c>
      <c r="B185" s="130" t="s">
        <v>2319</v>
      </c>
      <c r="C185" s="130" t="s">
        <v>2320</v>
      </c>
      <c r="D185" s="130" t="s">
        <v>114</v>
      </c>
      <c r="E185" s="135" t="s">
        <v>1890</v>
      </c>
      <c r="F185" s="136"/>
      <c r="G185" s="129">
        <v>1197.0</v>
      </c>
      <c r="H185" s="130" t="s">
        <v>1999</v>
      </c>
      <c r="I185" s="130" t="s">
        <v>115</v>
      </c>
      <c r="J185" s="129">
        <v>1355.0</v>
      </c>
      <c r="K185" s="129">
        <v>73.9</v>
      </c>
      <c r="L185" s="130" t="s">
        <v>1868</v>
      </c>
      <c r="M185" s="130" t="s">
        <v>2080</v>
      </c>
    </row>
    <row r="186">
      <c r="A186" s="129">
        <v>186.0</v>
      </c>
      <c r="B186" s="130" t="s">
        <v>2321</v>
      </c>
      <c r="C186" s="130" t="s">
        <v>2322</v>
      </c>
      <c r="D186" s="130" t="s">
        <v>114</v>
      </c>
      <c r="E186" s="135" t="s">
        <v>1890</v>
      </c>
      <c r="F186" s="136"/>
      <c r="G186" s="129">
        <v>4610.0</v>
      </c>
      <c r="H186" s="130" t="s">
        <v>2323</v>
      </c>
      <c r="I186" s="130" t="s">
        <v>115</v>
      </c>
      <c r="J186" s="129">
        <v>6454.0</v>
      </c>
      <c r="K186" s="129">
        <v>30.2</v>
      </c>
      <c r="L186" s="130" t="s">
        <v>1868</v>
      </c>
      <c r="M186" s="130" t="s">
        <v>2324</v>
      </c>
    </row>
    <row r="187">
      <c r="A187" s="129">
        <v>187.0</v>
      </c>
      <c r="B187" s="130" t="s">
        <v>2325</v>
      </c>
      <c r="C187" s="130" t="s">
        <v>2326</v>
      </c>
      <c r="D187" s="130" t="s">
        <v>119</v>
      </c>
      <c r="E187" s="133" t="s">
        <v>1881</v>
      </c>
      <c r="F187" s="134"/>
      <c r="G187" s="129">
        <v>2452.0</v>
      </c>
      <c r="H187" s="130" t="s">
        <v>2327</v>
      </c>
      <c r="I187" s="130" t="s">
        <v>115</v>
      </c>
      <c r="J187" s="129">
        <v>7903.0</v>
      </c>
      <c r="K187" s="129">
        <v>72.3</v>
      </c>
      <c r="L187" s="130" t="s">
        <v>1892</v>
      </c>
      <c r="M187" s="130" t="s">
        <v>2328</v>
      </c>
    </row>
    <row r="188">
      <c r="A188" s="129">
        <v>188.0</v>
      </c>
      <c r="B188" s="130" t="s">
        <v>2329</v>
      </c>
      <c r="C188" s="130" t="s">
        <v>2246</v>
      </c>
      <c r="D188" s="130" t="s">
        <v>114</v>
      </c>
      <c r="E188" s="135" t="s">
        <v>1890</v>
      </c>
      <c r="F188" s="136"/>
      <c r="G188" s="129">
        <v>6136.0</v>
      </c>
      <c r="H188" s="130" t="s">
        <v>2247</v>
      </c>
      <c r="I188" s="130" t="s">
        <v>115</v>
      </c>
      <c r="J188" s="129">
        <v>9608.0</v>
      </c>
      <c r="K188" s="129">
        <v>39.6</v>
      </c>
      <c r="L188" s="130" t="s">
        <v>1868</v>
      </c>
      <c r="M188" s="130" t="s">
        <v>2080</v>
      </c>
    </row>
    <row r="189">
      <c r="A189" s="129">
        <v>189.0</v>
      </c>
      <c r="B189" s="130" t="s">
        <v>2330</v>
      </c>
      <c r="C189" s="130" t="s">
        <v>2331</v>
      </c>
      <c r="D189" s="130" t="s">
        <v>111</v>
      </c>
      <c r="E189" s="135" t="s">
        <v>1890</v>
      </c>
      <c r="F189" s="136"/>
      <c r="G189" s="129">
        <v>5934.0</v>
      </c>
      <c r="H189" s="130" t="s">
        <v>2332</v>
      </c>
      <c r="I189" s="130" t="s">
        <v>1877</v>
      </c>
      <c r="J189" s="129">
        <v>2457.0</v>
      </c>
      <c r="K189" s="129">
        <v>57.1</v>
      </c>
      <c r="L189" s="130" t="s">
        <v>1892</v>
      </c>
      <c r="M189" s="130" t="s">
        <v>1893</v>
      </c>
    </row>
    <row r="190">
      <c r="A190" s="129">
        <v>190.0</v>
      </c>
      <c r="B190" s="130" t="s">
        <v>2333</v>
      </c>
      <c r="C190" s="130" t="s">
        <v>2334</v>
      </c>
      <c r="D190" s="130" t="s">
        <v>129</v>
      </c>
      <c r="E190" s="135" t="s">
        <v>1890</v>
      </c>
      <c r="F190" s="136"/>
      <c r="G190" s="129">
        <v>2442.0</v>
      </c>
      <c r="H190" s="130" t="s">
        <v>2335</v>
      </c>
      <c r="I190" s="130" t="s">
        <v>2260</v>
      </c>
      <c r="J190" s="129">
        <v>9654.0</v>
      </c>
      <c r="K190" s="129">
        <v>40.3</v>
      </c>
      <c r="L190" s="130" t="s">
        <v>1892</v>
      </c>
      <c r="M190" s="130" t="s">
        <v>1893</v>
      </c>
    </row>
    <row r="191">
      <c r="A191" s="129">
        <v>191.0</v>
      </c>
      <c r="B191" s="130" t="s">
        <v>2336</v>
      </c>
      <c r="C191" s="130" t="s">
        <v>2337</v>
      </c>
      <c r="D191" s="130" t="s">
        <v>111</v>
      </c>
      <c r="E191" s="135" t="s">
        <v>1890</v>
      </c>
      <c r="F191" s="136"/>
      <c r="G191" s="129">
        <v>2959.0</v>
      </c>
      <c r="H191" s="130" t="s">
        <v>2338</v>
      </c>
      <c r="I191" s="130" t="s">
        <v>2051</v>
      </c>
      <c r="J191" s="129">
        <v>6714.0</v>
      </c>
      <c r="K191" s="129">
        <v>58.8</v>
      </c>
      <c r="L191" s="130" t="s">
        <v>1892</v>
      </c>
      <c r="M191" s="130" t="s">
        <v>2340</v>
      </c>
    </row>
    <row r="192">
      <c r="A192" s="129">
        <v>192.0</v>
      </c>
      <c r="B192" s="130" t="s">
        <v>125</v>
      </c>
      <c r="C192" s="130" t="s">
        <v>2341</v>
      </c>
      <c r="D192" s="130" t="s">
        <v>119</v>
      </c>
      <c r="E192" s="135" t="s">
        <v>1890</v>
      </c>
      <c r="F192" s="136"/>
      <c r="G192" s="129">
        <v>3157.0</v>
      </c>
      <c r="H192" s="130" t="s">
        <v>2342</v>
      </c>
      <c r="I192" s="130" t="s">
        <v>1877</v>
      </c>
      <c r="J192" s="129">
        <v>6232.0</v>
      </c>
      <c r="K192" s="129">
        <v>56.2</v>
      </c>
      <c r="L192" s="130" t="s">
        <v>1892</v>
      </c>
      <c r="M192" s="130" t="s">
        <v>2343</v>
      </c>
    </row>
    <row r="193">
      <c r="A193" s="129">
        <v>193.0</v>
      </c>
      <c r="B193" s="130" t="s">
        <v>170</v>
      </c>
      <c r="C193" s="130" t="s">
        <v>2341</v>
      </c>
      <c r="D193" s="130" t="s">
        <v>122</v>
      </c>
      <c r="E193" s="135" t="s">
        <v>1890</v>
      </c>
      <c r="F193" s="136"/>
      <c r="G193" s="129">
        <v>3157.0</v>
      </c>
      <c r="H193" s="130" t="s">
        <v>2342</v>
      </c>
      <c r="I193" s="130" t="s">
        <v>1877</v>
      </c>
      <c r="J193" s="129">
        <v>6232.0</v>
      </c>
      <c r="K193" s="129">
        <v>58.7</v>
      </c>
      <c r="L193" s="130" t="s">
        <v>1868</v>
      </c>
      <c r="M193" s="130" t="s">
        <v>2344</v>
      </c>
    </row>
    <row r="194">
      <c r="A194" s="129">
        <v>194.0</v>
      </c>
      <c r="B194" s="130" t="s">
        <v>2345</v>
      </c>
      <c r="C194" s="130" t="s">
        <v>2346</v>
      </c>
      <c r="D194" s="130" t="s">
        <v>114</v>
      </c>
      <c r="E194" s="135" t="s">
        <v>1890</v>
      </c>
      <c r="F194" s="136"/>
      <c r="G194" s="129">
        <v>4342.0</v>
      </c>
      <c r="H194" s="130" t="s">
        <v>2347</v>
      </c>
      <c r="I194" s="130" t="s">
        <v>1875</v>
      </c>
      <c r="J194" s="129">
        <v>7594.0</v>
      </c>
      <c r="K194" s="129">
        <v>50.5</v>
      </c>
      <c r="L194" s="130" t="s">
        <v>1892</v>
      </c>
      <c r="M194" s="130" t="s">
        <v>1893</v>
      </c>
    </row>
    <row r="195">
      <c r="A195" s="129">
        <v>195.0</v>
      </c>
      <c r="B195" s="130" t="s">
        <v>1740</v>
      </c>
      <c r="C195" s="130" t="s">
        <v>2348</v>
      </c>
      <c r="D195" s="130" t="s">
        <v>114</v>
      </c>
      <c r="E195" s="133" t="s">
        <v>1881</v>
      </c>
      <c r="F195" s="134"/>
      <c r="G195" s="129">
        <v>2178.0</v>
      </c>
      <c r="H195" s="130" t="s">
        <v>2349</v>
      </c>
      <c r="I195" s="130" t="s">
        <v>1872</v>
      </c>
      <c r="J195" s="129">
        <v>12528.0</v>
      </c>
      <c r="K195" s="129">
        <v>41.1</v>
      </c>
      <c r="L195" s="130" t="s">
        <v>1892</v>
      </c>
      <c r="M195" s="130" t="s">
        <v>2350</v>
      </c>
    </row>
    <row r="196">
      <c r="A196" s="129">
        <v>196.0</v>
      </c>
      <c r="B196" s="130" t="s">
        <v>1737</v>
      </c>
      <c r="C196" s="130" t="s">
        <v>1738</v>
      </c>
      <c r="D196" s="130" t="s">
        <v>114</v>
      </c>
      <c r="E196" s="135" t="s">
        <v>1890</v>
      </c>
      <c r="F196" s="136"/>
      <c r="G196" s="129">
        <v>2394.0</v>
      </c>
      <c r="H196" s="130" t="s">
        <v>2351</v>
      </c>
      <c r="I196" s="130" t="s">
        <v>1872</v>
      </c>
      <c r="J196" s="129">
        <v>13823.0</v>
      </c>
      <c r="K196" s="129">
        <v>37.3</v>
      </c>
      <c r="L196" s="130" t="s">
        <v>1892</v>
      </c>
      <c r="M196" s="130" t="s">
        <v>2052</v>
      </c>
    </row>
    <row r="197">
      <c r="A197" s="129">
        <v>197.0</v>
      </c>
      <c r="B197" s="130" t="s">
        <v>2352</v>
      </c>
      <c r="C197" s="130" t="s">
        <v>2353</v>
      </c>
      <c r="D197" s="130" t="s">
        <v>114</v>
      </c>
      <c r="E197" s="135" t="s">
        <v>1890</v>
      </c>
      <c r="F197" s="136"/>
      <c r="G197" s="129">
        <v>6427.0</v>
      </c>
      <c r="H197" s="130" t="s">
        <v>2354</v>
      </c>
      <c r="I197" s="130" t="s">
        <v>115</v>
      </c>
      <c r="J197" s="129">
        <v>3223.0</v>
      </c>
      <c r="K197" s="129">
        <v>6.2</v>
      </c>
      <c r="L197" s="130" t="s">
        <v>1868</v>
      </c>
      <c r="M197" s="130" t="s">
        <v>1912</v>
      </c>
    </row>
    <row r="198">
      <c r="A198" s="129">
        <v>198.0</v>
      </c>
      <c r="B198" s="130" t="s">
        <v>2355</v>
      </c>
      <c r="C198" s="130" t="s">
        <v>2357</v>
      </c>
      <c r="D198" s="130" t="s">
        <v>129</v>
      </c>
      <c r="E198" s="135" t="s">
        <v>1890</v>
      </c>
      <c r="F198" s="136"/>
      <c r="G198" s="129">
        <v>2680.0</v>
      </c>
      <c r="H198" s="130" t="s">
        <v>2359</v>
      </c>
      <c r="I198" s="130" t="s">
        <v>1872</v>
      </c>
      <c r="J198" s="129">
        <v>12653.0</v>
      </c>
      <c r="K198" s="129">
        <v>53.0</v>
      </c>
      <c r="L198" s="130" t="s">
        <v>1868</v>
      </c>
      <c r="M198" s="130" t="s">
        <v>1912</v>
      </c>
    </row>
    <row r="199">
      <c r="A199" s="129">
        <v>199.0</v>
      </c>
      <c r="B199" s="130" t="s">
        <v>1700</v>
      </c>
      <c r="C199" s="130" t="s">
        <v>2360</v>
      </c>
      <c r="D199" s="130" t="s">
        <v>114</v>
      </c>
      <c r="E199" s="135" t="s">
        <v>1890</v>
      </c>
      <c r="F199" s="136"/>
      <c r="G199" s="129">
        <v>5961.0</v>
      </c>
      <c r="H199" s="130" t="s">
        <v>2361</v>
      </c>
      <c r="I199" s="130" t="s">
        <v>115</v>
      </c>
      <c r="J199" s="129">
        <v>6779.0</v>
      </c>
      <c r="K199" s="129">
        <v>22.5</v>
      </c>
      <c r="L199" s="130" t="s">
        <v>1868</v>
      </c>
      <c r="M199" s="130" t="s">
        <v>2080</v>
      </c>
    </row>
    <row r="200">
      <c r="A200" s="129">
        <v>200.0</v>
      </c>
      <c r="B200" s="130" t="s">
        <v>2362</v>
      </c>
      <c r="C200" s="130" t="s">
        <v>2363</v>
      </c>
      <c r="D200" s="130" t="s">
        <v>114</v>
      </c>
      <c r="E200" s="135" t="s">
        <v>1890</v>
      </c>
      <c r="F200" s="136"/>
      <c r="G200" s="129">
        <v>3058.0</v>
      </c>
      <c r="H200" s="130" t="s">
        <v>2364</v>
      </c>
      <c r="I200" s="130" t="s">
        <v>115</v>
      </c>
      <c r="J200" s="129">
        <v>2006.0</v>
      </c>
      <c r="K200" s="129">
        <v>17.5</v>
      </c>
      <c r="L200" s="130" t="s">
        <v>1868</v>
      </c>
      <c r="M200" s="130" t="s">
        <v>2080</v>
      </c>
    </row>
    <row r="201">
      <c r="A201" s="129">
        <v>201.0</v>
      </c>
      <c r="B201" s="130" t="s">
        <v>2365</v>
      </c>
      <c r="C201" s="130" t="s">
        <v>2366</v>
      </c>
      <c r="D201" s="130" t="s">
        <v>114</v>
      </c>
      <c r="E201" s="135" t="s">
        <v>1890</v>
      </c>
      <c r="F201" s="136"/>
      <c r="G201" s="129">
        <v>201.0</v>
      </c>
      <c r="H201" s="130" t="s">
        <v>2367</v>
      </c>
      <c r="I201" s="130" t="s">
        <v>115</v>
      </c>
      <c r="J201" s="129">
        <v>6039.0</v>
      </c>
      <c r="K201" s="129">
        <v>46.4</v>
      </c>
      <c r="L201" s="130" t="s">
        <v>1868</v>
      </c>
      <c r="M201" s="130" t="s">
        <v>1912</v>
      </c>
    </row>
    <row r="202">
      <c r="A202" s="129">
        <v>202.0</v>
      </c>
      <c r="B202" s="130" t="s">
        <v>1745</v>
      </c>
      <c r="C202" s="130" t="s">
        <v>1746</v>
      </c>
      <c r="D202" s="130" t="s">
        <v>114</v>
      </c>
      <c r="E202" s="133" t="s">
        <v>1881</v>
      </c>
      <c r="F202" s="134"/>
      <c r="G202" s="129">
        <v>5511.0</v>
      </c>
      <c r="H202" s="130" t="s">
        <v>2368</v>
      </c>
      <c r="I202" s="130" t="s">
        <v>1899</v>
      </c>
      <c r="J202" s="129">
        <v>5550.0</v>
      </c>
      <c r="K202" s="129">
        <v>68.4</v>
      </c>
      <c r="L202" s="130" t="s">
        <v>1892</v>
      </c>
      <c r="M202" s="130" t="s">
        <v>2369</v>
      </c>
    </row>
    <row r="203">
      <c r="A203" s="129">
        <v>204.0</v>
      </c>
      <c r="B203" s="130" t="s">
        <v>2370</v>
      </c>
      <c r="C203" s="130" t="s">
        <v>2371</v>
      </c>
      <c r="D203" s="130" t="s">
        <v>133</v>
      </c>
      <c r="E203" s="133" t="s">
        <v>1881</v>
      </c>
      <c r="F203" s="134"/>
      <c r="G203" s="129">
        <v>1730.0</v>
      </c>
      <c r="H203" s="130" t="s">
        <v>2373</v>
      </c>
      <c r="I203" s="130" t="s">
        <v>2374</v>
      </c>
      <c r="J203" s="129">
        <v>1566.0</v>
      </c>
      <c r="K203" s="129">
        <v>67.6</v>
      </c>
      <c r="L203" s="130" t="s">
        <v>1868</v>
      </c>
      <c r="M203" s="130" t="s">
        <v>2375</v>
      </c>
    </row>
    <row r="204">
      <c r="A204" s="129">
        <v>205.0</v>
      </c>
      <c r="B204" s="130" t="s">
        <v>2330</v>
      </c>
      <c r="C204" s="130" t="s">
        <v>2376</v>
      </c>
      <c r="D204" s="130" t="s">
        <v>111</v>
      </c>
      <c r="E204" s="135" t="s">
        <v>1890</v>
      </c>
      <c r="F204" s="136"/>
      <c r="G204" s="129">
        <v>5934.0</v>
      </c>
      <c r="H204" s="130" t="s">
        <v>2332</v>
      </c>
      <c r="I204" s="130" t="s">
        <v>1877</v>
      </c>
      <c r="J204" s="129">
        <v>2457.0</v>
      </c>
      <c r="K204" s="129">
        <v>57.1</v>
      </c>
      <c r="L204" s="130" t="s">
        <v>1892</v>
      </c>
      <c r="M204" s="130" t="s">
        <v>1893</v>
      </c>
    </row>
    <row r="205">
      <c r="A205" s="129">
        <v>206.0</v>
      </c>
      <c r="B205" s="130" t="s">
        <v>2377</v>
      </c>
      <c r="C205" s="130" t="s">
        <v>2378</v>
      </c>
      <c r="D205" s="130" t="s">
        <v>120</v>
      </c>
      <c r="E205" s="135" t="s">
        <v>1890</v>
      </c>
      <c r="F205" s="136"/>
      <c r="G205" s="129">
        <v>4224.0</v>
      </c>
      <c r="H205" s="130" t="s">
        <v>2379</v>
      </c>
      <c r="I205" s="130" t="s">
        <v>2260</v>
      </c>
      <c r="J205" s="129">
        <v>5080.0</v>
      </c>
      <c r="K205" s="129">
        <v>38.1</v>
      </c>
      <c r="L205" s="130" t="s">
        <v>1892</v>
      </c>
      <c r="M205" s="130" t="s">
        <v>2380</v>
      </c>
    </row>
    <row r="206">
      <c r="A206" s="129">
        <v>207.0</v>
      </c>
      <c r="B206" s="130" t="s">
        <v>1749</v>
      </c>
      <c r="C206" s="130" t="s">
        <v>1750</v>
      </c>
      <c r="D206" s="130" t="s">
        <v>114</v>
      </c>
      <c r="E206" s="135" t="s">
        <v>1890</v>
      </c>
      <c r="F206" s="136"/>
      <c r="G206" s="129">
        <v>966.0</v>
      </c>
      <c r="H206" s="130" t="s">
        <v>2382</v>
      </c>
      <c r="I206" s="130" t="s">
        <v>2384</v>
      </c>
      <c r="J206" s="129">
        <v>1143.0</v>
      </c>
      <c r="K206" s="129">
        <v>41.2</v>
      </c>
      <c r="L206" s="130" t="s">
        <v>1892</v>
      </c>
      <c r="M206" s="130" t="s">
        <v>2052</v>
      </c>
    </row>
    <row r="207">
      <c r="A207" s="129">
        <v>208.0</v>
      </c>
      <c r="B207" s="130" t="s">
        <v>2385</v>
      </c>
      <c r="C207" s="130" t="s">
        <v>2386</v>
      </c>
      <c r="D207" s="130" t="s">
        <v>114</v>
      </c>
      <c r="E207" s="133" t="s">
        <v>1881</v>
      </c>
      <c r="F207" s="134"/>
      <c r="G207" s="129">
        <v>1066.0</v>
      </c>
      <c r="H207" s="130" t="s">
        <v>2108</v>
      </c>
      <c r="I207" s="130" t="s">
        <v>2109</v>
      </c>
      <c r="J207" s="129">
        <v>15346.0</v>
      </c>
      <c r="K207" s="129">
        <v>69.0</v>
      </c>
      <c r="L207" s="130" t="s">
        <v>1892</v>
      </c>
      <c r="M207" s="130" t="s">
        <v>2387</v>
      </c>
    </row>
    <row r="208">
      <c r="A208" s="129">
        <v>209.0</v>
      </c>
      <c r="B208" s="130" t="s">
        <v>2388</v>
      </c>
      <c r="C208" s="130" t="s">
        <v>2389</v>
      </c>
      <c r="D208" s="130" t="s">
        <v>114</v>
      </c>
      <c r="E208" s="133" t="s">
        <v>1881</v>
      </c>
      <c r="F208" s="134"/>
      <c r="G208" s="129">
        <v>6446.0</v>
      </c>
      <c r="H208" s="130" t="s">
        <v>2075</v>
      </c>
      <c r="I208" s="130" t="s">
        <v>115</v>
      </c>
      <c r="J208" s="129">
        <v>9221.0</v>
      </c>
      <c r="K208" s="129">
        <v>71.4</v>
      </c>
      <c r="L208" s="130" t="s">
        <v>1868</v>
      </c>
      <c r="M208" s="130" t="s">
        <v>2076</v>
      </c>
    </row>
    <row r="209">
      <c r="A209" s="129">
        <v>210.0</v>
      </c>
      <c r="B209" s="130" t="s">
        <v>2390</v>
      </c>
      <c r="C209" s="130" t="s">
        <v>2391</v>
      </c>
      <c r="D209" s="130" t="s">
        <v>122</v>
      </c>
      <c r="E209" s="135" t="s">
        <v>1890</v>
      </c>
      <c r="F209" s="136"/>
      <c r="G209" s="129">
        <v>4807.0</v>
      </c>
      <c r="H209" s="130" t="s">
        <v>2392</v>
      </c>
      <c r="I209" s="130" t="s">
        <v>2173</v>
      </c>
      <c r="J209" s="129">
        <v>6764.0</v>
      </c>
      <c r="K209" s="129">
        <v>37.0</v>
      </c>
      <c r="L209" s="130" t="s">
        <v>1892</v>
      </c>
      <c r="M209" s="130" t="s">
        <v>2393</v>
      </c>
    </row>
    <row r="210">
      <c r="A210" s="129">
        <v>211.0</v>
      </c>
      <c r="B210" s="130" t="s">
        <v>2394</v>
      </c>
      <c r="C210" s="130" t="s">
        <v>2395</v>
      </c>
      <c r="D210" s="130" t="s">
        <v>120</v>
      </c>
      <c r="E210" s="135" t="s">
        <v>1890</v>
      </c>
      <c r="F210" s="136"/>
      <c r="G210" s="129">
        <v>3305.0</v>
      </c>
      <c r="H210" s="130" t="s">
        <v>2396</v>
      </c>
      <c r="I210" s="130" t="s">
        <v>1954</v>
      </c>
      <c r="J210" s="129">
        <v>4099.0</v>
      </c>
      <c r="K210" s="129">
        <v>40.1</v>
      </c>
      <c r="L210" s="130" t="s">
        <v>1868</v>
      </c>
      <c r="M210" s="130" t="s">
        <v>1912</v>
      </c>
    </row>
    <row r="211">
      <c r="A211" s="129">
        <v>212.0</v>
      </c>
      <c r="B211" s="130" t="s">
        <v>2397</v>
      </c>
      <c r="C211" s="130" t="s">
        <v>2398</v>
      </c>
      <c r="D211" s="130" t="s">
        <v>114</v>
      </c>
      <c r="E211" s="138" t="s">
        <v>1901</v>
      </c>
      <c r="F211" s="139"/>
      <c r="G211" s="129">
        <v>2934.0</v>
      </c>
      <c r="H211" s="130" t="s">
        <v>2399</v>
      </c>
      <c r="I211" s="130" t="s">
        <v>115</v>
      </c>
      <c r="J211" s="129">
        <v>1943.0</v>
      </c>
      <c r="K211" s="129">
        <v>90.4</v>
      </c>
      <c r="L211" s="130" t="s">
        <v>1868</v>
      </c>
      <c r="M211" s="130" t="s">
        <v>2401</v>
      </c>
    </row>
    <row r="212">
      <c r="A212" s="129">
        <v>213.0</v>
      </c>
      <c r="B212" s="130" t="s">
        <v>2403</v>
      </c>
      <c r="C212" s="130" t="s">
        <v>2404</v>
      </c>
      <c r="D212" s="130" t="s">
        <v>114</v>
      </c>
      <c r="E212" s="133" t="s">
        <v>1881</v>
      </c>
      <c r="F212" s="134"/>
      <c r="G212" s="129">
        <v>1630.0</v>
      </c>
      <c r="H212" s="130" t="s">
        <v>2405</v>
      </c>
      <c r="I212" s="130" t="s">
        <v>1877</v>
      </c>
      <c r="J212" s="129">
        <v>1484.0</v>
      </c>
      <c r="K212" s="129">
        <v>65.4</v>
      </c>
      <c r="L212" s="130" t="s">
        <v>1892</v>
      </c>
      <c r="M212" s="130" t="s">
        <v>1893</v>
      </c>
    </row>
    <row r="213">
      <c r="A213" s="129">
        <v>214.0</v>
      </c>
      <c r="B213" s="130" t="s">
        <v>2406</v>
      </c>
      <c r="C213" s="130" t="s">
        <v>2407</v>
      </c>
      <c r="D213" s="130" t="s">
        <v>119</v>
      </c>
      <c r="E213" s="135" t="s">
        <v>1890</v>
      </c>
      <c r="F213" s="136"/>
      <c r="G213" s="129">
        <v>369.0</v>
      </c>
      <c r="H213" s="130" t="s">
        <v>2408</v>
      </c>
      <c r="I213" s="130" t="s">
        <v>1914</v>
      </c>
      <c r="J213" s="129">
        <v>9142.0</v>
      </c>
      <c r="K213" s="129">
        <v>59.5</v>
      </c>
      <c r="L213" s="130" t="s">
        <v>1868</v>
      </c>
      <c r="M213" s="130" t="s">
        <v>2409</v>
      </c>
    </row>
    <row r="214">
      <c r="A214" s="129">
        <v>215.0</v>
      </c>
      <c r="B214" s="130" t="s">
        <v>2410</v>
      </c>
      <c r="C214" s="130" t="s">
        <v>2411</v>
      </c>
      <c r="D214" s="130" t="s">
        <v>111</v>
      </c>
      <c r="E214" s="135" t="s">
        <v>1890</v>
      </c>
      <c r="F214" s="136"/>
      <c r="G214" s="129">
        <v>608.0</v>
      </c>
      <c r="H214" s="130" t="s">
        <v>2412</v>
      </c>
      <c r="I214" s="130" t="s">
        <v>1993</v>
      </c>
      <c r="J214" s="129">
        <v>7682.0</v>
      </c>
      <c r="K214" s="129">
        <v>45.0</v>
      </c>
      <c r="L214" s="130" t="s">
        <v>1892</v>
      </c>
      <c r="M214" s="130" t="s">
        <v>1893</v>
      </c>
    </row>
    <row r="215">
      <c r="A215" s="129">
        <v>216.0</v>
      </c>
      <c r="B215" s="130" t="s">
        <v>2414</v>
      </c>
      <c r="C215" s="130" t="s">
        <v>2415</v>
      </c>
      <c r="D215" s="130" t="s">
        <v>86</v>
      </c>
      <c r="E215" s="135" t="s">
        <v>1890</v>
      </c>
      <c r="F215" s="136"/>
      <c r="G215" s="129">
        <v>5120.0</v>
      </c>
      <c r="H215" s="130" t="s">
        <v>2416</v>
      </c>
      <c r="I215" s="130" t="s">
        <v>1899</v>
      </c>
      <c r="J215" s="129">
        <v>6172.0</v>
      </c>
      <c r="K215" s="129">
        <v>52.4</v>
      </c>
      <c r="L215" s="130" t="s">
        <v>1868</v>
      </c>
      <c r="M215" s="130" t="s">
        <v>2417</v>
      </c>
    </row>
    <row r="216">
      <c r="A216" s="129">
        <v>217.0</v>
      </c>
      <c r="B216" s="130" t="s">
        <v>2418</v>
      </c>
      <c r="C216" s="130" t="s">
        <v>2419</v>
      </c>
      <c r="D216" s="130" t="s">
        <v>122</v>
      </c>
      <c r="E216" s="133" t="s">
        <v>1881</v>
      </c>
      <c r="F216" s="134"/>
      <c r="G216" s="129">
        <v>2565.0</v>
      </c>
      <c r="H216" s="130" t="s">
        <v>2420</v>
      </c>
      <c r="I216" s="130" t="s">
        <v>1872</v>
      </c>
      <c r="J216" s="129">
        <v>1765.0</v>
      </c>
      <c r="K216" s="129">
        <v>61.1</v>
      </c>
      <c r="L216" s="130" t="s">
        <v>1892</v>
      </c>
      <c r="M216" s="130" t="s">
        <v>1893</v>
      </c>
    </row>
    <row r="217">
      <c r="A217" s="129">
        <v>218.0</v>
      </c>
      <c r="B217" s="130" t="s">
        <v>2421</v>
      </c>
      <c r="C217" s="130" t="s">
        <v>2422</v>
      </c>
      <c r="D217" s="130" t="s">
        <v>114</v>
      </c>
      <c r="E217" s="135" t="s">
        <v>1890</v>
      </c>
      <c r="F217" s="136"/>
      <c r="G217" s="129">
        <v>760.0</v>
      </c>
      <c r="H217" s="130" t="s">
        <v>2423</v>
      </c>
      <c r="I217" s="130" t="s">
        <v>2424</v>
      </c>
      <c r="J217" s="129">
        <v>7772.0</v>
      </c>
      <c r="K217" s="129">
        <v>50.2</v>
      </c>
      <c r="L217" s="130" t="s">
        <v>1892</v>
      </c>
      <c r="M217" s="130" t="s">
        <v>2425</v>
      </c>
    </row>
    <row r="218">
      <c r="A218" s="129">
        <v>219.0</v>
      </c>
      <c r="B218" s="130" t="s">
        <v>2426</v>
      </c>
      <c r="C218" s="130" t="s">
        <v>2427</v>
      </c>
      <c r="D218" s="130" t="s">
        <v>114</v>
      </c>
      <c r="E218" s="133" t="s">
        <v>1881</v>
      </c>
      <c r="F218" s="134"/>
      <c r="G218" s="129">
        <v>2395.0</v>
      </c>
      <c r="H218" s="130" t="s">
        <v>2428</v>
      </c>
      <c r="I218" s="130" t="s">
        <v>1914</v>
      </c>
      <c r="J218" s="129">
        <v>9104.0</v>
      </c>
      <c r="K218" s="129">
        <v>60.0</v>
      </c>
      <c r="L218" s="130" t="s">
        <v>1892</v>
      </c>
      <c r="M218" s="130" t="s">
        <v>2429</v>
      </c>
    </row>
    <row r="219">
      <c r="A219" s="129">
        <v>220.0</v>
      </c>
      <c r="B219" s="130" t="s">
        <v>2430</v>
      </c>
      <c r="C219" s="130" t="s">
        <v>2431</v>
      </c>
      <c r="D219" s="130" t="s">
        <v>114</v>
      </c>
      <c r="E219" s="135" t="s">
        <v>1890</v>
      </c>
      <c r="F219" s="136"/>
      <c r="G219" s="129">
        <v>2133.0</v>
      </c>
      <c r="H219" s="130" t="s">
        <v>2432</v>
      </c>
      <c r="I219" s="130" t="s">
        <v>115</v>
      </c>
      <c r="J219" s="129">
        <v>10966.0</v>
      </c>
      <c r="K219" s="129">
        <v>36.8</v>
      </c>
      <c r="L219" s="130" t="s">
        <v>1868</v>
      </c>
      <c r="M219" s="130" t="s">
        <v>2433</v>
      </c>
    </row>
    <row r="220">
      <c r="A220" s="129">
        <v>221.0</v>
      </c>
      <c r="B220" s="130" t="s">
        <v>2434</v>
      </c>
      <c r="C220" s="130" t="s">
        <v>2435</v>
      </c>
      <c r="D220" s="130" t="s">
        <v>114</v>
      </c>
      <c r="E220" s="135" t="s">
        <v>1890</v>
      </c>
      <c r="F220" s="136"/>
      <c r="G220" s="129">
        <v>3375.0</v>
      </c>
      <c r="H220" s="130" t="s">
        <v>2436</v>
      </c>
      <c r="I220" s="130" t="s">
        <v>115</v>
      </c>
      <c r="J220" s="129">
        <v>5949.0</v>
      </c>
      <c r="K220" s="129">
        <v>57.9</v>
      </c>
      <c r="L220" s="130" t="s">
        <v>1868</v>
      </c>
      <c r="M220" s="130" t="s">
        <v>2437</v>
      </c>
    </row>
    <row r="221">
      <c r="A221" s="129">
        <v>222.0</v>
      </c>
      <c r="B221" s="130" t="s">
        <v>2438</v>
      </c>
      <c r="C221" s="130" t="s">
        <v>2439</v>
      </c>
      <c r="D221" s="130" t="s">
        <v>120</v>
      </c>
      <c r="E221" s="133" t="s">
        <v>1881</v>
      </c>
      <c r="F221" s="134"/>
      <c r="G221" s="129">
        <v>5593.0</v>
      </c>
      <c r="H221" s="130" t="s">
        <v>2440</v>
      </c>
      <c r="I221" s="130" t="s">
        <v>2051</v>
      </c>
      <c r="J221" s="129">
        <v>7550.0</v>
      </c>
      <c r="K221" s="129">
        <v>85.8</v>
      </c>
      <c r="L221" s="130" t="s">
        <v>1892</v>
      </c>
      <c r="M221" s="130" t="s">
        <v>2441</v>
      </c>
    </row>
    <row r="222">
      <c r="A222" s="129">
        <v>223.0</v>
      </c>
      <c r="B222" s="130" t="s">
        <v>2442</v>
      </c>
      <c r="C222" s="130" t="s">
        <v>2443</v>
      </c>
      <c r="D222" s="130" t="s">
        <v>114</v>
      </c>
      <c r="E222" s="135" t="s">
        <v>1890</v>
      </c>
      <c r="F222" s="136"/>
      <c r="G222" s="129">
        <v>3805.0</v>
      </c>
      <c r="H222" s="130" t="s">
        <v>2445</v>
      </c>
      <c r="I222" s="130" t="s">
        <v>115</v>
      </c>
      <c r="J222" s="129">
        <v>4777.0</v>
      </c>
      <c r="K222" s="129">
        <v>35.3</v>
      </c>
      <c r="L222" s="130" t="s">
        <v>1868</v>
      </c>
      <c r="M222" s="130" t="s">
        <v>1912</v>
      </c>
    </row>
    <row r="223">
      <c r="A223" s="129">
        <v>224.0</v>
      </c>
      <c r="B223" s="130" t="s">
        <v>2447</v>
      </c>
      <c r="C223" s="130" t="s">
        <v>2448</v>
      </c>
      <c r="D223" s="130" t="s">
        <v>114</v>
      </c>
      <c r="E223" s="133" t="s">
        <v>1881</v>
      </c>
      <c r="F223" s="134"/>
      <c r="G223" s="129">
        <v>5511.0</v>
      </c>
      <c r="H223" s="130" t="s">
        <v>2368</v>
      </c>
      <c r="I223" s="130" t="s">
        <v>1899</v>
      </c>
      <c r="J223" s="129">
        <v>5550.0</v>
      </c>
      <c r="K223" s="129">
        <v>68.4</v>
      </c>
      <c r="L223" s="130" t="s">
        <v>1892</v>
      </c>
      <c r="M223" s="130" t="s">
        <v>2369</v>
      </c>
    </row>
    <row r="224">
      <c r="A224" s="129">
        <v>229.0</v>
      </c>
      <c r="B224" s="130" t="s">
        <v>2449</v>
      </c>
      <c r="C224" s="130" t="s">
        <v>2450</v>
      </c>
      <c r="D224" s="130" t="s">
        <v>138</v>
      </c>
      <c r="E224" s="135" t="s">
        <v>1890</v>
      </c>
      <c r="F224" s="136"/>
      <c r="G224" s="129">
        <v>987.0</v>
      </c>
      <c r="H224" s="130" t="s">
        <v>2451</v>
      </c>
      <c r="I224" s="130" t="s">
        <v>115</v>
      </c>
      <c r="J224" s="129">
        <v>10991.0</v>
      </c>
      <c r="K224" s="129">
        <v>32.0</v>
      </c>
      <c r="L224" s="130" t="s">
        <v>1892</v>
      </c>
      <c r="M224" s="130" t="s">
        <v>1893</v>
      </c>
    </row>
    <row r="225">
      <c r="A225" s="129">
        <v>230.0</v>
      </c>
      <c r="B225" s="130" t="s">
        <v>2452</v>
      </c>
      <c r="C225" s="130" t="s">
        <v>2453</v>
      </c>
      <c r="D225" s="130" t="s">
        <v>120</v>
      </c>
      <c r="E225" s="133" t="s">
        <v>1881</v>
      </c>
      <c r="F225" s="134"/>
      <c r="G225" s="129">
        <v>3765.0</v>
      </c>
      <c r="H225" s="130" t="s">
        <v>2454</v>
      </c>
      <c r="I225" s="130" t="s">
        <v>115</v>
      </c>
      <c r="J225" s="129">
        <v>7493.0</v>
      </c>
      <c r="K225" s="129">
        <v>92.0</v>
      </c>
      <c r="L225" s="130" t="s">
        <v>1892</v>
      </c>
      <c r="M225" s="130" t="s">
        <v>2455</v>
      </c>
    </row>
    <row r="226">
      <c r="A226" s="129">
        <v>231.0</v>
      </c>
      <c r="B226" s="130" t="s">
        <v>995</v>
      </c>
      <c r="C226" s="130" t="s">
        <v>2457</v>
      </c>
      <c r="D226" s="130" t="s">
        <v>122</v>
      </c>
      <c r="E226" s="133" t="s">
        <v>1881</v>
      </c>
      <c r="F226" s="134"/>
      <c r="G226" s="129">
        <v>5693.0</v>
      </c>
      <c r="H226" s="130" t="s">
        <v>2007</v>
      </c>
      <c r="I226" s="130" t="s">
        <v>2008</v>
      </c>
      <c r="J226" s="129">
        <v>2573.0</v>
      </c>
      <c r="K226" s="129">
        <v>70.5</v>
      </c>
      <c r="L226" s="130" t="s">
        <v>1892</v>
      </c>
      <c r="M226" s="130" t="s">
        <v>2009</v>
      </c>
    </row>
    <row r="227">
      <c r="A227" s="129">
        <v>232.0</v>
      </c>
      <c r="B227" s="130" t="s">
        <v>2460</v>
      </c>
      <c r="C227" s="130" t="s">
        <v>1714</v>
      </c>
      <c r="D227" s="130" t="s">
        <v>114</v>
      </c>
      <c r="E227" s="135" t="s">
        <v>1890</v>
      </c>
      <c r="F227" s="136"/>
      <c r="G227" s="129">
        <v>2388.0</v>
      </c>
      <c r="H227" s="130" t="s">
        <v>2461</v>
      </c>
      <c r="I227" s="130" t="s">
        <v>115</v>
      </c>
      <c r="J227" s="129">
        <v>9206.0</v>
      </c>
      <c r="K227" s="129">
        <v>46.7</v>
      </c>
      <c r="L227" s="130" t="s">
        <v>1868</v>
      </c>
      <c r="M227" s="130" t="s">
        <v>2462</v>
      </c>
    </row>
    <row r="228">
      <c r="A228" s="129">
        <v>233.0</v>
      </c>
      <c r="B228" s="130" t="s">
        <v>2463</v>
      </c>
      <c r="C228" s="130" t="s">
        <v>2464</v>
      </c>
      <c r="D228" s="130" t="s">
        <v>114</v>
      </c>
      <c r="E228" s="133" t="s">
        <v>1881</v>
      </c>
      <c r="F228" s="134"/>
      <c r="G228" s="129">
        <v>3732.0</v>
      </c>
      <c r="H228" s="130" t="s">
        <v>2465</v>
      </c>
      <c r="I228" s="130" t="s">
        <v>115</v>
      </c>
      <c r="J228" s="129">
        <v>5109.0</v>
      </c>
      <c r="K228" s="129">
        <v>67.3</v>
      </c>
      <c r="L228" s="130" t="s">
        <v>1868</v>
      </c>
      <c r="M228" s="130" t="s">
        <v>2466</v>
      </c>
    </row>
    <row r="229">
      <c r="A229" s="129">
        <v>234.0</v>
      </c>
      <c r="B229" s="130" t="s">
        <v>2467</v>
      </c>
      <c r="C229" s="130" t="s">
        <v>2468</v>
      </c>
      <c r="D229" s="130" t="s">
        <v>114</v>
      </c>
      <c r="E229" s="135" t="s">
        <v>1890</v>
      </c>
      <c r="F229" s="136"/>
      <c r="G229" s="129">
        <v>4606.0</v>
      </c>
      <c r="H229" s="130" t="s">
        <v>2470</v>
      </c>
      <c r="I229" s="130" t="s">
        <v>2092</v>
      </c>
      <c r="J229" s="129">
        <v>15443.0</v>
      </c>
      <c r="K229" s="129">
        <v>54.9</v>
      </c>
      <c r="L229" s="130" t="s">
        <v>1892</v>
      </c>
      <c r="M229" s="130" t="s">
        <v>2472</v>
      </c>
    </row>
    <row r="230">
      <c r="A230" s="129">
        <v>235.0</v>
      </c>
      <c r="B230" s="130" t="s">
        <v>2473</v>
      </c>
      <c r="C230" s="130" t="s">
        <v>2474</v>
      </c>
      <c r="D230" s="130" t="s">
        <v>114</v>
      </c>
      <c r="E230" s="133" t="s">
        <v>1881</v>
      </c>
      <c r="F230" s="134"/>
      <c r="G230" s="129">
        <v>5811.0</v>
      </c>
      <c r="H230" s="130" t="s">
        <v>2475</v>
      </c>
      <c r="I230" s="130" t="s">
        <v>115</v>
      </c>
      <c r="J230" s="129">
        <v>11056.0</v>
      </c>
      <c r="K230" s="129">
        <v>67.5</v>
      </c>
      <c r="L230" s="130" t="s">
        <v>1868</v>
      </c>
      <c r="M230" s="130" t="s">
        <v>2476</v>
      </c>
    </row>
    <row r="231">
      <c r="A231" s="129">
        <v>236.0</v>
      </c>
      <c r="B231" s="130" t="s">
        <v>2477</v>
      </c>
      <c r="C231" s="130" t="s">
        <v>2478</v>
      </c>
      <c r="D231" s="130" t="s">
        <v>114</v>
      </c>
      <c r="E231" s="135" t="s">
        <v>1890</v>
      </c>
      <c r="F231" s="136"/>
      <c r="G231" s="129">
        <v>4932.0</v>
      </c>
      <c r="H231" s="130" t="s">
        <v>2479</v>
      </c>
      <c r="I231" s="130" t="s">
        <v>1877</v>
      </c>
      <c r="J231" s="129">
        <v>7808.0</v>
      </c>
      <c r="K231" s="129">
        <v>58.6</v>
      </c>
      <c r="L231" s="130" t="s">
        <v>1892</v>
      </c>
      <c r="M231" s="130" t="s">
        <v>2480</v>
      </c>
    </row>
    <row r="232">
      <c r="A232" s="129">
        <v>237.0</v>
      </c>
      <c r="B232" s="130" t="s">
        <v>2481</v>
      </c>
      <c r="C232" s="130" t="s">
        <v>2482</v>
      </c>
      <c r="D232" s="130" t="s">
        <v>114</v>
      </c>
      <c r="E232" s="135" t="s">
        <v>1890</v>
      </c>
      <c r="F232" s="136"/>
      <c r="G232" s="129">
        <v>2392.0</v>
      </c>
      <c r="H232" s="130" t="s">
        <v>2129</v>
      </c>
      <c r="I232" s="130" t="s">
        <v>115</v>
      </c>
      <c r="J232" s="129">
        <v>7027.0</v>
      </c>
      <c r="K232" s="129">
        <v>23.6</v>
      </c>
      <c r="L232" s="130" t="s">
        <v>1868</v>
      </c>
      <c r="M232" s="130" t="s">
        <v>2080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1703</v>
      </c>
      <c r="B1" s="6" t="s">
        <v>1702</v>
      </c>
      <c r="C1" s="6" t="s">
        <v>114</v>
      </c>
      <c r="D1" s="6" t="s">
        <v>114</v>
      </c>
      <c r="E1" s="6" t="s">
        <v>2499</v>
      </c>
      <c r="F1" s="6" t="s">
        <v>2500</v>
      </c>
      <c r="G1" s="47">
        <v>45807.0</v>
      </c>
    </row>
    <row r="2">
      <c r="A2" s="6" t="s">
        <v>2501</v>
      </c>
      <c r="B2" s="6" t="s">
        <v>2502</v>
      </c>
      <c r="C2" s="6" t="s">
        <v>114</v>
      </c>
      <c r="D2" s="6" t="s">
        <v>114</v>
      </c>
      <c r="E2" s="6" t="s">
        <v>2499</v>
      </c>
      <c r="F2" s="6" t="s">
        <v>2500</v>
      </c>
      <c r="G2" s="47">
        <v>45814.0</v>
      </c>
    </row>
    <row r="3">
      <c r="A3" s="6" t="s">
        <v>2503</v>
      </c>
      <c r="B3" s="6" t="s">
        <v>1272</v>
      </c>
      <c r="C3" s="6" t="s">
        <v>114</v>
      </c>
      <c r="D3" s="6" t="s">
        <v>114</v>
      </c>
      <c r="E3" s="6" t="s">
        <v>2499</v>
      </c>
      <c r="F3" s="6" t="s">
        <v>2500</v>
      </c>
      <c r="G3" s="47">
        <v>45814.0</v>
      </c>
    </row>
    <row r="4">
      <c r="A4" s="6" t="s">
        <v>2322</v>
      </c>
      <c r="B4" s="6" t="s">
        <v>2504</v>
      </c>
      <c r="C4" s="6" t="s">
        <v>114</v>
      </c>
      <c r="D4" s="6" t="s">
        <v>114</v>
      </c>
      <c r="E4" s="6" t="s">
        <v>2499</v>
      </c>
      <c r="F4" s="6" t="s">
        <v>2500</v>
      </c>
      <c r="G4" s="47">
        <v>45814.0</v>
      </c>
    </row>
    <row r="5">
      <c r="A5" s="6" t="s">
        <v>1336</v>
      </c>
      <c r="B5" s="6" t="s">
        <v>1286</v>
      </c>
      <c r="C5" s="6" t="s">
        <v>114</v>
      </c>
      <c r="D5" s="6" t="s">
        <v>114</v>
      </c>
      <c r="E5" s="6" t="s">
        <v>2499</v>
      </c>
      <c r="F5" s="6" t="s">
        <v>2500</v>
      </c>
      <c r="G5" s="47">
        <v>45814.0</v>
      </c>
    </row>
    <row r="6">
      <c r="A6" s="6" t="s">
        <v>1321</v>
      </c>
      <c r="B6" s="6" t="s">
        <v>1278</v>
      </c>
      <c r="C6" s="6" t="s">
        <v>114</v>
      </c>
      <c r="D6" s="6" t="s">
        <v>114</v>
      </c>
      <c r="E6" s="6" t="s">
        <v>2499</v>
      </c>
      <c r="F6" s="6" t="s">
        <v>2500</v>
      </c>
      <c r="G6" s="47">
        <v>45814.0</v>
      </c>
    </row>
    <row r="7">
      <c r="A7" s="6" t="s">
        <v>1344</v>
      </c>
      <c r="B7" s="6" t="s">
        <v>1295</v>
      </c>
      <c r="C7" s="6" t="s">
        <v>114</v>
      </c>
      <c r="D7" s="6" t="s">
        <v>114</v>
      </c>
      <c r="E7" s="6" t="s">
        <v>2499</v>
      </c>
      <c r="F7" s="6" t="s">
        <v>2500</v>
      </c>
      <c r="G7" s="47">
        <v>45814.0</v>
      </c>
    </row>
    <row r="8">
      <c r="A8" s="6" t="s">
        <v>2505</v>
      </c>
      <c r="B8" s="6" t="s">
        <v>2506</v>
      </c>
      <c r="C8" s="6" t="s">
        <v>114</v>
      </c>
      <c r="D8" s="6" t="s">
        <v>114</v>
      </c>
      <c r="E8" s="6" t="s">
        <v>2499</v>
      </c>
      <c r="F8" s="6" t="s">
        <v>2500</v>
      </c>
      <c r="G8" s="47">
        <v>45814.0</v>
      </c>
    </row>
    <row r="9">
      <c r="A9" s="6" t="s">
        <v>1456</v>
      </c>
      <c r="B9" s="6" t="s">
        <v>1705</v>
      </c>
      <c r="C9" s="6" t="s">
        <v>114</v>
      </c>
      <c r="D9" s="6" t="s">
        <v>114</v>
      </c>
      <c r="E9" s="6" t="s">
        <v>2499</v>
      </c>
      <c r="F9" s="6" t="s">
        <v>2500</v>
      </c>
      <c r="G9" s="47">
        <v>45814.0</v>
      </c>
    </row>
    <row r="10">
      <c r="A10" s="6" t="s">
        <v>1714</v>
      </c>
      <c r="B10" s="6" t="s">
        <v>1713</v>
      </c>
      <c r="C10" s="6" t="s">
        <v>114</v>
      </c>
      <c r="D10" s="6" t="s">
        <v>114</v>
      </c>
      <c r="E10" s="6" t="s">
        <v>2499</v>
      </c>
      <c r="F10" s="6" t="s">
        <v>2500</v>
      </c>
      <c r="G10" s="47">
        <v>45835.0</v>
      </c>
    </row>
    <row r="11">
      <c r="A11" s="6" t="s">
        <v>1577</v>
      </c>
      <c r="B11" s="6" t="s">
        <v>837</v>
      </c>
      <c r="C11" s="6" t="s">
        <v>178</v>
      </c>
      <c r="D11" s="6" t="s">
        <v>122</v>
      </c>
      <c r="E11" s="6" t="s">
        <v>2499</v>
      </c>
      <c r="F11" s="6" t="s">
        <v>2500</v>
      </c>
      <c r="G11" s="47">
        <v>45835.0</v>
      </c>
    </row>
    <row r="12">
      <c r="A12" s="6" t="s">
        <v>2518</v>
      </c>
      <c r="B12" s="6" t="s">
        <v>929</v>
      </c>
      <c r="C12" s="6" t="s">
        <v>120</v>
      </c>
      <c r="D12" s="6" t="s">
        <v>120</v>
      </c>
      <c r="E12" s="6" t="s">
        <v>2499</v>
      </c>
      <c r="F12" s="6" t="s">
        <v>2500</v>
      </c>
      <c r="G12" s="47">
        <v>45835.0</v>
      </c>
    </row>
    <row r="13">
      <c r="A13" s="6" t="s">
        <v>1425</v>
      </c>
      <c r="B13" s="6" t="s">
        <v>766</v>
      </c>
      <c r="C13" s="6" t="s">
        <v>155</v>
      </c>
      <c r="D13" s="6" t="s">
        <v>129</v>
      </c>
      <c r="E13" s="6" t="s">
        <v>2499</v>
      </c>
      <c r="F13" s="6" t="s">
        <v>2500</v>
      </c>
      <c r="G13" s="47">
        <v>45835.0</v>
      </c>
    </row>
    <row r="14">
      <c r="A14" s="6" t="s">
        <v>2532</v>
      </c>
      <c r="B14" s="6" t="s">
        <v>1365</v>
      </c>
      <c r="C14" s="6" t="s">
        <v>1402</v>
      </c>
      <c r="D14" s="6" t="s">
        <v>114</v>
      </c>
      <c r="E14" s="6" t="s">
        <v>2499</v>
      </c>
      <c r="F14" s="6" t="s">
        <v>2500</v>
      </c>
      <c r="G14" s="47">
        <v>45856.0</v>
      </c>
    </row>
    <row r="15">
      <c r="A15" s="6" t="s">
        <v>1717</v>
      </c>
      <c r="B15" s="6" t="s">
        <v>1716</v>
      </c>
      <c r="C15" s="6" t="s">
        <v>340</v>
      </c>
      <c r="D15" s="6" t="s">
        <v>111</v>
      </c>
      <c r="E15" s="6" t="s">
        <v>2499</v>
      </c>
      <c r="F15" s="6" t="s">
        <v>2500</v>
      </c>
      <c r="G15" s="47">
        <v>45856.0</v>
      </c>
    </row>
    <row r="16">
      <c r="A16" s="6" t="s">
        <v>1717</v>
      </c>
      <c r="B16" s="6" t="s">
        <v>1719</v>
      </c>
      <c r="C16" s="6" t="s">
        <v>340</v>
      </c>
      <c r="D16" s="6" t="s">
        <v>111</v>
      </c>
      <c r="E16" s="6" t="s">
        <v>2499</v>
      </c>
      <c r="F16" s="6" t="s">
        <v>2500</v>
      </c>
      <c r="G16" s="47">
        <v>45856.0</v>
      </c>
    </row>
    <row r="17">
      <c r="A17" s="6" t="s">
        <v>1721</v>
      </c>
      <c r="B17" s="6" t="s">
        <v>1720</v>
      </c>
      <c r="C17" s="6" t="s">
        <v>114</v>
      </c>
      <c r="D17" s="6" t="s">
        <v>114</v>
      </c>
      <c r="E17" s="6" t="s">
        <v>2499</v>
      </c>
      <c r="F17" s="6" t="s">
        <v>2500</v>
      </c>
      <c r="G17" s="47">
        <v>45856.0</v>
      </c>
    </row>
    <row r="18">
      <c r="A18" s="6" t="s">
        <v>1530</v>
      </c>
      <c r="B18" s="6" t="s">
        <v>1529</v>
      </c>
      <c r="C18" s="6" t="s">
        <v>155</v>
      </c>
      <c r="D18" s="6" t="s">
        <v>129</v>
      </c>
      <c r="E18" s="6" t="s">
        <v>2499</v>
      </c>
      <c r="F18" s="6" t="s">
        <v>2500</v>
      </c>
      <c r="G18" s="47">
        <v>45856.0</v>
      </c>
    </row>
    <row r="19">
      <c r="A19" s="6" t="s">
        <v>1555</v>
      </c>
      <c r="B19" s="6" t="s">
        <v>1351</v>
      </c>
      <c r="C19" s="6" t="s">
        <v>1556</v>
      </c>
      <c r="D19" s="6" t="s">
        <v>114</v>
      </c>
      <c r="E19" s="6" t="s">
        <v>2499</v>
      </c>
      <c r="F19" s="6" t="s">
        <v>2500</v>
      </c>
      <c r="G19" s="47">
        <v>45856.0</v>
      </c>
    </row>
    <row r="20">
      <c r="A20" s="6" t="s">
        <v>1565</v>
      </c>
      <c r="B20" s="6" t="s">
        <v>1564</v>
      </c>
      <c r="C20" s="6" t="s">
        <v>251</v>
      </c>
      <c r="D20" s="6" t="s">
        <v>118</v>
      </c>
      <c r="E20" s="6" t="s">
        <v>2499</v>
      </c>
      <c r="F20" s="6" t="s">
        <v>2500</v>
      </c>
      <c r="G20" s="47">
        <v>45856.0</v>
      </c>
    </row>
    <row r="21">
      <c r="A21" s="6" t="s">
        <v>2134</v>
      </c>
      <c r="B21" s="6" t="s">
        <v>2133</v>
      </c>
      <c r="C21" s="6" t="s">
        <v>132</v>
      </c>
      <c r="D21" s="6" t="s">
        <v>140</v>
      </c>
      <c r="E21" s="6" t="s">
        <v>2569</v>
      </c>
      <c r="F21" s="6" t="s">
        <v>2500</v>
      </c>
      <c r="G21" s="47">
        <v>45877.0</v>
      </c>
    </row>
    <row r="22">
      <c r="A22" s="6" t="s">
        <v>1725</v>
      </c>
      <c r="B22" s="6" t="s">
        <v>1724</v>
      </c>
      <c r="C22" s="6" t="s">
        <v>114</v>
      </c>
      <c r="D22" s="6" t="s">
        <v>114</v>
      </c>
      <c r="E22" s="6" t="s">
        <v>2569</v>
      </c>
      <c r="F22" s="6" t="s">
        <v>2500</v>
      </c>
      <c r="G22" s="47">
        <v>45877.0</v>
      </c>
      <c r="H22" s="6" t="s">
        <v>2574</v>
      </c>
      <c r="J22" s="6" t="s">
        <v>90</v>
      </c>
      <c r="L22" s="6" t="s">
        <v>474</v>
      </c>
      <c r="O22" s="6">
        <v>70.0</v>
      </c>
      <c r="Q22" s="6" t="s">
        <v>2575</v>
      </c>
    </row>
    <row r="23">
      <c r="A23" s="6" t="s">
        <v>1727</v>
      </c>
      <c r="B23" s="6" t="s">
        <v>1726</v>
      </c>
      <c r="C23" s="6" t="s">
        <v>114</v>
      </c>
      <c r="D23" s="6" t="s">
        <v>114</v>
      </c>
      <c r="E23" s="6" t="s">
        <v>2569</v>
      </c>
      <c r="F23" s="6" t="s">
        <v>2500</v>
      </c>
      <c r="G23" s="47">
        <v>45877.0</v>
      </c>
      <c r="H23" s="6" t="s">
        <v>2574</v>
      </c>
      <c r="J23" s="6" t="s">
        <v>90</v>
      </c>
      <c r="L23" s="6" t="s">
        <v>474</v>
      </c>
      <c r="O23" s="6">
        <v>84.0</v>
      </c>
      <c r="Q23" s="6" t="s">
        <v>2576</v>
      </c>
    </row>
    <row r="24">
      <c r="A24" s="6" t="s">
        <v>1630</v>
      </c>
      <c r="B24" s="6" t="s">
        <v>1629</v>
      </c>
      <c r="C24" s="6" t="s">
        <v>212</v>
      </c>
      <c r="D24" s="6" t="s">
        <v>86</v>
      </c>
      <c r="E24" s="6" t="s">
        <v>2569</v>
      </c>
      <c r="F24" s="6" t="s">
        <v>2500</v>
      </c>
      <c r="G24" s="47">
        <v>45877.0</v>
      </c>
    </row>
    <row r="25">
      <c r="A25" s="6" t="s">
        <v>1683</v>
      </c>
      <c r="B25" s="6" t="s">
        <v>1376</v>
      </c>
      <c r="C25" s="6" t="s">
        <v>114</v>
      </c>
      <c r="D25" s="6" t="s">
        <v>114</v>
      </c>
      <c r="E25" s="6" t="s">
        <v>2569</v>
      </c>
      <c r="F25" s="6" t="s">
        <v>2500</v>
      </c>
      <c r="G25" s="47">
        <v>45877.0</v>
      </c>
    </row>
    <row r="26">
      <c r="A26" s="6" t="s">
        <v>1722</v>
      </c>
      <c r="B26" s="6" t="s">
        <v>1385</v>
      </c>
      <c r="C26" s="6" t="s">
        <v>114</v>
      </c>
      <c r="D26" s="6" t="s">
        <v>114</v>
      </c>
      <c r="E26" s="6" t="s">
        <v>2569</v>
      </c>
      <c r="F26" s="6" t="s">
        <v>2500</v>
      </c>
      <c r="G26" s="47">
        <v>45877.0</v>
      </c>
    </row>
    <row r="27">
      <c r="A27" s="6" t="s">
        <v>1759</v>
      </c>
      <c r="B27" s="6" t="s">
        <v>1391</v>
      </c>
      <c r="C27" s="6" t="s">
        <v>114</v>
      </c>
      <c r="D27" s="6" t="s">
        <v>114</v>
      </c>
      <c r="E27" s="6" t="s">
        <v>2569</v>
      </c>
      <c r="F27" s="6" t="s">
        <v>2500</v>
      </c>
      <c r="G27" s="47">
        <v>45877.0</v>
      </c>
    </row>
    <row r="28">
      <c r="A28" s="6" t="s">
        <v>1769</v>
      </c>
      <c r="B28" s="6" t="s">
        <v>1399</v>
      </c>
      <c r="C28" s="6" t="s">
        <v>114</v>
      </c>
      <c r="D28" s="6" t="s">
        <v>114</v>
      </c>
      <c r="E28" s="6" t="s">
        <v>2569</v>
      </c>
      <c r="F28" s="6" t="s">
        <v>2500</v>
      </c>
      <c r="G28" s="47">
        <v>45877.0</v>
      </c>
    </row>
    <row r="29">
      <c r="A29" s="6" t="s">
        <v>1732</v>
      </c>
      <c r="B29" s="6" t="s">
        <v>1732</v>
      </c>
      <c r="C29" s="6" t="s">
        <v>1733</v>
      </c>
      <c r="D29" s="6" t="s">
        <v>1546</v>
      </c>
      <c r="E29" s="6" t="s">
        <v>2569</v>
      </c>
      <c r="F29" s="6" t="s">
        <v>2500</v>
      </c>
      <c r="G29" s="47">
        <v>45919.0</v>
      </c>
    </row>
    <row r="30">
      <c r="A30" s="6" t="s">
        <v>1738</v>
      </c>
      <c r="B30" s="6" t="s">
        <v>1737</v>
      </c>
      <c r="C30" s="6" t="s">
        <v>114</v>
      </c>
      <c r="D30" s="6" t="s">
        <v>114</v>
      </c>
      <c r="E30" s="6" t="s">
        <v>2569</v>
      </c>
      <c r="F30" s="6" t="s">
        <v>2500</v>
      </c>
      <c r="G30" s="47">
        <v>45919.0</v>
      </c>
    </row>
    <row r="31">
      <c r="A31" s="6" t="s">
        <v>1741</v>
      </c>
      <c r="B31" s="6" t="s">
        <v>1740</v>
      </c>
      <c r="C31" s="6" t="s">
        <v>114</v>
      </c>
      <c r="D31" s="6" t="s">
        <v>114</v>
      </c>
      <c r="E31" s="6" t="s">
        <v>2569</v>
      </c>
      <c r="F31" s="6" t="s">
        <v>2500</v>
      </c>
      <c r="G31" s="47">
        <v>45919.0</v>
      </c>
    </row>
    <row r="32">
      <c r="A32" s="6" t="s">
        <v>1743</v>
      </c>
      <c r="B32" s="6" t="s">
        <v>1742</v>
      </c>
      <c r="C32" s="6" t="s">
        <v>114</v>
      </c>
      <c r="D32" s="6" t="s">
        <v>114</v>
      </c>
      <c r="E32" s="6" t="s">
        <v>1782</v>
      </c>
      <c r="F32" s="6" t="s">
        <v>2500</v>
      </c>
      <c r="G32" s="47">
        <v>45940.0</v>
      </c>
    </row>
    <row r="33">
      <c r="A33" s="6" t="s">
        <v>2585</v>
      </c>
      <c r="B33" s="6" t="s">
        <v>1838</v>
      </c>
      <c r="C33" s="6" t="s">
        <v>114</v>
      </c>
      <c r="D33" s="6" t="s">
        <v>114</v>
      </c>
      <c r="E33" s="6" t="s">
        <v>1782</v>
      </c>
      <c r="F33" s="6" t="s">
        <v>2500</v>
      </c>
      <c r="G33" s="47">
        <v>45940.0</v>
      </c>
    </row>
    <row r="34">
      <c r="A34" s="6" t="s">
        <v>2210</v>
      </c>
      <c r="B34" s="6" t="s">
        <v>2209</v>
      </c>
      <c r="C34" s="6" t="s">
        <v>113</v>
      </c>
      <c r="D34" s="6" t="s">
        <v>113</v>
      </c>
      <c r="E34" s="6" t="s">
        <v>1782</v>
      </c>
      <c r="F34" s="6" t="s">
        <v>2500</v>
      </c>
      <c r="G34" s="47">
        <v>45940.0</v>
      </c>
    </row>
    <row r="35">
      <c r="A35" s="6" t="s">
        <v>2586</v>
      </c>
      <c r="B35" s="6" t="s">
        <v>2257</v>
      </c>
      <c r="C35" s="6" t="s">
        <v>212</v>
      </c>
      <c r="D35" s="6" t="s">
        <v>86</v>
      </c>
      <c r="E35" s="6" t="s">
        <v>2587</v>
      </c>
      <c r="F35" s="6" t="s">
        <v>2500</v>
      </c>
      <c r="G35" s="47">
        <v>45954.0</v>
      </c>
    </row>
    <row r="36">
      <c r="A36" s="6" t="s">
        <v>2586</v>
      </c>
      <c r="B36" s="6" t="s">
        <v>2254</v>
      </c>
      <c r="C36" s="6" t="s">
        <v>320</v>
      </c>
      <c r="D36" s="6" t="s">
        <v>111</v>
      </c>
      <c r="E36" s="6" t="s">
        <v>2587</v>
      </c>
      <c r="F36" s="6" t="s">
        <v>2500</v>
      </c>
      <c r="G36" s="47">
        <v>45954.0</v>
      </c>
    </row>
    <row r="37">
      <c r="A37" s="6" t="s">
        <v>2594</v>
      </c>
      <c r="B37" s="6" t="s">
        <v>1924</v>
      </c>
      <c r="C37" s="6" t="s">
        <v>114</v>
      </c>
      <c r="D37" s="6" t="s">
        <v>114</v>
      </c>
      <c r="E37" s="6" t="s">
        <v>2587</v>
      </c>
      <c r="F37" s="6" t="s">
        <v>2500</v>
      </c>
      <c r="G37" s="47">
        <v>45954.0</v>
      </c>
    </row>
    <row r="38">
      <c r="A38" s="6" t="s">
        <v>2594</v>
      </c>
      <c r="B38" s="6" t="s">
        <v>1942</v>
      </c>
      <c r="C38" s="6" t="s">
        <v>114</v>
      </c>
      <c r="D38" s="6" t="s">
        <v>114</v>
      </c>
      <c r="E38" s="6" t="s">
        <v>2587</v>
      </c>
      <c r="F38" s="6" t="s">
        <v>2500</v>
      </c>
      <c r="G38" s="47">
        <v>45954.0</v>
      </c>
    </row>
    <row r="39">
      <c r="A39" s="6" t="s">
        <v>2594</v>
      </c>
      <c r="B39" s="6" t="s">
        <v>2597</v>
      </c>
      <c r="C39" s="6" t="s">
        <v>114</v>
      </c>
      <c r="D39" s="6" t="s">
        <v>114</v>
      </c>
      <c r="E39" s="6" t="s">
        <v>2587</v>
      </c>
      <c r="F39" s="6" t="s">
        <v>2500</v>
      </c>
      <c r="G39" s="47">
        <v>45954.0</v>
      </c>
    </row>
    <row r="40">
      <c r="A40" s="6" t="s">
        <v>2594</v>
      </c>
      <c r="B40" s="6" t="s">
        <v>2598</v>
      </c>
      <c r="C40" s="6" t="s">
        <v>114</v>
      </c>
      <c r="D40" s="6" t="s">
        <v>114</v>
      </c>
      <c r="E40" s="6" t="s">
        <v>2587</v>
      </c>
      <c r="F40" s="6" t="s">
        <v>2500</v>
      </c>
      <c r="G40" s="47">
        <v>45954.0</v>
      </c>
    </row>
    <row r="41">
      <c r="A41" s="6" t="s">
        <v>2599</v>
      </c>
      <c r="B41" s="6" t="s">
        <v>1745</v>
      </c>
      <c r="C41" s="6" t="s">
        <v>114</v>
      </c>
      <c r="D41" s="6" t="s">
        <v>114</v>
      </c>
      <c r="E41" s="6" t="s">
        <v>2587</v>
      </c>
      <c r="F41" s="6" t="s">
        <v>2500</v>
      </c>
      <c r="G41" s="47">
        <v>45954.0</v>
      </c>
    </row>
    <row r="42">
      <c r="A42" s="6" t="s">
        <v>2202</v>
      </c>
      <c r="B42" s="6" t="s">
        <v>2201</v>
      </c>
      <c r="C42" s="6" t="s">
        <v>129</v>
      </c>
      <c r="D42" s="6" t="s">
        <v>129</v>
      </c>
      <c r="E42" s="6" t="s">
        <v>2587</v>
      </c>
      <c r="F42" s="6" t="s">
        <v>2500</v>
      </c>
      <c r="G42" s="47">
        <v>45954.0</v>
      </c>
    </row>
    <row r="43">
      <c r="A43" s="6" t="s">
        <v>1639</v>
      </c>
      <c r="B43" s="6" t="s">
        <v>1638</v>
      </c>
      <c r="C43" s="6" t="s">
        <v>1019</v>
      </c>
      <c r="D43" s="6" t="s">
        <v>114</v>
      </c>
      <c r="E43" s="6" t="s">
        <v>2499</v>
      </c>
      <c r="F43" s="6" t="s">
        <v>2500</v>
      </c>
      <c r="G43" s="47">
        <v>45667.0</v>
      </c>
    </row>
    <row r="44">
      <c r="A44" s="6" t="s">
        <v>1645</v>
      </c>
      <c r="B44" s="6" t="s">
        <v>1643</v>
      </c>
      <c r="C44" s="6" t="s">
        <v>114</v>
      </c>
      <c r="D44" s="6" t="s">
        <v>114</v>
      </c>
      <c r="E44" s="6" t="s">
        <v>2499</v>
      </c>
      <c r="F44" s="6" t="s">
        <v>2500</v>
      </c>
      <c r="G44" s="47">
        <v>45667.0</v>
      </c>
    </row>
    <row r="45">
      <c r="A45" s="6" t="s">
        <v>2607</v>
      </c>
      <c r="B45" s="6" t="s">
        <v>2608</v>
      </c>
      <c r="C45" s="6" t="s">
        <v>154</v>
      </c>
      <c r="D45" s="6" t="s">
        <v>129</v>
      </c>
      <c r="E45" s="6" t="s">
        <v>2499</v>
      </c>
      <c r="F45" s="6" t="s">
        <v>2500</v>
      </c>
      <c r="G45" s="47">
        <v>45667.0</v>
      </c>
    </row>
    <row r="46">
      <c r="A46" s="6" t="s">
        <v>1199</v>
      </c>
      <c r="B46" s="6" t="s">
        <v>1198</v>
      </c>
      <c r="C46" s="6" t="s">
        <v>224</v>
      </c>
      <c r="D46" s="6" t="s">
        <v>124</v>
      </c>
      <c r="E46" s="6" t="s">
        <v>2499</v>
      </c>
      <c r="F46" s="6" t="s">
        <v>2500</v>
      </c>
      <c r="G46" s="47">
        <v>45667.0</v>
      </c>
    </row>
    <row r="47">
      <c r="A47" s="6" t="s">
        <v>2610</v>
      </c>
      <c r="B47" s="6" t="s">
        <v>2612</v>
      </c>
      <c r="C47" s="6" t="s">
        <v>188</v>
      </c>
      <c r="D47" s="6" t="s">
        <v>86</v>
      </c>
      <c r="E47" s="6" t="s">
        <v>2499</v>
      </c>
      <c r="F47" s="6" t="s">
        <v>2500</v>
      </c>
      <c r="G47" s="47">
        <v>45667.0</v>
      </c>
    </row>
    <row r="48">
      <c r="A48" s="6" t="s">
        <v>2616</v>
      </c>
      <c r="B48" s="6" t="s">
        <v>1116</v>
      </c>
      <c r="C48" s="6" t="s">
        <v>114</v>
      </c>
      <c r="D48" s="6" t="s">
        <v>114</v>
      </c>
      <c r="E48" s="6" t="s">
        <v>2499</v>
      </c>
      <c r="F48" s="6" t="s">
        <v>2500</v>
      </c>
      <c r="G48" s="47">
        <v>45667.0</v>
      </c>
    </row>
    <row r="49">
      <c r="A49" s="6" t="s">
        <v>2620</v>
      </c>
      <c r="B49" s="6" t="s">
        <v>1212</v>
      </c>
      <c r="C49" s="6" t="s">
        <v>240</v>
      </c>
      <c r="D49" s="6" t="s">
        <v>124</v>
      </c>
      <c r="E49" s="6" t="s">
        <v>2499</v>
      </c>
      <c r="F49" s="6" t="s">
        <v>2500</v>
      </c>
      <c r="G49" s="47">
        <v>45667.0</v>
      </c>
    </row>
    <row r="50">
      <c r="A50" s="6" t="s">
        <v>2621</v>
      </c>
      <c r="B50" s="6" t="s">
        <v>1157</v>
      </c>
      <c r="C50" s="6" t="s">
        <v>114</v>
      </c>
      <c r="D50" s="6" t="s">
        <v>114</v>
      </c>
      <c r="E50" s="6" t="s">
        <v>2499</v>
      </c>
      <c r="F50" s="6" t="s">
        <v>2500</v>
      </c>
      <c r="G50" s="47">
        <v>45667.0</v>
      </c>
    </row>
    <row r="51">
      <c r="A51" s="6" t="s">
        <v>2622</v>
      </c>
      <c r="B51" s="6" t="s">
        <v>1140</v>
      </c>
      <c r="C51" s="6" t="s">
        <v>114</v>
      </c>
      <c r="D51" s="6" t="s">
        <v>114</v>
      </c>
      <c r="E51" s="6" t="s">
        <v>2499</v>
      </c>
      <c r="F51" s="6" t="s">
        <v>2500</v>
      </c>
      <c r="G51" s="47">
        <v>45667.0</v>
      </c>
    </row>
    <row r="52">
      <c r="A52" s="6" t="s">
        <v>2624</v>
      </c>
      <c r="B52" s="6" t="s">
        <v>1113</v>
      </c>
      <c r="C52" s="6" t="s">
        <v>114</v>
      </c>
      <c r="D52" s="6" t="s">
        <v>114</v>
      </c>
      <c r="E52" s="6" t="s">
        <v>2499</v>
      </c>
      <c r="F52" s="6" t="s">
        <v>2500</v>
      </c>
      <c r="G52" s="47">
        <v>45667.0</v>
      </c>
    </row>
    <row r="53">
      <c r="A53" s="6" t="s">
        <v>1159</v>
      </c>
      <c r="B53" s="6" t="s">
        <v>1158</v>
      </c>
      <c r="C53" s="6" t="s">
        <v>128</v>
      </c>
      <c r="D53" s="6" t="s">
        <v>119</v>
      </c>
      <c r="E53" s="6" t="s">
        <v>2499</v>
      </c>
      <c r="F53" s="6" t="s">
        <v>2500</v>
      </c>
      <c r="G53" s="47">
        <v>45667.0</v>
      </c>
    </row>
    <row r="54">
      <c r="A54" s="6" t="s">
        <v>2190</v>
      </c>
      <c r="B54" s="6" t="s">
        <v>2630</v>
      </c>
      <c r="C54" s="6" t="s">
        <v>114</v>
      </c>
      <c r="D54" s="6" t="s">
        <v>114</v>
      </c>
      <c r="E54" s="6" t="s">
        <v>192</v>
      </c>
      <c r="F54" s="6" t="s">
        <v>2632</v>
      </c>
      <c r="G54" s="42">
        <v>45324.0</v>
      </c>
    </row>
    <row r="55">
      <c r="A55" s="6" t="s">
        <v>1659</v>
      </c>
      <c r="B55" s="6" t="s">
        <v>1658</v>
      </c>
      <c r="C55" s="6" t="s">
        <v>114</v>
      </c>
      <c r="D55" s="6" t="s">
        <v>114</v>
      </c>
      <c r="E55" s="6" t="s">
        <v>2499</v>
      </c>
      <c r="F55" s="6" t="s">
        <v>2500</v>
      </c>
      <c r="G55" s="47">
        <v>45709.0</v>
      </c>
    </row>
    <row r="56">
      <c r="A56" s="6" t="s">
        <v>1661</v>
      </c>
      <c r="B56" s="6" t="s">
        <v>1660</v>
      </c>
      <c r="C56" s="6" t="s">
        <v>1662</v>
      </c>
      <c r="D56" s="6" t="s">
        <v>114</v>
      </c>
      <c r="E56" s="6" t="s">
        <v>2499</v>
      </c>
      <c r="F56" s="6" t="s">
        <v>2500</v>
      </c>
      <c r="G56" s="47">
        <v>45709.0</v>
      </c>
    </row>
    <row r="57">
      <c r="A57" s="6" t="s">
        <v>1664</v>
      </c>
      <c r="B57" s="6" t="s">
        <v>1663</v>
      </c>
      <c r="C57" s="6" t="s">
        <v>114</v>
      </c>
      <c r="D57" s="6" t="s">
        <v>114</v>
      </c>
      <c r="E57" s="6" t="s">
        <v>2499</v>
      </c>
      <c r="F57" s="6" t="s">
        <v>2500</v>
      </c>
      <c r="G57" s="47">
        <v>45709.0</v>
      </c>
    </row>
    <row r="58">
      <c r="A58" s="6" t="s">
        <v>1670</v>
      </c>
      <c r="B58" s="6" t="s">
        <v>1669</v>
      </c>
      <c r="C58" s="6" t="s">
        <v>147</v>
      </c>
      <c r="D58" s="6" t="s">
        <v>138</v>
      </c>
      <c r="E58" s="6" t="s">
        <v>2499</v>
      </c>
      <c r="F58" s="6" t="s">
        <v>2500</v>
      </c>
      <c r="G58" s="47">
        <v>45709.0</v>
      </c>
    </row>
    <row r="59">
      <c r="A59" s="6" t="s">
        <v>1672</v>
      </c>
      <c r="B59" s="6" t="s">
        <v>1671</v>
      </c>
      <c r="C59" s="6" t="s">
        <v>1673</v>
      </c>
      <c r="D59" s="6" t="s">
        <v>113</v>
      </c>
      <c r="E59" s="6" t="s">
        <v>2499</v>
      </c>
      <c r="F59" s="6" t="s">
        <v>2500</v>
      </c>
      <c r="G59" s="47">
        <v>45709.0</v>
      </c>
    </row>
    <row r="60">
      <c r="A60" s="6" t="s">
        <v>1675</v>
      </c>
      <c r="B60" s="6" t="s">
        <v>1674</v>
      </c>
      <c r="C60" s="6" t="s">
        <v>120</v>
      </c>
      <c r="D60" s="6" t="s">
        <v>120</v>
      </c>
      <c r="E60" s="6" t="s">
        <v>2499</v>
      </c>
      <c r="F60" s="6" t="s">
        <v>2500</v>
      </c>
      <c r="G60" s="47">
        <v>45709.0</v>
      </c>
    </row>
    <row r="61">
      <c r="A61" s="6" t="s">
        <v>1677</v>
      </c>
      <c r="B61" s="6" t="s">
        <v>1676</v>
      </c>
      <c r="C61" s="6" t="s">
        <v>1678</v>
      </c>
      <c r="D61" s="6" t="s">
        <v>1545</v>
      </c>
      <c r="E61" s="6" t="s">
        <v>2499</v>
      </c>
      <c r="F61" s="6" t="s">
        <v>2500</v>
      </c>
      <c r="G61" s="47">
        <v>45709.0</v>
      </c>
    </row>
    <row r="62">
      <c r="A62" s="6" t="s">
        <v>2641</v>
      </c>
      <c r="B62" s="6" t="s">
        <v>2642</v>
      </c>
      <c r="C62" s="6" t="s">
        <v>114</v>
      </c>
      <c r="D62" s="6" t="s">
        <v>114</v>
      </c>
      <c r="E62" s="6" t="s">
        <v>2499</v>
      </c>
      <c r="F62" s="6" t="s">
        <v>2500</v>
      </c>
      <c r="G62" s="47">
        <v>45709.0</v>
      </c>
    </row>
    <row r="63">
      <c r="A63" s="6" t="s">
        <v>1393</v>
      </c>
      <c r="B63" s="6" t="s">
        <v>1242</v>
      </c>
      <c r="C63" s="6" t="s">
        <v>114</v>
      </c>
      <c r="D63" s="6" t="s">
        <v>114</v>
      </c>
      <c r="E63" s="6" t="s">
        <v>2499</v>
      </c>
      <c r="F63" s="6" t="s">
        <v>2500</v>
      </c>
      <c r="G63" s="47">
        <v>45709.0</v>
      </c>
    </row>
    <row r="64">
      <c r="A64" s="6" t="s">
        <v>1192</v>
      </c>
      <c r="B64" s="6" t="s">
        <v>990</v>
      </c>
      <c r="C64" s="6" t="s">
        <v>114</v>
      </c>
      <c r="D64" s="6" t="s">
        <v>114</v>
      </c>
      <c r="E64" s="6" t="s">
        <v>2499</v>
      </c>
      <c r="F64" s="6" t="s">
        <v>2500</v>
      </c>
      <c r="G64" s="47">
        <v>45709.0</v>
      </c>
    </row>
    <row r="65">
      <c r="A65" s="6" t="s">
        <v>1680</v>
      </c>
      <c r="B65" s="6" t="s">
        <v>1679</v>
      </c>
      <c r="C65" s="6" t="s">
        <v>114</v>
      </c>
      <c r="D65" s="6" t="s">
        <v>114</v>
      </c>
      <c r="E65" s="6" t="s">
        <v>2499</v>
      </c>
      <c r="F65" s="6" t="s">
        <v>2500</v>
      </c>
      <c r="G65" s="47">
        <v>45709.0</v>
      </c>
    </row>
    <row r="66">
      <c r="A66" s="6" t="s">
        <v>2189</v>
      </c>
      <c r="B66" s="6" t="s">
        <v>1812</v>
      </c>
      <c r="C66" s="6" t="s">
        <v>114</v>
      </c>
      <c r="D66" s="6" t="s">
        <v>114</v>
      </c>
      <c r="E66" s="6" t="s">
        <v>192</v>
      </c>
      <c r="F66" s="6" t="s">
        <v>2497</v>
      </c>
      <c r="G66" s="47">
        <v>45954.0</v>
      </c>
    </row>
    <row r="67">
      <c r="A67" s="6" t="s">
        <v>2505</v>
      </c>
      <c r="B67" s="6" t="s">
        <v>1254</v>
      </c>
      <c r="C67" s="6" t="s">
        <v>114</v>
      </c>
      <c r="D67" s="6" t="s">
        <v>114</v>
      </c>
      <c r="E67" s="6" t="s">
        <v>1119</v>
      </c>
      <c r="F67" s="6" t="s">
        <v>1356</v>
      </c>
      <c r="G67" s="47">
        <v>45835.0</v>
      </c>
    </row>
    <row r="68">
      <c r="A68" s="6" t="s">
        <v>2651</v>
      </c>
      <c r="B68" s="6" t="s">
        <v>435</v>
      </c>
      <c r="C68" s="6" t="s">
        <v>114</v>
      </c>
      <c r="D68" s="6" t="s">
        <v>114</v>
      </c>
      <c r="E68" s="6" t="s">
        <v>192</v>
      </c>
      <c r="F68" s="6" t="s">
        <v>670</v>
      </c>
      <c r="G68" s="47">
        <v>45492.0</v>
      </c>
    </row>
    <row r="69">
      <c r="A69" s="6" t="s">
        <v>1128</v>
      </c>
      <c r="B69" s="6" t="s">
        <v>1107</v>
      </c>
      <c r="C69" s="6" t="s">
        <v>114</v>
      </c>
      <c r="D69" s="6" t="s">
        <v>114</v>
      </c>
      <c r="E69" s="6" t="s">
        <v>1119</v>
      </c>
      <c r="F69" s="6" t="s">
        <v>1130</v>
      </c>
      <c r="G69" s="47">
        <v>45709.0</v>
      </c>
    </row>
    <row r="70">
      <c r="A70" s="6" t="s">
        <v>1393</v>
      </c>
      <c r="B70" s="6" t="s">
        <v>1242</v>
      </c>
      <c r="C70" s="6" t="s">
        <v>114</v>
      </c>
      <c r="D70" s="6" t="s">
        <v>114</v>
      </c>
      <c r="E70" s="6" t="s">
        <v>2499</v>
      </c>
      <c r="F70" s="6" t="s">
        <v>1394</v>
      </c>
      <c r="G70" s="47">
        <v>45835.0</v>
      </c>
    </row>
    <row r="71">
      <c r="A71" s="6" t="s">
        <v>2160</v>
      </c>
      <c r="B71" s="6" t="s">
        <v>2159</v>
      </c>
      <c r="C71" s="6" t="s">
        <v>114</v>
      </c>
      <c r="D71" s="6" t="s">
        <v>114</v>
      </c>
      <c r="E71" s="6" t="s">
        <v>192</v>
      </c>
      <c r="F71" s="6" t="s">
        <v>2162</v>
      </c>
      <c r="G71" s="47">
        <v>45940.0</v>
      </c>
    </row>
    <row r="72">
      <c r="A72" s="6" t="s">
        <v>1896</v>
      </c>
      <c r="B72" s="6" t="s">
        <v>202</v>
      </c>
      <c r="C72" s="6" t="s">
        <v>114</v>
      </c>
      <c r="D72" s="6" t="s">
        <v>114</v>
      </c>
      <c r="E72" s="6" t="s">
        <v>192</v>
      </c>
      <c r="F72" s="6" t="s">
        <v>410</v>
      </c>
      <c r="G72" s="47">
        <v>45268.0</v>
      </c>
    </row>
    <row r="73">
      <c r="A73" s="6" t="s">
        <v>428</v>
      </c>
      <c r="B73" s="6" t="s">
        <v>220</v>
      </c>
      <c r="C73" s="6" t="s">
        <v>114</v>
      </c>
      <c r="D73" s="6" t="s">
        <v>114</v>
      </c>
      <c r="E73" s="6" t="s">
        <v>192</v>
      </c>
      <c r="F73" s="6" t="s">
        <v>429</v>
      </c>
      <c r="G73" s="47">
        <v>45268.0</v>
      </c>
    </row>
    <row r="74">
      <c r="A74" s="6" t="s">
        <v>2660</v>
      </c>
      <c r="B74" s="6" t="s">
        <v>1256</v>
      </c>
      <c r="C74" s="6" t="s">
        <v>122</v>
      </c>
      <c r="D74" s="6" t="s">
        <v>122</v>
      </c>
      <c r="E74" s="6" t="s">
        <v>2499</v>
      </c>
      <c r="F74" s="6" t="s">
        <v>2500</v>
      </c>
      <c r="G74" s="47">
        <v>45730.0</v>
      </c>
    </row>
    <row r="75">
      <c r="A75" s="6" t="s">
        <v>1689</v>
      </c>
      <c r="B75" s="6" t="s">
        <v>1688</v>
      </c>
      <c r="C75" s="6" t="s">
        <v>1019</v>
      </c>
      <c r="D75" s="6" t="s">
        <v>114</v>
      </c>
      <c r="E75" s="6" t="s">
        <v>2499</v>
      </c>
      <c r="F75" s="6" t="s">
        <v>2500</v>
      </c>
      <c r="G75" s="47">
        <v>45730.0</v>
      </c>
    </row>
    <row r="76">
      <c r="A76" s="6" t="s">
        <v>2664</v>
      </c>
      <c r="B76" s="6" t="s">
        <v>1305</v>
      </c>
      <c r="C76" s="6" t="s">
        <v>114</v>
      </c>
      <c r="D76" s="6" t="s">
        <v>114</v>
      </c>
      <c r="E76" s="6" t="s">
        <v>2499</v>
      </c>
      <c r="F76" s="6" t="s">
        <v>2500</v>
      </c>
      <c r="G76" s="47">
        <v>45730.0</v>
      </c>
    </row>
    <row r="77">
      <c r="A77" s="6" t="s">
        <v>2668</v>
      </c>
      <c r="B77" s="6" t="s">
        <v>2670</v>
      </c>
      <c r="C77" s="6" t="s">
        <v>114</v>
      </c>
      <c r="D77" s="6" t="s">
        <v>114</v>
      </c>
      <c r="E77" s="6" t="s">
        <v>2499</v>
      </c>
      <c r="F77" s="6" t="s">
        <v>2500</v>
      </c>
      <c r="G77" s="47">
        <v>45730.0</v>
      </c>
    </row>
    <row r="78">
      <c r="A78" s="6" t="s">
        <v>1033</v>
      </c>
      <c r="B78" s="6" t="s">
        <v>1032</v>
      </c>
      <c r="C78" s="6" t="s">
        <v>114</v>
      </c>
      <c r="D78" s="6" t="s">
        <v>114</v>
      </c>
      <c r="E78" s="6" t="s">
        <v>192</v>
      </c>
      <c r="F78" s="6" t="s">
        <v>1034</v>
      </c>
      <c r="G78" s="47">
        <v>45618.0</v>
      </c>
    </row>
    <row r="79">
      <c r="A79" s="6" t="s">
        <v>1231</v>
      </c>
      <c r="B79" s="6" t="s">
        <v>1207</v>
      </c>
      <c r="C79" s="6" t="s">
        <v>114</v>
      </c>
      <c r="D79" s="6" t="s">
        <v>114</v>
      </c>
      <c r="E79" s="6" t="s">
        <v>1119</v>
      </c>
      <c r="F79" s="6" t="s">
        <v>1236</v>
      </c>
      <c r="G79" s="47">
        <v>45793.0</v>
      </c>
    </row>
    <row r="80">
      <c r="A80" s="6" t="s">
        <v>1698</v>
      </c>
      <c r="B80" s="6" t="s">
        <v>1697</v>
      </c>
      <c r="C80" s="6" t="s">
        <v>86</v>
      </c>
      <c r="D80" s="6" t="s">
        <v>86</v>
      </c>
      <c r="E80" s="6" t="s">
        <v>2499</v>
      </c>
      <c r="F80" s="6" t="s">
        <v>2500</v>
      </c>
      <c r="G80" s="47">
        <v>45772.0</v>
      </c>
    </row>
    <row r="81">
      <c r="A81" s="6" t="s">
        <v>1425</v>
      </c>
      <c r="B81" s="6" t="s">
        <v>1244</v>
      </c>
      <c r="C81" s="6" t="s">
        <v>122</v>
      </c>
      <c r="D81" s="6" t="s">
        <v>122</v>
      </c>
      <c r="E81" s="6" t="s">
        <v>2499</v>
      </c>
      <c r="F81" s="6" t="s">
        <v>2500</v>
      </c>
      <c r="G81" s="47">
        <v>45772.0</v>
      </c>
    </row>
    <row r="82">
      <c r="A82" s="6" t="s">
        <v>1701</v>
      </c>
      <c r="B82" s="6" t="s">
        <v>1700</v>
      </c>
      <c r="C82" s="6" t="s">
        <v>114</v>
      </c>
      <c r="D82" s="6" t="s">
        <v>114</v>
      </c>
      <c r="E82" s="6" t="s">
        <v>2499</v>
      </c>
      <c r="F82" s="6" t="s">
        <v>2500</v>
      </c>
      <c r="G82" s="47">
        <v>45772.0</v>
      </c>
    </row>
    <row r="83">
      <c r="A83" s="6" t="s">
        <v>2685</v>
      </c>
      <c r="B83" s="6" t="s">
        <v>1342</v>
      </c>
      <c r="C83" s="6" t="s">
        <v>114</v>
      </c>
      <c r="D83" s="6" t="s">
        <v>114</v>
      </c>
      <c r="E83" s="6" t="s">
        <v>2499</v>
      </c>
      <c r="F83" s="6" t="s">
        <v>2500</v>
      </c>
      <c r="G83" s="47">
        <v>45772.0</v>
      </c>
    </row>
    <row r="84">
      <c r="A84" s="6" t="s">
        <v>2198</v>
      </c>
      <c r="B84" s="6" t="s">
        <v>1827</v>
      </c>
      <c r="C84" s="6" t="s">
        <v>114</v>
      </c>
      <c r="D84" s="6" t="s">
        <v>114</v>
      </c>
      <c r="E84" s="6" t="s">
        <v>2499</v>
      </c>
      <c r="F84" s="6" t="s">
        <v>2500</v>
      </c>
      <c r="G84" s="47">
        <v>45772.0</v>
      </c>
    </row>
    <row r="85">
      <c r="A85" s="6" t="s">
        <v>2246</v>
      </c>
      <c r="B85" s="6" t="s">
        <v>2005</v>
      </c>
      <c r="C85" s="6" t="s">
        <v>1019</v>
      </c>
      <c r="D85" s="6" t="s">
        <v>114</v>
      </c>
      <c r="E85" s="6" t="s">
        <v>2499</v>
      </c>
      <c r="F85" s="6" t="s">
        <v>2500</v>
      </c>
      <c r="G85" s="47">
        <v>45772.0</v>
      </c>
    </row>
    <row r="86">
      <c r="A86" s="6" t="s">
        <v>2686</v>
      </c>
      <c r="B86" s="6" t="s">
        <v>2687</v>
      </c>
      <c r="C86" s="6" t="s">
        <v>242</v>
      </c>
      <c r="D86" s="6" t="s">
        <v>124</v>
      </c>
      <c r="E86" s="6" t="s">
        <v>2499</v>
      </c>
      <c r="F86" s="6" t="s">
        <v>2500</v>
      </c>
      <c r="G86" s="47">
        <v>45772.0</v>
      </c>
    </row>
    <row r="87">
      <c r="A87" s="6" t="s">
        <v>2690</v>
      </c>
      <c r="B87" s="6" t="s">
        <v>871</v>
      </c>
      <c r="C87" s="6" t="s">
        <v>2693</v>
      </c>
      <c r="D87" s="6" t="s">
        <v>114</v>
      </c>
      <c r="E87" s="6" t="s">
        <v>2499</v>
      </c>
      <c r="F87" s="6" t="s">
        <v>2500</v>
      </c>
      <c r="G87" s="47">
        <v>45772.0</v>
      </c>
    </row>
    <row r="88">
      <c r="A88" s="6" t="s">
        <v>1224</v>
      </c>
      <c r="B88" s="6" t="s">
        <v>805</v>
      </c>
      <c r="C88" s="6" t="s">
        <v>123</v>
      </c>
      <c r="D88" s="6" t="s">
        <v>123</v>
      </c>
      <c r="E88" s="6" t="s">
        <v>2499</v>
      </c>
      <c r="F88" s="6" t="s">
        <v>2500</v>
      </c>
      <c r="G88" s="47">
        <v>45772.0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13"/>
    <col customWidth="1" min="2" max="2" width="53.25"/>
    <col customWidth="1" min="3" max="3" width="50.38"/>
    <col customWidth="1" min="5" max="5" width="17.0"/>
    <col customWidth="1" min="7" max="7" width="20.38"/>
    <col customWidth="1" min="9" max="9" width="19.5"/>
    <col customWidth="1" min="10" max="10" width="14.63"/>
    <col customWidth="1" min="12" max="12" width="17.38"/>
    <col customWidth="1" min="13" max="13" width="22.75"/>
    <col customWidth="1" min="20" max="20" width="35.75"/>
    <col customWidth="1" min="50" max="50" width="16.5"/>
    <col customWidth="1" min="51" max="51" width="18.88"/>
    <col customWidth="1" min="52" max="52" width="16.0"/>
    <col customWidth="1" min="53" max="53" width="21.5"/>
  </cols>
  <sheetData>
    <row r="1">
      <c r="A1" s="6" t="s">
        <v>2507</v>
      </c>
      <c r="B1" s="6" t="s">
        <v>2508</v>
      </c>
      <c r="C1" s="6" t="s">
        <v>2509</v>
      </c>
      <c r="D1" s="6" t="s">
        <v>2510</v>
      </c>
      <c r="E1" s="6" t="s">
        <v>2511</v>
      </c>
      <c r="F1" s="6" t="s">
        <v>2512</v>
      </c>
      <c r="G1" s="6" t="s">
        <v>2513</v>
      </c>
      <c r="H1" s="6" t="s">
        <v>2514</v>
      </c>
      <c r="I1" s="6" t="s">
        <v>2515</v>
      </c>
      <c r="J1" s="146" t="s">
        <v>2516</v>
      </c>
      <c r="K1" s="6" t="s">
        <v>2519</v>
      </c>
      <c r="L1" s="6" t="s">
        <v>2520</v>
      </c>
      <c r="M1" s="6" t="s">
        <v>2521</v>
      </c>
      <c r="N1" s="6" t="s">
        <v>2522</v>
      </c>
      <c r="O1" s="6" t="s">
        <v>2523</v>
      </c>
      <c r="P1" s="6" t="s">
        <v>2524</v>
      </c>
      <c r="Q1" s="6" t="s">
        <v>2525</v>
      </c>
      <c r="R1" s="6" t="s">
        <v>2526</v>
      </c>
      <c r="S1" s="6" t="s">
        <v>2527</v>
      </c>
      <c r="T1" s="6" t="s">
        <v>2528</v>
      </c>
      <c r="U1" s="6" t="s">
        <v>2529</v>
      </c>
      <c r="V1" s="6" t="s">
        <v>2530</v>
      </c>
      <c r="W1" s="6" t="s">
        <v>2531</v>
      </c>
      <c r="X1" s="6" t="s">
        <v>2533</v>
      </c>
      <c r="Y1" s="6" t="s">
        <v>2534</v>
      </c>
      <c r="Z1" s="6" t="s">
        <v>2535</v>
      </c>
      <c r="AA1" s="6" t="s">
        <v>2536</v>
      </c>
      <c r="AB1" s="6" t="s">
        <v>2537</v>
      </c>
      <c r="AC1" s="6" t="s">
        <v>2538</v>
      </c>
      <c r="AD1" s="6" t="s">
        <v>2539</v>
      </c>
      <c r="AE1" s="6" t="s">
        <v>2540</v>
      </c>
      <c r="AF1" s="6" t="s">
        <v>2541</v>
      </c>
      <c r="AG1" s="6" t="s">
        <v>2542</v>
      </c>
      <c r="AH1" s="6" t="s">
        <v>2543</v>
      </c>
      <c r="AI1" s="6" t="s">
        <v>2544</v>
      </c>
      <c r="AJ1" s="6" t="s">
        <v>2545</v>
      </c>
      <c r="AK1" s="6" t="s">
        <v>2546</v>
      </c>
      <c r="AL1" s="6" t="s">
        <v>2547</v>
      </c>
      <c r="AM1" s="6" t="s">
        <v>2548</v>
      </c>
      <c r="AN1" s="6" t="s">
        <v>2549</v>
      </c>
      <c r="AO1" s="6" t="s">
        <v>2550</v>
      </c>
      <c r="AP1" s="6" t="s">
        <v>2551</v>
      </c>
      <c r="AQ1" s="6" t="s">
        <v>2552</v>
      </c>
      <c r="AR1" s="6" t="s">
        <v>2553</v>
      </c>
      <c r="AS1" s="6" t="s">
        <v>2554</v>
      </c>
      <c r="AT1" s="6" t="s">
        <v>2555</v>
      </c>
      <c r="AU1" s="6" t="s">
        <v>2556</v>
      </c>
      <c r="AV1" s="6" t="s">
        <v>2557</v>
      </c>
      <c r="AW1" s="6" t="s">
        <v>2558</v>
      </c>
      <c r="AX1" s="6" t="s">
        <v>2559</v>
      </c>
      <c r="AY1" s="6" t="s">
        <v>2560</v>
      </c>
      <c r="AZ1" s="6" t="s">
        <v>2561</v>
      </c>
      <c r="BA1" s="6" t="s">
        <v>2562</v>
      </c>
    </row>
    <row r="2">
      <c r="A2" s="6">
        <v>5.518013007E9</v>
      </c>
      <c r="B2" s="6" t="s">
        <v>2563</v>
      </c>
      <c r="C2" s="6" t="s">
        <v>2564</v>
      </c>
      <c r="D2" s="6">
        <v>500.0</v>
      </c>
      <c r="E2" s="6" t="s">
        <v>2565</v>
      </c>
      <c r="F2" s="6" t="s">
        <v>2566</v>
      </c>
      <c r="G2" s="6" t="s">
        <v>2567</v>
      </c>
      <c r="H2" s="6">
        <v>40.0</v>
      </c>
      <c r="I2" s="6" t="s">
        <v>2568</v>
      </c>
      <c r="J2" s="147">
        <v>1.0674504E7</v>
      </c>
      <c r="K2" s="6"/>
      <c r="L2" s="6" t="s">
        <v>2570</v>
      </c>
      <c r="M2" s="6" t="s">
        <v>2571</v>
      </c>
      <c r="N2" s="6">
        <v>103.0</v>
      </c>
      <c r="O2" s="6" t="s">
        <v>2572</v>
      </c>
      <c r="P2" s="6" t="s">
        <v>2573</v>
      </c>
      <c r="R2" s="6">
        <v>0.27005</v>
      </c>
      <c r="S2" s="6" t="s">
        <v>1824</v>
      </c>
      <c r="T2" s="6" t="s">
        <v>889</v>
      </c>
      <c r="U2" s="6" t="s">
        <v>114</v>
      </c>
      <c r="V2" s="6" t="s">
        <v>114</v>
      </c>
      <c r="W2" s="6" t="s">
        <v>1782</v>
      </c>
      <c r="X2" s="6" t="s">
        <v>1828</v>
      </c>
      <c r="Y2" s="47">
        <v>45919.0</v>
      </c>
      <c r="Z2" s="6" t="s">
        <v>1615</v>
      </c>
      <c r="AA2" s="6"/>
      <c r="AB2" s="6" t="s">
        <v>203</v>
      </c>
      <c r="AC2" s="6"/>
      <c r="AD2" s="6" t="s">
        <v>92</v>
      </c>
      <c r="AE2" s="6"/>
      <c r="AF2" s="6"/>
      <c r="AG2" s="6">
        <v>43.0</v>
      </c>
      <c r="AH2" s="6">
        <v>43.0</v>
      </c>
      <c r="AI2" s="6">
        <f t="shared" ref="AI2:AI117" si="1">AH2/AG2</f>
        <v>1</v>
      </c>
      <c r="AJ2" s="148">
        <f t="shared" ref="AJ2:AJ117" si="2">AI2*J2</f>
        <v>10674504</v>
      </c>
      <c r="AK2" s="6"/>
      <c r="AL2" s="6"/>
      <c r="AU2" s="25">
        <v>6450.0</v>
      </c>
      <c r="AV2" s="25"/>
      <c r="AW2" s="25"/>
      <c r="BA2" s="6">
        <v>103.0</v>
      </c>
    </row>
    <row r="3">
      <c r="A3" s="6">
        <v>5.080006008E9</v>
      </c>
      <c r="B3" s="6" t="s">
        <v>2579</v>
      </c>
      <c r="C3" s="6" t="s">
        <v>2580</v>
      </c>
      <c r="D3" s="6">
        <v>500.0</v>
      </c>
      <c r="E3" s="6" t="s">
        <v>2565</v>
      </c>
      <c r="F3" s="6" t="s">
        <v>2581</v>
      </c>
      <c r="G3" s="6" t="s">
        <v>419</v>
      </c>
      <c r="H3" s="6">
        <v>76.0</v>
      </c>
      <c r="I3" s="6" t="s">
        <v>2568</v>
      </c>
      <c r="J3" s="147">
        <v>1.4010916E7</v>
      </c>
      <c r="K3" s="6"/>
      <c r="L3" s="6" t="s">
        <v>2582</v>
      </c>
      <c r="M3" s="6" t="s">
        <v>2571</v>
      </c>
      <c r="N3" s="6">
        <v>1057.0</v>
      </c>
      <c r="O3" s="6" t="s">
        <v>2583</v>
      </c>
      <c r="P3" s="6" t="s">
        <v>2573</v>
      </c>
      <c r="R3" s="6">
        <v>0.367</v>
      </c>
      <c r="S3" s="6" t="s">
        <v>2180</v>
      </c>
      <c r="T3" s="6" t="s">
        <v>1802</v>
      </c>
      <c r="U3" s="6" t="s">
        <v>114</v>
      </c>
      <c r="V3" s="6" t="s">
        <v>114</v>
      </c>
      <c r="W3" s="6" t="s">
        <v>192</v>
      </c>
      <c r="X3" s="6" t="s">
        <v>2487</v>
      </c>
      <c r="Y3" s="47">
        <v>45940.0</v>
      </c>
      <c r="Z3" s="6" t="s">
        <v>1615</v>
      </c>
      <c r="AA3" s="6"/>
      <c r="AB3" s="6" t="s">
        <v>203</v>
      </c>
      <c r="AC3" s="6"/>
      <c r="AD3" s="6" t="s">
        <v>92</v>
      </c>
      <c r="AE3" s="6"/>
      <c r="AF3" s="6"/>
      <c r="AG3" s="6">
        <v>76.0</v>
      </c>
      <c r="AH3" s="6">
        <v>76.0</v>
      </c>
      <c r="AI3" s="6">
        <f t="shared" si="1"/>
        <v>1</v>
      </c>
      <c r="AJ3" s="148">
        <f t="shared" si="2"/>
        <v>14010916</v>
      </c>
      <c r="AK3" s="6"/>
      <c r="AL3" s="6"/>
      <c r="AU3" s="25">
        <v>11400.0</v>
      </c>
      <c r="AV3" s="25"/>
      <c r="AW3" s="25"/>
      <c r="BA3" s="6">
        <v>1057.0</v>
      </c>
    </row>
    <row r="4">
      <c r="A4" s="6">
        <v>6.063029029E9</v>
      </c>
      <c r="B4" s="6" t="s">
        <v>2588</v>
      </c>
      <c r="C4" s="6" t="s">
        <v>2589</v>
      </c>
      <c r="D4" s="6">
        <v>1100.0</v>
      </c>
      <c r="E4" s="6" t="s">
        <v>2590</v>
      </c>
      <c r="F4" s="6" t="s">
        <v>2591</v>
      </c>
      <c r="G4" s="6" t="s">
        <v>2592</v>
      </c>
      <c r="H4" s="6">
        <v>0.0</v>
      </c>
      <c r="I4" s="6" t="s">
        <v>2568</v>
      </c>
      <c r="J4" s="147">
        <v>936360.0</v>
      </c>
      <c r="K4" s="6"/>
      <c r="L4" s="6" t="s">
        <v>2593</v>
      </c>
      <c r="M4" s="6" t="s">
        <v>2595</v>
      </c>
      <c r="N4" s="6">
        <v>10705.0</v>
      </c>
      <c r="O4" s="6" t="s">
        <v>2596</v>
      </c>
      <c r="P4" s="6" t="s">
        <v>2573</v>
      </c>
      <c r="R4" s="6">
        <v>0.25721</v>
      </c>
      <c r="S4" s="6" t="s">
        <v>2189</v>
      </c>
      <c r="T4" s="6" t="s">
        <v>1812</v>
      </c>
      <c r="U4" s="6" t="s">
        <v>114</v>
      </c>
      <c r="V4" s="6" t="s">
        <v>114</v>
      </c>
      <c r="W4" s="6"/>
      <c r="X4" s="6"/>
      <c r="Y4" s="47">
        <v>45954.0</v>
      </c>
      <c r="Z4" s="6" t="s">
        <v>2498</v>
      </c>
      <c r="AA4" s="6"/>
      <c r="AB4" s="6" t="s">
        <v>90</v>
      </c>
      <c r="AC4" s="6"/>
      <c r="AD4" s="6" t="s">
        <v>474</v>
      </c>
      <c r="AE4" s="6"/>
      <c r="AF4" s="6"/>
      <c r="AG4" s="6">
        <v>68.0</v>
      </c>
      <c r="AH4" s="6">
        <v>68.0</v>
      </c>
      <c r="AI4" s="6">
        <f t="shared" si="1"/>
        <v>1</v>
      </c>
      <c r="AJ4" s="148">
        <f t="shared" si="2"/>
        <v>936360</v>
      </c>
      <c r="AK4" s="6"/>
      <c r="AL4" s="6"/>
      <c r="AU4" s="25">
        <v>10200.0</v>
      </c>
      <c r="AV4" s="6" t="s">
        <v>474</v>
      </c>
      <c r="AW4" s="6"/>
      <c r="AX4" s="6"/>
      <c r="BA4" s="6">
        <v>10705.0</v>
      </c>
    </row>
    <row r="5">
      <c r="A5" s="6">
        <v>6.070003041E9</v>
      </c>
      <c r="B5" s="6" t="s">
        <v>2601</v>
      </c>
      <c r="C5" s="6" t="s">
        <v>2602</v>
      </c>
      <c r="D5" s="6"/>
      <c r="E5" s="6"/>
      <c r="F5" s="6" t="s">
        <v>2603</v>
      </c>
      <c r="G5" s="6" t="s">
        <v>2604</v>
      </c>
      <c r="H5" s="6">
        <v>2.0</v>
      </c>
      <c r="J5" s="149"/>
      <c r="N5" s="6">
        <v>10811.0</v>
      </c>
      <c r="O5" s="6" t="s">
        <v>2606</v>
      </c>
      <c r="P5" s="6" t="s">
        <v>2573</v>
      </c>
      <c r="R5" s="6">
        <v>0.16215</v>
      </c>
      <c r="S5" s="6" t="s">
        <v>1254</v>
      </c>
      <c r="T5" s="6" t="s">
        <v>1254</v>
      </c>
      <c r="U5" s="6" t="s">
        <v>114</v>
      </c>
      <c r="V5" s="6" t="s">
        <v>114</v>
      </c>
      <c r="W5" s="6"/>
      <c r="X5" s="6"/>
      <c r="Y5" s="47">
        <v>45835.0</v>
      </c>
      <c r="Z5" s="6" t="s">
        <v>445</v>
      </c>
      <c r="AA5" s="6"/>
      <c r="AB5" s="6" t="s">
        <v>90</v>
      </c>
      <c r="AC5" s="6"/>
      <c r="AD5" s="6" t="s">
        <v>474</v>
      </c>
      <c r="AE5" s="6"/>
      <c r="AF5" s="6"/>
      <c r="AG5" s="6">
        <v>29.0</v>
      </c>
      <c r="AH5" s="6">
        <v>28.0</v>
      </c>
      <c r="AI5" s="6">
        <f t="shared" si="1"/>
        <v>0.9655172414</v>
      </c>
      <c r="AJ5" s="148">
        <f t="shared" si="2"/>
        <v>0</v>
      </c>
      <c r="AK5" s="6"/>
      <c r="AL5" s="6"/>
      <c r="AU5" s="25">
        <v>4200.0</v>
      </c>
      <c r="AV5" s="25"/>
      <c r="AW5" s="25"/>
      <c r="BA5" s="6">
        <v>10811.0</v>
      </c>
    </row>
    <row r="6">
      <c r="A6" s="6">
        <v>2.42101101E9</v>
      </c>
      <c r="B6" s="6" t="s">
        <v>2611</v>
      </c>
      <c r="C6" s="6" t="s">
        <v>2613</v>
      </c>
      <c r="D6" s="6">
        <v>100.0</v>
      </c>
      <c r="E6" s="6" t="s">
        <v>2614</v>
      </c>
      <c r="F6" s="6" t="s">
        <v>2615</v>
      </c>
      <c r="G6" s="6" t="s">
        <v>2592</v>
      </c>
      <c r="H6" s="6">
        <v>1.0</v>
      </c>
      <c r="I6" s="6" t="s">
        <v>2568</v>
      </c>
      <c r="J6" s="147">
        <v>1417800.0</v>
      </c>
      <c r="K6" s="6"/>
      <c r="L6" s="6" t="s">
        <v>2617</v>
      </c>
      <c r="M6" s="6" t="s">
        <v>2618</v>
      </c>
      <c r="N6" s="6">
        <v>10910.0</v>
      </c>
      <c r="O6" s="6" t="s">
        <v>2619</v>
      </c>
      <c r="P6" s="6" t="s">
        <v>2573</v>
      </c>
      <c r="R6" s="6">
        <v>0.1926</v>
      </c>
      <c r="S6" s="6" t="s">
        <v>1586</v>
      </c>
      <c r="T6" s="6" t="s">
        <v>1342</v>
      </c>
      <c r="U6" s="6" t="s">
        <v>114</v>
      </c>
      <c r="V6" s="6" t="s">
        <v>114</v>
      </c>
      <c r="W6" s="6" t="s">
        <v>1119</v>
      </c>
      <c r="X6" s="6" t="s">
        <v>1587</v>
      </c>
      <c r="Y6" s="47">
        <v>45877.0</v>
      </c>
      <c r="Z6" s="6" t="s">
        <v>1588</v>
      </c>
      <c r="AA6" s="6"/>
      <c r="AB6" s="6" t="s">
        <v>951</v>
      </c>
      <c r="AC6" s="6"/>
      <c r="AD6" s="6" t="s">
        <v>474</v>
      </c>
      <c r="AE6" s="6"/>
      <c r="AF6" s="6"/>
      <c r="AG6" s="6">
        <v>38.0</v>
      </c>
      <c r="AH6" s="6">
        <v>37.0</v>
      </c>
      <c r="AI6" s="6">
        <f t="shared" si="1"/>
        <v>0.9736842105</v>
      </c>
      <c r="AJ6" s="148">
        <f t="shared" si="2"/>
        <v>1380489.474</v>
      </c>
      <c r="AK6" s="6"/>
      <c r="AL6" s="6"/>
      <c r="AU6" s="25">
        <v>5550.0</v>
      </c>
      <c r="AV6" s="25"/>
      <c r="AW6" s="25"/>
      <c r="BA6" s="6">
        <v>10910.0</v>
      </c>
    </row>
    <row r="7">
      <c r="A7" s="6">
        <v>6.083001009E9</v>
      </c>
      <c r="B7" s="6" t="s">
        <v>2625</v>
      </c>
      <c r="C7" s="6" t="s">
        <v>2626</v>
      </c>
      <c r="D7" s="6">
        <v>3100.0</v>
      </c>
      <c r="E7" s="6" t="s">
        <v>2627</v>
      </c>
      <c r="F7" s="6" t="s">
        <v>2628</v>
      </c>
      <c r="G7" s="6" t="s">
        <v>2629</v>
      </c>
      <c r="H7" s="6">
        <v>0.0</v>
      </c>
      <c r="I7" s="6" t="s">
        <v>2568</v>
      </c>
      <c r="J7" s="147">
        <v>429364.0</v>
      </c>
      <c r="K7" s="6"/>
      <c r="L7" s="6" t="s">
        <v>2631</v>
      </c>
      <c r="M7" s="6" t="s">
        <v>2633</v>
      </c>
      <c r="N7" s="6">
        <v>110.0</v>
      </c>
      <c r="O7" s="6" t="s">
        <v>1974</v>
      </c>
      <c r="P7" s="6" t="s">
        <v>2573</v>
      </c>
      <c r="R7" s="6">
        <v>0.2368</v>
      </c>
      <c r="S7" s="6" t="s">
        <v>876</v>
      </c>
      <c r="T7" s="6" t="s">
        <v>763</v>
      </c>
      <c r="U7" s="6" t="s">
        <v>114</v>
      </c>
      <c r="V7" s="6" t="s">
        <v>114</v>
      </c>
      <c r="W7" s="6" t="s">
        <v>192</v>
      </c>
      <c r="X7" s="6" t="s">
        <v>877</v>
      </c>
      <c r="Y7" s="47">
        <v>45555.0</v>
      </c>
      <c r="Z7" s="6" t="s">
        <v>445</v>
      </c>
      <c r="AA7" s="6"/>
      <c r="AB7" s="6" t="s">
        <v>90</v>
      </c>
      <c r="AC7" s="6"/>
      <c r="AD7" s="6" t="s">
        <v>474</v>
      </c>
      <c r="AE7" s="6"/>
      <c r="AF7" s="6"/>
      <c r="AG7" s="6">
        <v>90.0</v>
      </c>
      <c r="AH7" s="6">
        <v>71.0</v>
      </c>
      <c r="AI7" s="6">
        <f t="shared" si="1"/>
        <v>0.7888888889</v>
      </c>
      <c r="AJ7" s="148">
        <f t="shared" si="2"/>
        <v>338720.4889</v>
      </c>
      <c r="AK7" s="6"/>
      <c r="AL7" s="6"/>
      <c r="AU7" s="25">
        <v>10650.0</v>
      </c>
      <c r="AV7" s="25"/>
      <c r="AW7" s="25"/>
      <c r="BA7" s="6">
        <v>110.0</v>
      </c>
    </row>
    <row r="8">
      <c r="A8" s="6">
        <v>3.9612209E7</v>
      </c>
      <c r="B8" s="6" t="s">
        <v>2634</v>
      </c>
      <c r="C8" s="6" t="s">
        <v>370</v>
      </c>
      <c r="D8" s="6">
        <v>2.0</v>
      </c>
      <c r="E8" s="6"/>
      <c r="F8" s="6" t="s">
        <v>2635</v>
      </c>
      <c r="G8" s="6" t="s">
        <v>2636</v>
      </c>
      <c r="H8" s="6"/>
      <c r="I8" s="6" t="s">
        <v>2568</v>
      </c>
      <c r="J8" s="147">
        <v>1.5143017E7</v>
      </c>
      <c r="K8" s="6"/>
      <c r="L8" s="6" t="s">
        <v>2637</v>
      </c>
      <c r="M8" s="6" t="s">
        <v>2638</v>
      </c>
      <c r="N8" s="6">
        <v>1100.0</v>
      </c>
      <c r="O8" s="6" t="s">
        <v>2639</v>
      </c>
      <c r="P8" s="6" t="s">
        <v>2640</v>
      </c>
      <c r="R8" s="6">
        <v>2.62481</v>
      </c>
      <c r="S8" s="6" t="s">
        <v>618</v>
      </c>
      <c r="T8" s="6" t="s">
        <v>617</v>
      </c>
      <c r="U8" s="6" t="s">
        <v>268</v>
      </c>
      <c r="V8" s="6" t="s">
        <v>119</v>
      </c>
      <c r="W8" s="6" t="s">
        <v>192</v>
      </c>
      <c r="X8" s="6" t="s">
        <v>621</v>
      </c>
      <c r="Y8" s="47">
        <v>45450.0</v>
      </c>
      <c r="Z8" s="6" t="s">
        <v>559</v>
      </c>
      <c r="AA8" s="6" t="s">
        <v>622</v>
      </c>
      <c r="AB8" s="6" t="s">
        <v>560</v>
      </c>
      <c r="AC8" s="6"/>
      <c r="AD8" s="6"/>
      <c r="AE8" s="6"/>
      <c r="AF8" s="6"/>
      <c r="AG8" s="6">
        <v>160.0</v>
      </c>
      <c r="AH8" s="6">
        <v>160.0</v>
      </c>
      <c r="AI8" s="6">
        <f t="shared" si="1"/>
        <v>1</v>
      </c>
      <c r="AJ8" s="148">
        <f t="shared" si="2"/>
        <v>15143017</v>
      </c>
      <c r="AK8" s="6">
        <v>1969.0</v>
      </c>
      <c r="AL8" s="6"/>
      <c r="AM8" s="6"/>
      <c r="AU8" s="25">
        <v>24000.0</v>
      </c>
      <c r="AV8" s="25"/>
      <c r="AW8" s="25"/>
      <c r="BA8" s="6">
        <v>1100.0</v>
      </c>
    </row>
    <row r="9">
      <c r="A9" s="6">
        <v>5.081006014E9</v>
      </c>
      <c r="B9" s="6" t="s">
        <v>2643</v>
      </c>
      <c r="C9" s="6" t="s">
        <v>2644</v>
      </c>
      <c r="D9" s="6">
        <v>500.0</v>
      </c>
      <c r="E9" s="6" t="s">
        <v>2565</v>
      </c>
      <c r="F9" s="6" t="s">
        <v>2645</v>
      </c>
      <c r="G9" s="6" t="s">
        <v>2646</v>
      </c>
      <c r="H9" s="6">
        <v>20.0</v>
      </c>
      <c r="I9" s="6" t="s">
        <v>2568</v>
      </c>
      <c r="J9" s="147">
        <v>3121200.0</v>
      </c>
      <c r="K9" s="6"/>
      <c r="L9" s="6" t="s">
        <v>2648</v>
      </c>
      <c r="M9" s="6" t="s">
        <v>2649</v>
      </c>
      <c r="N9" s="6">
        <v>1111.0</v>
      </c>
      <c r="O9" s="6" t="s">
        <v>2650</v>
      </c>
      <c r="P9" s="6" t="s">
        <v>2573</v>
      </c>
      <c r="R9" s="6">
        <v>0.16144</v>
      </c>
      <c r="S9" s="6" t="s">
        <v>1934</v>
      </c>
      <c r="T9" s="6" t="s">
        <v>1544</v>
      </c>
      <c r="U9" s="6" t="s">
        <v>114</v>
      </c>
      <c r="V9" s="6" t="s">
        <v>114</v>
      </c>
      <c r="W9" s="6" t="s">
        <v>1782</v>
      </c>
      <c r="X9" s="6" t="s">
        <v>1935</v>
      </c>
      <c r="Y9" s="47">
        <v>45919.0</v>
      </c>
      <c r="Z9" s="6" t="s">
        <v>1615</v>
      </c>
      <c r="AA9" s="6"/>
      <c r="AB9" s="6" t="s">
        <v>203</v>
      </c>
      <c r="AC9" s="6"/>
      <c r="AD9" s="6" t="s">
        <v>92</v>
      </c>
      <c r="AE9" s="6"/>
      <c r="AF9" s="6"/>
      <c r="AG9" s="6">
        <v>20.0</v>
      </c>
      <c r="AH9" s="6">
        <v>20.0</v>
      </c>
      <c r="AI9" s="6">
        <f t="shared" si="1"/>
        <v>1</v>
      </c>
      <c r="AJ9" s="148">
        <f t="shared" si="2"/>
        <v>3121200</v>
      </c>
      <c r="AK9" s="6"/>
      <c r="AL9" s="6"/>
      <c r="AU9" s="25">
        <v>3000.0</v>
      </c>
      <c r="AV9" s="25"/>
      <c r="AW9" s="25"/>
      <c r="BA9" s="6">
        <v>1111.0</v>
      </c>
    </row>
    <row r="10">
      <c r="A10" s="6">
        <v>5.136019023E9</v>
      </c>
      <c r="B10" s="6" t="s">
        <v>2652</v>
      </c>
      <c r="C10" s="6" t="s">
        <v>2653</v>
      </c>
      <c r="D10" s="6">
        <v>2600.0</v>
      </c>
      <c r="E10" s="6" t="s">
        <v>2654</v>
      </c>
      <c r="F10" s="6" t="s">
        <v>2655</v>
      </c>
      <c r="G10" s="6" t="s">
        <v>2656</v>
      </c>
      <c r="H10" s="6">
        <v>0.0</v>
      </c>
      <c r="I10" s="6" t="s">
        <v>2568</v>
      </c>
      <c r="J10" s="147">
        <v>1019592.0</v>
      </c>
      <c r="K10" s="6"/>
      <c r="L10" s="6" t="s">
        <v>2657</v>
      </c>
      <c r="M10" s="6" t="s">
        <v>2658</v>
      </c>
      <c r="N10" s="6">
        <v>1136.0</v>
      </c>
      <c r="O10" s="6" t="s">
        <v>2659</v>
      </c>
      <c r="P10" s="6" t="s">
        <v>2573</v>
      </c>
      <c r="R10" s="6">
        <v>0.21521</v>
      </c>
      <c r="S10" s="6" t="s">
        <v>1867</v>
      </c>
      <c r="T10" s="6" t="s">
        <v>108</v>
      </c>
      <c r="U10" s="6" t="s">
        <v>114</v>
      </c>
      <c r="V10" s="6" t="s">
        <v>114</v>
      </c>
      <c r="W10" s="6" t="s">
        <v>192</v>
      </c>
      <c r="X10" s="6" t="s">
        <v>194</v>
      </c>
      <c r="Y10" s="150">
        <v>45121.0</v>
      </c>
      <c r="Z10" s="6" t="s">
        <v>201</v>
      </c>
      <c r="AA10" s="6"/>
      <c r="AB10" s="6" t="s">
        <v>203</v>
      </c>
      <c r="AC10" s="6"/>
      <c r="AD10" s="6"/>
      <c r="AE10" s="150"/>
      <c r="AF10" s="6"/>
      <c r="AG10" s="6">
        <v>24.0</v>
      </c>
      <c r="AH10" s="6">
        <v>24.0</v>
      </c>
      <c r="AI10" s="6">
        <f t="shared" si="1"/>
        <v>1</v>
      </c>
      <c r="AJ10" s="148">
        <f t="shared" si="2"/>
        <v>1019592</v>
      </c>
      <c r="AK10" s="6"/>
      <c r="AL10" s="6" t="s">
        <v>474</v>
      </c>
      <c r="AM10" s="6"/>
      <c r="AN10" s="6"/>
      <c r="AU10" s="25">
        <v>3600.0</v>
      </c>
      <c r="AV10" s="25"/>
      <c r="AW10" s="25"/>
      <c r="BA10" s="6">
        <v>1136.0</v>
      </c>
    </row>
    <row r="11">
      <c r="A11" s="6">
        <v>3.1342061E7</v>
      </c>
      <c r="B11" s="6" t="s">
        <v>2661</v>
      </c>
      <c r="C11" s="6" t="s">
        <v>2662</v>
      </c>
      <c r="D11" s="6">
        <v>4.0</v>
      </c>
      <c r="E11" s="6" t="s">
        <v>2663</v>
      </c>
      <c r="F11" s="6" t="s">
        <v>2635</v>
      </c>
      <c r="G11" s="6" t="s">
        <v>2665</v>
      </c>
      <c r="H11" s="6">
        <v>148.0</v>
      </c>
      <c r="I11" s="6" t="s">
        <v>2666</v>
      </c>
      <c r="J11" s="147">
        <v>6.9205847E7</v>
      </c>
      <c r="K11" s="6"/>
      <c r="L11" s="6" t="s">
        <v>2667</v>
      </c>
      <c r="M11" s="6" t="s">
        <v>2669</v>
      </c>
      <c r="N11" s="6">
        <v>1180.0</v>
      </c>
      <c r="O11" s="6" t="s">
        <v>2671</v>
      </c>
      <c r="P11" s="6" t="s">
        <v>2672</v>
      </c>
      <c r="Q11" s="6">
        <v>4.91</v>
      </c>
      <c r="R11" s="6">
        <v>5.23451</v>
      </c>
      <c r="S11" s="6" t="s">
        <v>2673</v>
      </c>
      <c r="T11" s="6" t="s">
        <v>2224</v>
      </c>
      <c r="U11" s="6" t="s">
        <v>158</v>
      </c>
      <c r="V11" s="6" t="s">
        <v>129</v>
      </c>
      <c r="W11" s="6"/>
      <c r="X11" s="6"/>
      <c r="Y11" s="47">
        <v>45982.0</v>
      </c>
      <c r="Z11" s="6" t="s">
        <v>1425</v>
      </c>
      <c r="AA11" s="6"/>
      <c r="AB11" s="6" t="s">
        <v>1063</v>
      </c>
      <c r="AC11" s="6"/>
      <c r="AD11" s="6" t="s">
        <v>92</v>
      </c>
      <c r="AE11" s="6"/>
      <c r="AF11" s="6"/>
      <c r="AG11" s="6">
        <v>148.0</v>
      </c>
      <c r="AH11" s="6">
        <v>148.0</v>
      </c>
      <c r="AI11" s="6">
        <f t="shared" si="1"/>
        <v>1</v>
      </c>
      <c r="AJ11" s="148">
        <f t="shared" si="2"/>
        <v>69205847</v>
      </c>
      <c r="AK11" s="6"/>
      <c r="AL11" s="6"/>
      <c r="AU11" s="25">
        <v>22200.0</v>
      </c>
      <c r="AV11" s="25"/>
      <c r="AW11" s="25"/>
      <c r="BA11" s="6">
        <v>1180.0</v>
      </c>
    </row>
    <row r="12">
      <c r="A12" s="6">
        <v>2.850190033E13</v>
      </c>
      <c r="B12" s="6" t="s">
        <v>2676</v>
      </c>
      <c r="C12" s="6" t="s">
        <v>838</v>
      </c>
      <c r="D12" s="6" t="s">
        <v>2677</v>
      </c>
      <c r="E12" s="6"/>
      <c r="F12" s="6" t="s">
        <v>2678</v>
      </c>
      <c r="G12" s="6" t="s">
        <v>2679</v>
      </c>
      <c r="H12" s="6">
        <v>63.0</v>
      </c>
      <c r="I12" s="6" t="s">
        <v>2680</v>
      </c>
      <c r="J12" s="147">
        <v>1.511181E7</v>
      </c>
      <c r="K12" s="6"/>
      <c r="L12" s="6" t="s">
        <v>2681</v>
      </c>
      <c r="M12" s="6" t="s">
        <v>2682</v>
      </c>
      <c r="N12" s="6">
        <v>1201.0</v>
      </c>
      <c r="O12" s="6" t="s">
        <v>2683</v>
      </c>
      <c r="P12" s="6" t="s">
        <v>2684</v>
      </c>
      <c r="R12" s="6">
        <v>2.95695</v>
      </c>
      <c r="S12" s="6" t="s">
        <v>981</v>
      </c>
      <c r="T12" s="6" t="s">
        <v>980</v>
      </c>
      <c r="U12" s="6" t="s">
        <v>694</v>
      </c>
      <c r="V12" s="6" t="s">
        <v>120</v>
      </c>
      <c r="W12" s="6" t="s">
        <v>192</v>
      </c>
      <c r="X12" s="6" t="s">
        <v>985</v>
      </c>
      <c r="Y12" s="47">
        <v>45597.0</v>
      </c>
      <c r="Z12" s="6" t="s">
        <v>986</v>
      </c>
      <c r="AA12" s="6"/>
      <c r="AB12" s="6" t="s">
        <v>987</v>
      </c>
      <c r="AC12" s="6"/>
      <c r="AD12" s="6" t="s">
        <v>92</v>
      </c>
      <c r="AE12" s="6"/>
      <c r="AF12" s="6"/>
      <c r="AG12" s="6">
        <v>63.0</v>
      </c>
      <c r="AH12" s="6">
        <v>62.0</v>
      </c>
      <c r="AI12" s="6">
        <f t="shared" si="1"/>
        <v>0.9841269841</v>
      </c>
      <c r="AJ12" s="148">
        <f t="shared" si="2"/>
        <v>14871940</v>
      </c>
      <c r="AK12" s="6"/>
      <c r="AL12" s="6"/>
      <c r="AU12" s="25">
        <v>9300.0</v>
      </c>
      <c r="AV12" s="25"/>
      <c r="AW12" s="25"/>
      <c r="BA12" s="6">
        <v>1201.0</v>
      </c>
    </row>
    <row r="13">
      <c r="A13" s="6">
        <v>5.208245E7</v>
      </c>
      <c r="B13" s="6" t="s">
        <v>2688</v>
      </c>
      <c r="C13" s="6" t="s">
        <v>1195</v>
      </c>
      <c r="D13" s="6" t="s">
        <v>2689</v>
      </c>
      <c r="E13" s="6"/>
      <c r="F13" s="6" t="s">
        <v>2691</v>
      </c>
      <c r="G13" s="6" t="s">
        <v>2692</v>
      </c>
      <c r="H13" s="6">
        <v>66.0</v>
      </c>
      <c r="I13" s="6" t="s">
        <v>2694</v>
      </c>
      <c r="J13" s="147">
        <v>3.20153947</v>
      </c>
      <c r="K13" s="6"/>
      <c r="L13" s="6" t="s">
        <v>2695</v>
      </c>
      <c r="M13" s="6" t="s">
        <v>2696</v>
      </c>
      <c r="N13" s="6">
        <v>1212.0</v>
      </c>
      <c r="O13" s="6" t="s">
        <v>2697</v>
      </c>
      <c r="P13" s="6" t="s">
        <v>2698</v>
      </c>
      <c r="R13" s="6">
        <v>1.05333</v>
      </c>
      <c r="S13" s="6" t="s">
        <v>1213</v>
      </c>
      <c r="T13" s="6" t="s">
        <v>1212</v>
      </c>
      <c r="U13" s="6" t="s">
        <v>240</v>
      </c>
      <c r="V13" s="6" t="s">
        <v>124</v>
      </c>
      <c r="W13" s="6" t="s">
        <v>1119</v>
      </c>
      <c r="X13" s="6" t="s">
        <v>1214</v>
      </c>
      <c r="Y13" s="47">
        <v>45772.0</v>
      </c>
      <c r="Z13" s="6" t="s">
        <v>391</v>
      </c>
      <c r="AA13" s="6"/>
      <c r="AB13" s="6" t="s">
        <v>938</v>
      </c>
      <c r="AC13" s="6"/>
      <c r="AD13" s="6"/>
      <c r="AE13" s="47"/>
      <c r="AF13" s="47">
        <v>45631.0</v>
      </c>
      <c r="AG13" s="6">
        <v>112.0</v>
      </c>
      <c r="AH13" s="6">
        <v>112.0</v>
      </c>
      <c r="AI13" s="6">
        <f t="shared" si="1"/>
        <v>1</v>
      </c>
      <c r="AJ13" s="148">
        <f t="shared" si="2"/>
        <v>3.20153947</v>
      </c>
      <c r="AK13" s="6"/>
      <c r="AL13" s="6"/>
      <c r="AM13" s="117" t="s">
        <v>1220</v>
      </c>
      <c r="AN13" s="6" t="s">
        <v>2700</v>
      </c>
      <c r="AO13" s="6"/>
      <c r="AP13" s="6"/>
      <c r="AQ13" s="117" t="s">
        <v>2702</v>
      </c>
      <c r="AR13" s="6"/>
      <c r="AS13" s="6"/>
      <c r="AU13" s="25">
        <v>16800.0</v>
      </c>
      <c r="AV13" s="25"/>
      <c r="AW13" s="46">
        <v>276343.7</v>
      </c>
      <c r="AX13" s="6">
        <v>2025.0</v>
      </c>
      <c r="AY13" s="6"/>
      <c r="AZ13" s="6"/>
      <c r="BA13" s="6">
        <v>1212.0</v>
      </c>
    </row>
    <row r="14">
      <c r="A14" s="6">
        <v>2.321001019E9</v>
      </c>
      <c r="B14" s="6" t="s">
        <v>2704</v>
      </c>
      <c r="C14" s="6" t="s">
        <v>2705</v>
      </c>
      <c r="D14" s="6">
        <v>501.0</v>
      </c>
      <c r="E14" s="6" t="s">
        <v>2565</v>
      </c>
      <c r="F14" s="6" t="s">
        <v>2566</v>
      </c>
      <c r="G14" s="6" t="s">
        <v>2567</v>
      </c>
      <c r="H14" s="6">
        <v>236.0</v>
      </c>
      <c r="I14" s="6" t="s">
        <v>2568</v>
      </c>
      <c r="J14" s="147">
        <v>3.3410613E7</v>
      </c>
      <c r="K14" s="6"/>
      <c r="L14" s="6" t="s">
        <v>2706</v>
      </c>
      <c r="M14" s="6" t="s">
        <v>2707</v>
      </c>
      <c r="N14" s="6">
        <v>12300.0</v>
      </c>
      <c r="O14" s="6" t="s">
        <v>2708</v>
      </c>
      <c r="P14" s="6" t="s">
        <v>2573</v>
      </c>
      <c r="R14" s="6">
        <v>4.49406</v>
      </c>
      <c r="S14" s="6" t="s">
        <v>886</v>
      </c>
      <c r="T14" s="6" t="s">
        <v>714</v>
      </c>
      <c r="U14" s="6" t="s">
        <v>114</v>
      </c>
      <c r="V14" s="6" t="s">
        <v>114</v>
      </c>
      <c r="W14" s="6" t="s">
        <v>192</v>
      </c>
      <c r="X14" s="6" t="s">
        <v>887</v>
      </c>
      <c r="Y14" s="47">
        <v>45555.0</v>
      </c>
      <c r="Z14" s="6" t="s">
        <v>559</v>
      </c>
      <c r="AA14" s="6"/>
      <c r="AB14" s="6" t="s">
        <v>560</v>
      </c>
      <c r="AC14" s="6"/>
      <c r="AD14" s="6" t="s">
        <v>92</v>
      </c>
      <c r="AE14" s="6"/>
      <c r="AF14" s="6"/>
      <c r="AG14" s="6">
        <v>236.0</v>
      </c>
      <c r="AH14" s="6">
        <v>236.0</v>
      </c>
      <c r="AI14" s="6">
        <f t="shared" si="1"/>
        <v>1</v>
      </c>
      <c r="AJ14" s="148">
        <f t="shared" si="2"/>
        <v>33410613</v>
      </c>
      <c r="AK14" s="6">
        <v>1965.0</v>
      </c>
      <c r="AL14" s="6"/>
      <c r="AM14" s="6"/>
      <c r="AU14" s="25">
        <v>35400.0</v>
      </c>
      <c r="AV14" s="25"/>
      <c r="AW14" s="25"/>
      <c r="BA14" s="6">
        <v>12300.0</v>
      </c>
    </row>
    <row r="15">
      <c r="A15" s="6">
        <v>1.2918108E7</v>
      </c>
      <c r="B15" s="6" t="s">
        <v>2709</v>
      </c>
      <c r="C15" s="6" t="s">
        <v>1144</v>
      </c>
      <c r="D15" s="6">
        <v>2.0</v>
      </c>
      <c r="E15" s="6"/>
      <c r="F15" s="6" t="s">
        <v>2710</v>
      </c>
      <c r="G15" s="6" t="s">
        <v>2711</v>
      </c>
      <c r="H15" s="6">
        <v>168.0</v>
      </c>
      <c r="I15" s="6" t="s">
        <v>2568</v>
      </c>
      <c r="J15" s="147">
        <v>4.3059034E7</v>
      </c>
      <c r="K15" s="6"/>
      <c r="L15" s="6" t="s">
        <v>2712</v>
      </c>
      <c r="M15" s="6" t="s">
        <v>2713</v>
      </c>
      <c r="N15" s="6">
        <v>1250.0</v>
      </c>
      <c r="O15" s="6" t="s">
        <v>2715</v>
      </c>
      <c r="P15" s="6" t="s">
        <v>2640</v>
      </c>
      <c r="R15" s="6">
        <v>5.21546</v>
      </c>
      <c r="S15" s="6" t="s">
        <v>1159</v>
      </c>
      <c r="T15" s="6" t="s">
        <v>1158</v>
      </c>
      <c r="U15" s="6" t="s">
        <v>128</v>
      </c>
      <c r="V15" s="6" t="s">
        <v>119</v>
      </c>
      <c r="W15" s="6" t="s">
        <v>1119</v>
      </c>
      <c r="X15" s="6" t="s">
        <v>1160</v>
      </c>
      <c r="Y15" s="47">
        <v>45730.0</v>
      </c>
      <c r="Z15" s="6" t="s">
        <v>1162</v>
      </c>
      <c r="AA15" s="6"/>
      <c r="AB15" s="6" t="s">
        <v>203</v>
      </c>
      <c r="AC15" s="6"/>
      <c r="AD15" s="6"/>
      <c r="AE15" s="47"/>
      <c r="AF15" s="6"/>
      <c r="AG15" s="6">
        <v>169.0</v>
      </c>
      <c r="AH15" s="6">
        <v>68.0</v>
      </c>
      <c r="AI15" s="6">
        <f t="shared" si="1"/>
        <v>0.4023668639</v>
      </c>
      <c r="AJ15" s="148">
        <f t="shared" si="2"/>
        <v>17325528.47</v>
      </c>
      <c r="AK15" s="6"/>
      <c r="AL15" s="6"/>
      <c r="AU15" s="25">
        <v>10200.0</v>
      </c>
      <c r="AV15" s="25"/>
      <c r="AW15" s="25"/>
      <c r="BA15" s="6">
        <v>1250.0</v>
      </c>
    </row>
    <row r="16">
      <c r="A16" s="6">
        <v>8.9082034E10</v>
      </c>
      <c r="B16" s="6" t="s">
        <v>2716</v>
      </c>
      <c r="C16" s="6" t="s">
        <v>2717</v>
      </c>
      <c r="D16" s="6">
        <v>49.0</v>
      </c>
      <c r="E16" s="6" t="s">
        <v>2718</v>
      </c>
      <c r="F16" s="6" t="s">
        <v>2719</v>
      </c>
      <c r="G16" s="6" t="s">
        <v>2720</v>
      </c>
      <c r="H16" s="6">
        <v>37.0</v>
      </c>
      <c r="I16" s="6" t="s">
        <v>2721</v>
      </c>
      <c r="J16" s="147">
        <v>1.0140095E7</v>
      </c>
      <c r="K16" s="6"/>
      <c r="L16" s="6" t="s">
        <v>2722</v>
      </c>
      <c r="M16" s="6" t="s">
        <v>2723</v>
      </c>
      <c r="N16" s="6">
        <v>1260.0</v>
      </c>
      <c r="O16" s="6" t="s">
        <v>2724</v>
      </c>
      <c r="P16" s="6" t="s">
        <v>2725</v>
      </c>
      <c r="Q16" s="6">
        <v>2.0</v>
      </c>
      <c r="R16" s="6">
        <v>1.97197</v>
      </c>
      <c r="S16" s="6" t="s">
        <v>2134</v>
      </c>
      <c r="T16" s="6" t="s">
        <v>2133</v>
      </c>
      <c r="U16" s="6" t="s">
        <v>132</v>
      </c>
      <c r="V16" s="6" t="s">
        <v>140</v>
      </c>
      <c r="W16" s="6" t="s">
        <v>192</v>
      </c>
      <c r="X16" s="6" t="s">
        <v>2136</v>
      </c>
      <c r="Y16" s="47">
        <v>45940.0</v>
      </c>
      <c r="Z16" s="6" t="s">
        <v>2138</v>
      </c>
      <c r="AA16" s="6"/>
      <c r="AB16" s="6" t="s">
        <v>2139</v>
      </c>
      <c r="AC16" s="6"/>
      <c r="AD16" s="6" t="s">
        <v>92</v>
      </c>
      <c r="AE16" s="6"/>
      <c r="AF16" s="6"/>
      <c r="AG16" s="6">
        <v>37.0</v>
      </c>
      <c r="AH16" s="6">
        <v>37.0</v>
      </c>
      <c r="AI16" s="6">
        <f t="shared" si="1"/>
        <v>1</v>
      </c>
      <c r="AJ16" s="148">
        <f t="shared" si="2"/>
        <v>10140095</v>
      </c>
      <c r="AK16" s="6"/>
      <c r="AL16" s="6"/>
      <c r="AU16" s="25">
        <v>5550.0</v>
      </c>
      <c r="AV16" s="25"/>
      <c r="AW16" s="25"/>
      <c r="BA16" s="6">
        <v>1260.0</v>
      </c>
    </row>
    <row r="17">
      <c r="A17" s="6">
        <v>5.518013024E9</v>
      </c>
      <c r="B17" s="6" t="s">
        <v>2726</v>
      </c>
      <c r="C17" s="6" t="s">
        <v>2727</v>
      </c>
      <c r="D17" s="6">
        <v>500.0</v>
      </c>
      <c r="E17" s="6" t="s">
        <v>2565</v>
      </c>
      <c r="F17" s="6" t="s">
        <v>2566</v>
      </c>
      <c r="G17" s="6" t="s">
        <v>2567</v>
      </c>
      <c r="H17" s="6">
        <v>30.0</v>
      </c>
      <c r="I17" s="6" t="s">
        <v>2568</v>
      </c>
      <c r="J17" s="147">
        <v>1.3742642E7</v>
      </c>
      <c r="K17" s="6"/>
      <c r="L17" s="6" t="s">
        <v>2728</v>
      </c>
      <c r="M17" s="6" t="s">
        <v>2729</v>
      </c>
      <c r="N17" s="6">
        <v>130.0</v>
      </c>
      <c r="O17" s="6" t="s">
        <v>2730</v>
      </c>
      <c r="P17" s="6" t="s">
        <v>2573</v>
      </c>
      <c r="R17" s="6">
        <v>0.55033</v>
      </c>
      <c r="S17" s="6" t="s">
        <v>2164</v>
      </c>
      <c r="T17" s="6" t="s">
        <v>1686</v>
      </c>
      <c r="U17" s="6" t="s">
        <v>114</v>
      </c>
      <c r="V17" s="6" t="s">
        <v>114</v>
      </c>
      <c r="W17" s="6" t="s">
        <v>192</v>
      </c>
      <c r="X17" s="6" t="s">
        <v>2193</v>
      </c>
      <c r="Y17" s="47">
        <v>45940.0</v>
      </c>
      <c r="Z17" s="6" t="s">
        <v>1615</v>
      </c>
      <c r="AA17" s="6"/>
      <c r="AB17" s="6" t="s">
        <v>203</v>
      </c>
      <c r="AC17" s="6"/>
      <c r="AD17" s="6" t="s">
        <v>92</v>
      </c>
      <c r="AE17" s="6"/>
      <c r="AF17" s="6"/>
      <c r="AG17" s="6">
        <v>30.0</v>
      </c>
      <c r="AH17" s="6">
        <v>30.0</v>
      </c>
      <c r="AI17" s="6">
        <f t="shared" si="1"/>
        <v>1</v>
      </c>
      <c r="AJ17" s="148">
        <f t="shared" si="2"/>
        <v>13742642</v>
      </c>
      <c r="AK17" s="6"/>
      <c r="AL17" s="6"/>
      <c r="AU17" s="25">
        <v>4500.0</v>
      </c>
      <c r="AV17" s="25"/>
      <c r="AW17" s="25"/>
      <c r="BA17" s="6">
        <v>130.0</v>
      </c>
    </row>
    <row r="18">
      <c r="A18" s="6">
        <v>4.291019006E9</v>
      </c>
      <c r="B18" s="6" t="s">
        <v>2733</v>
      </c>
      <c r="C18" s="6" t="s">
        <v>2734</v>
      </c>
      <c r="D18" s="6">
        <v>1210.0</v>
      </c>
      <c r="E18" s="6" t="s">
        <v>2735</v>
      </c>
      <c r="F18" s="6" t="s">
        <v>2736</v>
      </c>
      <c r="G18" s="6" t="s">
        <v>2737</v>
      </c>
      <c r="H18" s="6">
        <v>28.0</v>
      </c>
      <c r="I18" s="6" t="s">
        <v>2568</v>
      </c>
      <c r="J18" s="147">
        <v>5022833.0</v>
      </c>
      <c r="K18" s="6"/>
      <c r="L18" s="6" t="s">
        <v>2738</v>
      </c>
      <c r="M18" s="6" t="s">
        <v>2739</v>
      </c>
      <c r="N18" s="6">
        <v>1422.0</v>
      </c>
      <c r="O18" s="6" t="s">
        <v>2740</v>
      </c>
      <c r="P18" s="6" t="s">
        <v>2573</v>
      </c>
      <c r="R18" s="6">
        <v>0.17217</v>
      </c>
      <c r="S18" s="6" t="s">
        <v>716</v>
      </c>
      <c r="T18" s="6" t="s">
        <v>452</v>
      </c>
      <c r="U18" s="6" t="s">
        <v>717</v>
      </c>
      <c r="V18" s="6" t="s">
        <v>114</v>
      </c>
      <c r="W18" s="6" t="s">
        <v>192</v>
      </c>
      <c r="X18" s="6" t="s">
        <v>718</v>
      </c>
      <c r="Y18" s="47">
        <v>45513.0</v>
      </c>
      <c r="Z18" s="6" t="s">
        <v>719</v>
      </c>
      <c r="AA18" s="6"/>
      <c r="AB18" s="6" t="s">
        <v>203</v>
      </c>
      <c r="AC18" s="117" t="s">
        <v>728</v>
      </c>
      <c r="AD18" s="6" t="s">
        <v>92</v>
      </c>
      <c r="AE18" s="25">
        <v>1.717E7</v>
      </c>
      <c r="AF18" s="42">
        <v>45547.0</v>
      </c>
      <c r="AG18" s="6">
        <v>52.0</v>
      </c>
      <c r="AH18" s="6">
        <v>32.0</v>
      </c>
      <c r="AI18" s="6">
        <f t="shared" si="1"/>
        <v>0.6153846154</v>
      </c>
      <c r="AJ18" s="148">
        <f t="shared" si="2"/>
        <v>3090974.154</v>
      </c>
      <c r="AK18" s="6">
        <v>1997.0</v>
      </c>
      <c r="AL18" s="6" t="s">
        <v>474</v>
      </c>
      <c r="AM18" s="6"/>
      <c r="AN18" s="6">
        <v>4.291019006E9</v>
      </c>
      <c r="AO18" s="6">
        <v>4.291019007E9</v>
      </c>
      <c r="AP18" s="6"/>
      <c r="AQ18" s="6"/>
      <c r="AU18" s="25">
        <v>4800.0</v>
      </c>
      <c r="AV18" s="25"/>
      <c r="AW18" s="25"/>
      <c r="BA18" s="6">
        <v>1422.0</v>
      </c>
    </row>
    <row r="19">
      <c r="A19" s="6">
        <v>4.291020005E9</v>
      </c>
      <c r="B19" s="6" t="s">
        <v>2743</v>
      </c>
      <c r="C19" s="6" t="s">
        <v>2744</v>
      </c>
      <c r="D19" s="6">
        <v>500.0</v>
      </c>
      <c r="E19" s="6" t="s">
        <v>2565</v>
      </c>
      <c r="F19" s="6" t="s">
        <v>2745</v>
      </c>
      <c r="G19" s="6" t="s">
        <v>2746</v>
      </c>
      <c r="H19" s="6">
        <v>28.0</v>
      </c>
      <c r="I19" s="6" t="s">
        <v>2568</v>
      </c>
      <c r="J19" s="147">
        <v>5022833.0</v>
      </c>
      <c r="K19" s="6"/>
      <c r="L19" s="6" t="s">
        <v>2747</v>
      </c>
      <c r="M19" s="6" t="s">
        <v>2748</v>
      </c>
      <c r="N19" s="6">
        <v>1422.0</v>
      </c>
      <c r="O19" s="6" t="s">
        <v>2749</v>
      </c>
      <c r="P19" s="6" t="s">
        <v>2573</v>
      </c>
      <c r="R19" s="6">
        <v>0.17165</v>
      </c>
      <c r="S19" s="6" t="s">
        <v>739</v>
      </c>
      <c r="T19" s="6" t="s">
        <v>471</v>
      </c>
      <c r="U19" s="6" t="s">
        <v>717</v>
      </c>
      <c r="V19" s="6" t="s">
        <v>114</v>
      </c>
      <c r="W19" s="6" t="s">
        <v>192</v>
      </c>
      <c r="X19" s="6" t="s">
        <v>742</v>
      </c>
      <c r="Y19" s="47">
        <v>45513.0</v>
      </c>
      <c r="Z19" s="6" t="s">
        <v>719</v>
      </c>
      <c r="AA19" s="6"/>
      <c r="AB19" s="6" t="s">
        <v>203</v>
      </c>
      <c r="AC19" s="6"/>
      <c r="AD19" s="6"/>
      <c r="AE19" s="47"/>
      <c r="AF19" s="6"/>
      <c r="AG19" s="6">
        <v>72.0</v>
      </c>
      <c r="AH19" s="6">
        <v>49.0</v>
      </c>
      <c r="AI19" s="6">
        <f t="shared" si="1"/>
        <v>0.6805555556</v>
      </c>
      <c r="AJ19" s="148">
        <f t="shared" si="2"/>
        <v>3418316.903</v>
      </c>
      <c r="AK19" s="6"/>
      <c r="AL19" s="6" t="s">
        <v>474</v>
      </c>
      <c r="AM19" s="6"/>
      <c r="AN19" s="6"/>
      <c r="AU19" s="25">
        <v>7350.0</v>
      </c>
      <c r="AV19" s="25"/>
      <c r="AW19" s="25"/>
      <c r="BA19" s="6">
        <v>1422.0</v>
      </c>
    </row>
    <row r="20">
      <c r="A20" s="6">
        <v>4.291020019E9</v>
      </c>
      <c r="B20" s="6" t="s">
        <v>2752</v>
      </c>
      <c r="C20" s="6" t="s">
        <v>2753</v>
      </c>
      <c r="D20" s="6">
        <v>500.0</v>
      </c>
      <c r="E20" s="6" t="s">
        <v>2565</v>
      </c>
      <c r="F20" s="6" t="s">
        <v>2745</v>
      </c>
      <c r="G20" s="6" t="s">
        <v>2746</v>
      </c>
      <c r="H20" s="6">
        <v>24.0</v>
      </c>
      <c r="I20" s="6" t="s">
        <v>2568</v>
      </c>
      <c r="J20" s="147">
        <v>4290695.0</v>
      </c>
      <c r="K20" s="6"/>
      <c r="L20" s="6" t="s">
        <v>2754</v>
      </c>
      <c r="M20" s="6" t="s">
        <v>2748</v>
      </c>
      <c r="N20" s="6">
        <v>1423.0</v>
      </c>
      <c r="O20" s="6" t="s">
        <v>2740</v>
      </c>
      <c r="P20" s="6" t="s">
        <v>2573</v>
      </c>
      <c r="R20" s="6">
        <v>0.17268</v>
      </c>
      <c r="S20" s="6" t="s">
        <v>771</v>
      </c>
      <c r="T20" s="6" t="s">
        <v>493</v>
      </c>
      <c r="U20" s="6" t="s">
        <v>717</v>
      </c>
      <c r="V20" s="6" t="s">
        <v>114</v>
      </c>
      <c r="W20" s="6" t="s">
        <v>192</v>
      </c>
      <c r="X20" s="6" t="s">
        <v>772</v>
      </c>
      <c r="Y20" s="47">
        <v>45513.0</v>
      </c>
      <c r="Z20" s="6" t="s">
        <v>719</v>
      </c>
      <c r="AA20" s="6"/>
      <c r="AB20" s="6" t="s">
        <v>203</v>
      </c>
      <c r="AC20" s="6"/>
      <c r="AD20" s="6"/>
      <c r="AE20" s="47"/>
      <c r="AF20" s="6"/>
      <c r="AG20" s="6">
        <v>48.0</v>
      </c>
      <c r="AH20" s="6">
        <v>29.0</v>
      </c>
      <c r="AI20" s="6">
        <f t="shared" si="1"/>
        <v>0.6041666667</v>
      </c>
      <c r="AJ20" s="148">
        <f t="shared" si="2"/>
        <v>2592294.896</v>
      </c>
      <c r="AK20" s="6"/>
      <c r="AL20" s="6" t="s">
        <v>474</v>
      </c>
      <c r="AM20" s="6"/>
      <c r="AN20" s="6"/>
      <c r="AU20" s="25">
        <v>4350.0</v>
      </c>
      <c r="AV20" s="25"/>
      <c r="AW20" s="25"/>
      <c r="BA20" s="6">
        <v>1423.0</v>
      </c>
    </row>
    <row r="21">
      <c r="A21" s="6">
        <v>4.291024007E9</v>
      </c>
      <c r="B21" s="6" t="s">
        <v>2755</v>
      </c>
      <c r="C21" s="6" t="s">
        <v>2756</v>
      </c>
      <c r="D21" s="6">
        <v>550.0</v>
      </c>
      <c r="E21" s="6" t="s">
        <v>2565</v>
      </c>
      <c r="F21" s="6" t="s">
        <v>2736</v>
      </c>
      <c r="G21" s="6" t="s">
        <v>2737</v>
      </c>
      <c r="H21" s="6">
        <v>26.0</v>
      </c>
      <c r="I21" s="6" t="s">
        <v>2568</v>
      </c>
      <c r="J21" s="147">
        <v>4530218.0</v>
      </c>
      <c r="K21" s="6"/>
      <c r="L21" s="6" t="s">
        <v>2757</v>
      </c>
      <c r="M21" s="6" t="s">
        <v>2748</v>
      </c>
      <c r="N21" s="6">
        <v>1522.0</v>
      </c>
      <c r="O21" s="6" t="s">
        <v>2740</v>
      </c>
      <c r="P21" s="6" t="s">
        <v>2573</v>
      </c>
      <c r="R21" s="6">
        <v>0.17185</v>
      </c>
      <c r="S21" s="6" t="s">
        <v>792</v>
      </c>
      <c r="T21" s="6" t="s">
        <v>507</v>
      </c>
      <c r="U21" s="6" t="s">
        <v>717</v>
      </c>
      <c r="V21" s="6" t="s">
        <v>114</v>
      </c>
      <c r="W21" s="6" t="s">
        <v>192</v>
      </c>
      <c r="X21" s="6" t="s">
        <v>793</v>
      </c>
      <c r="Y21" s="47">
        <v>45513.0</v>
      </c>
      <c r="Z21" s="6" t="s">
        <v>719</v>
      </c>
      <c r="AA21" s="6"/>
      <c r="AB21" s="6" t="s">
        <v>203</v>
      </c>
      <c r="AC21" s="6"/>
      <c r="AD21" s="6"/>
      <c r="AE21" s="47"/>
      <c r="AF21" s="6"/>
      <c r="AG21" s="6">
        <v>26.0</v>
      </c>
      <c r="AH21" s="6">
        <v>25.0</v>
      </c>
      <c r="AI21" s="6">
        <f t="shared" si="1"/>
        <v>0.9615384615</v>
      </c>
      <c r="AJ21" s="148">
        <f t="shared" si="2"/>
        <v>4355978.846</v>
      </c>
      <c r="AK21" s="6">
        <v>2004.0</v>
      </c>
      <c r="AL21" s="6" t="s">
        <v>474</v>
      </c>
      <c r="AM21" s="6"/>
      <c r="AN21" s="6">
        <v>4.291024007E9</v>
      </c>
      <c r="AO21" s="6"/>
      <c r="AP21" s="6"/>
      <c r="AR21" s="30">
        <v>4363959.0</v>
      </c>
      <c r="AS21" s="30">
        <v>871160.0</v>
      </c>
      <c r="AT21" s="30"/>
      <c r="AU21" s="25">
        <v>3750.0</v>
      </c>
      <c r="AV21" s="25"/>
      <c r="AW21" s="25"/>
      <c r="BA21" s="6">
        <v>1522.0</v>
      </c>
    </row>
    <row r="22">
      <c r="A22" s="6">
        <v>4.291022015E9</v>
      </c>
      <c r="B22" s="6" t="s">
        <v>2758</v>
      </c>
      <c r="C22" s="6" t="s">
        <v>2759</v>
      </c>
      <c r="D22" s="6">
        <v>540.0</v>
      </c>
      <c r="E22" s="6" t="s">
        <v>2565</v>
      </c>
      <c r="F22" s="6" t="s">
        <v>2736</v>
      </c>
      <c r="G22" s="6" t="s">
        <v>2737</v>
      </c>
      <c r="H22" s="6">
        <v>36.0</v>
      </c>
      <c r="I22" s="6" t="s">
        <v>2568</v>
      </c>
      <c r="J22" s="147">
        <v>4620825.0</v>
      </c>
      <c r="K22" s="6"/>
      <c r="L22" s="6" t="s">
        <v>2760</v>
      </c>
      <c r="M22" s="6" t="s">
        <v>2748</v>
      </c>
      <c r="N22" s="6">
        <v>1537.0</v>
      </c>
      <c r="O22" s="6" t="s">
        <v>2749</v>
      </c>
      <c r="P22" s="6" t="s">
        <v>2573</v>
      </c>
      <c r="R22" s="6">
        <v>0.17212</v>
      </c>
      <c r="S22" s="6" t="s">
        <v>800</v>
      </c>
      <c r="T22" s="6" t="s">
        <v>516</v>
      </c>
      <c r="U22" s="6" t="s">
        <v>717</v>
      </c>
      <c r="V22" s="6" t="s">
        <v>114</v>
      </c>
      <c r="W22" s="6" t="s">
        <v>192</v>
      </c>
      <c r="X22" s="6" t="s">
        <v>801</v>
      </c>
      <c r="Y22" s="47">
        <v>45513.0</v>
      </c>
      <c r="Z22" s="6" t="s">
        <v>719</v>
      </c>
      <c r="AA22" s="6"/>
      <c r="AB22" s="6" t="s">
        <v>203</v>
      </c>
      <c r="AC22" s="6"/>
      <c r="AD22" s="6"/>
      <c r="AE22" s="25">
        <v>5390000.0</v>
      </c>
      <c r="AF22" s="47">
        <v>45547.0</v>
      </c>
      <c r="AG22" s="6">
        <v>26.0</v>
      </c>
      <c r="AH22" s="6">
        <v>25.0</v>
      </c>
      <c r="AI22" s="6">
        <f t="shared" si="1"/>
        <v>0.9615384615</v>
      </c>
      <c r="AJ22" s="148">
        <f t="shared" si="2"/>
        <v>4443100.962</v>
      </c>
      <c r="AK22" s="6"/>
      <c r="AL22" s="6" t="s">
        <v>474</v>
      </c>
      <c r="AM22" s="6"/>
      <c r="AN22" s="6">
        <v>4.291022015E9</v>
      </c>
      <c r="AO22" s="6"/>
      <c r="AP22" s="6"/>
      <c r="AR22" s="30">
        <v>4469095.0</v>
      </c>
      <c r="AS22" s="30">
        <v>532780.0</v>
      </c>
      <c r="AT22" s="30"/>
      <c r="AU22" s="25">
        <v>3750.0</v>
      </c>
      <c r="AV22" s="25"/>
      <c r="AW22" s="25"/>
      <c r="BA22" s="6">
        <v>1537.0</v>
      </c>
    </row>
    <row r="23">
      <c r="A23" s="6">
        <v>2.5404108E7</v>
      </c>
      <c r="B23" s="6" t="s">
        <v>2763</v>
      </c>
      <c r="C23" s="6" t="s">
        <v>2764</v>
      </c>
      <c r="D23" s="6">
        <v>4.0</v>
      </c>
      <c r="E23" s="6" t="s">
        <v>2663</v>
      </c>
      <c r="F23" s="6" t="s">
        <v>2765</v>
      </c>
      <c r="G23" s="6" t="s">
        <v>2766</v>
      </c>
      <c r="H23" s="6">
        <v>230.0</v>
      </c>
      <c r="I23" s="6" t="s">
        <v>2666</v>
      </c>
      <c r="J23" s="147">
        <v>1.10842508E8</v>
      </c>
      <c r="K23" s="6"/>
      <c r="L23" s="6" t="s">
        <v>2767</v>
      </c>
      <c r="M23" s="6" t="s">
        <v>2768</v>
      </c>
      <c r="N23" s="6">
        <v>1700.0</v>
      </c>
      <c r="O23" s="6" t="s">
        <v>2769</v>
      </c>
      <c r="P23" s="6" t="s">
        <v>2672</v>
      </c>
      <c r="Q23" s="6">
        <v>2.86</v>
      </c>
      <c r="R23" s="6">
        <v>2.81564</v>
      </c>
      <c r="S23" s="6" t="s">
        <v>1425</v>
      </c>
      <c r="T23" s="6" t="s">
        <v>766</v>
      </c>
      <c r="U23" s="6" t="s">
        <v>155</v>
      </c>
      <c r="V23" s="6" t="s">
        <v>129</v>
      </c>
      <c r="W23" s="6" t="s">
        <v>1119</v>
      </c>
      <c r="X23" s="6" t="s">
        <v>1426</v>
      </c>
      <c r="Y23" s="47">
        <v>45856.0</v>
      </c>
      <c r="Z23" s="6" t="s">
        <v>623</v>
      </c>
      <c r="AA23" s="6"/>
      <c r="AB23" s="6" t="s">
        <v>1063</v>
      </c>
      <c r="AC23" s="6"/>
      <c r="AD23" s="6"/>
      <c r="AE23" s="47"/>
      <c r="AF23" s="47">
        <v>45903.0</v>
      </c>
      <c r="AG23" s="6">
        <v>230.0</v>
      </c>
      <c r="AH23" s="6">
        <v>230.0</v>
      </c>
      <c r="AI23" s="6">
        <f t="shared" si="1"/>
        <v>1</v>
      </c>
      <c r="AJ23" s="148">
        <f t="shared" si="2"/>
        <v>110842508</v>
      </c>
      <c r="AK23" s="6"/>
      <c r="AL23" s="6"/>
      <c r="AN23" s="6" t="s">
        <v>2770</v>
      </c>
      <c r="AO23" s="6"/>
      <c r="AP23" s="6"/>
      <c r="AU23" s="25">
        <v>34500.0</v>
      </c>
      <c r="AV23" s="25"/>
      <c r="AW23" s="25"/>
      <c r="BA23" s="6">
        <v>1700.0</v>
      </c>
    </row>
    <row r="24">
      <c r="A24" s="6">
        <v>4.262018026E9</v>
      </c>
      <c r="B24" s="6" t="s">
        <v>1373</v>
      </c>
      <c r="C24" s="6" t="s">
        <v>2771</v>
      </c>
      <c r="D24" s="6">
        <v>300.0</v>
      </c>
      <c r="E24" s="6" t="s">
        <v>2772</v>
      </c>
      <c r="F24" s="6" t="s">
        <v>2773</v>
      </c>
      <c r="G24" s="6" t="s">
        <v>2774</v>
      </c>
      <c r="H24" s="6">
        <v>3.0</v>
      </c>
      <c r="I24" s="6" t="s">
        <v>2568</v>
      </c>
      <c r="J24" s="147">
        <v>1883105.0</v>
      </c>
      <c r="K24" s="6"/>
      <c r="L24" s="6" t="s">
        <v>2775</v>
      </c>
      <c r="M24" s="6" t="s">
        <v>2776</v>
      </c>
      <c r="N24" s="6">
        <v>1734.0</v>
      </c>
      <c r="O24" s="6" t="s">
        <v>2777</v>
      </c>
      <c r="P24" s="6" t="s">
        <v>2573</v>
      </c>
      <c r="R24" s="6">
        <v>0.16967</v>
      </c>
      <c r="S24" s="6" t="s">
        <v>1683</v>
      </c>
      <c r="T24" s="6" t="s">
        <v>1376</v>
      </c>
      <c r="U24" s="6" t="s">
        <v>114</v>
      </c>
      <c r="V24" s="6" t="s">
        <v>114</v>
      </c>
      <c r="W24" s="6" t="s">
        <v>1119</v>
      </c>
      <c r="X24" s="6" t="s">
        <v>1687</v>
      </c>
      <c r="Y24" s="47">
        <v>45898.0</v>
      </c>
      <c r="Z24" s="6" t="s">
        <v>1690</v>
      </c>
      <c r="AA24" s="6"/>
      <c r="AB24" s="6" t="s">
        <v>90</v>
      </c>
      <c r="AC24" s="6"/>
      <c r="AD24" s="6" t="s">
        <v>474</v>
      </c>
      <c r="AE24" s="6"/>
      <c r="AF24" s="6"/>
      <c r="AG24" s="6">
        <v>53.0</v>
      </c>
      <c r="AH24" s="6">
        <v>53.0</v>
      </c>
      <c r="AI24" s="6">
        <f t="shared" si="1"/>
        <v>1</v>
      </c>
      <c r="AJ24" s="148">
        <f t="shared" si="2"/>
        <v>1883105</v>
      </c>
      <c r="AK24" s="6"/>
      <c r="AL24" s="6"/>
      <c r="AU24" s="25">
        <v>7800.0</v>
      </c>
      <c r="AV24" s="6" t="s">
        <v>474</v>
      </c>
      <c r="AW24" s="6"/>
      <c r="AX24" s="6"/>
      <c r="BA24" s="6">
        <v>1734.0</v>
      </c>
    </row>
    <row r="25">
      <c r="A25" s="6">
        <v>1.0435147E9</v>
      </c>
      <c r="B25" s="6" t="s">
        <v>2781</v>
      </c>
      <c r="C25" s="6" t="s">
        <v>354</v>
      </c>
      <c r="D25" s="6">
        <v>9101.0</v>
      </c>
      <c r="E25" s="6" t="s">
        <v>2782</v>
      </c>
      <c r="F25" s="6" t="s">
        <v>2783</v>
      </c>
      <c r="G25" s="6" t="s">
        <v>2784</v>
      </c>
      <c r="H25" s="6">
        <v>107.0</v>
      </c>
      <c r="I25" s="6" t="s">
        <v>2666</v>
      </c>
      <c r="J25" s="147">
        <v>3.246048E7</v>
      </c>
      <c r="K25" s="6"/>
      <c r="L25" s="6" t="s">
        <v>2785</v>
      </c>
      <c r="M25" s="6" t="s">
        <v>2786</v>
      </c>
      <c r="N25" s="6">
        <v>1735.0</v>
      </c>
      <c r="O25" s="6" t="s">
        <v>2787</v>
      </c>
      <c r="P25" s="6" t="s">
        <v>2788</v>
      </c>
      <c r="Q25" s="6">
        <v>2.71</v>
      </c>
      <c r="R25" s="6">
        <v>2.79466</v>
      </c>
      <c r="S25" s="6" t="s">
        <v>570</v>
      </c>
      <c r="T25" s="6" t="s">
        <v>569</v>
      </c>
      <c r="U25" s="6" t="s">
        <v>122</v>
      </c>
      <c r="V25" s="6" t="s">
        <v>122</v>
      </c>
      <c r="W25" s="6" t="s">
        <v>192</v>
      </c>
      <c r="X25" s="6" t="s">
        <v>571</v>
      </c>
      <c r="Y25" s="47">
        <v>45450.0</v>
      </c>
      <c r="Z25" s="6" t="s">
        <v>573</v>
      </c>
      <c r="AA25" s="6" t="s">
        <v>574</v>
      </c>
      <c r="AB25" s="6" t="s">
        <v>574</v>
      </c>
      <c r="AC25" s="6"/>
      <c r="AD25" s="6"/>
      <c r="AE25" s="6"/>
      <c r="AF25" s="6"/>
      <c r="AG25" s="6">
        <v>103.0</v>
      </c>
      <c r="AH25" s="6">
        <v>102.0</v>
      </c>
      <c r="AI25" s="6">
        <f t="shared" si="1"/>
        <v>0.9902912621</v>
      </c>
      <c r="AJ25" s="148">
        <f t="shared" si="2"/>
        <v>32145329.71</v>
      </c>
      <c r="AK25" s="6">
        <v>2021.0</v>
      </c>
      <c r="AL25" s="6"/>
      <c r="AM25" s="6"/>
      <c r="AU25" s="25">
        <v>15300.0</v>
      </c>
      <c r="AV25" s="25"/>
      <c r="AW25" s="25"/>
      <c r="BA25" s="6">
        <v>1735.0</v>
      </c>
    </row>
    <row r="26">
      <c r="A26" s="6">
        <v>4.262016011E9</v>
      </c>
      <c r="B26" s="6" t="s">
        <v>2792</v>
      </c>
      <c r="C26" s="6" t="s">
        <v>2793</v>
      </c>
      <c r="D26" s="6">
        <v>300.0</v>
      </c>
      <c r="E26" s="6" t="s">
        <v>2772</v>
      </c>
      <c r="F26" s="6" t="s">
        <v>2615</v>
      </c>
      <c r="G26" s="6" t="s">
        <v>2592</v>
      </c>
      <c r="H26" s="6">
        <v>3.0</v>
      </c>
      <c r="I26" s="6" t="s">
        <v>2568</v>
      </c>
      <c r="J26" s="147">
        <v>2175258.0</v>
      </c>
      <c r="K26" s="6"/>
      <c r="L26" s="6" t="s">
        <v>2794</v>
      </c>
      <c r="M26" s="6" t="s">
        <v>2776</v>
      </c>
      <c r="N26" s="6">
        <v>1747.0</v>
      </c>
      <c r="O26" s="6" t="s">
        <v>2796</v>
      </c>
      <c r="P26" s="6" t="s">
        <v>2573</v>
      </c>
      <c r="R26" s="6">
        <v>0.16902</v>
      </c>
      <c r="S26" s="6" t="s">
        <v>1769</v>
      </c>
      <c r="T26" s="6" t="s">
        <v>1399</v>
      </c>
      <c r="U26" s="6" t="s">
        <v>114</v>
      </c>
      <c r="V26" s="6" t="s">
        <v>114</v>
      </c>
      <c r="W26" s="6" t="s">
        <v>1119</v>
      </c>
      <c r="X26" s="6" t="s">
        <v>1773</v>
      </c>
      <c r="Y26" s="47">
        <v>45898.0</v>
      </c>
      <c r="Z26" s="6" t="s">
        <v>1690</v>
      </c>
      <c r="AA26" s="6"/>
      <c r="AB26" s="6" t="s">
        <v>90</v>
      </c>
      <c r="AC26" s="6"/>
      <c r="AD26" s="6" t="s">
        <v>474</v>
      </c>
      <c r="AE26" s="6"/>
      <c r="AF26" s="6"/>
      <c r="AG26" s="6">
        <v>53.0</v>
      </c>
      <c r="AH26" s="6">
        <v>52.0</v>
      </c>
      <c r="AI26" s="6">
        <f t="shared" si="1"/>
        <v>0.9811320755</v>
      </c>
      <c r="AJ26" s="148">
        <f t="shared" si="2"/>
        <v>2134215.396</v>
      </c>
      <c r="AK26" s="6"/>
      <c r="AL26" s="6"/>
      <c r="AU26" s="25">
        <v>7800.0</v>
      </c>
      <c r="AV26" s="25"/>
      <c r="AW26" s="25"/>
      <c r="BA26" s="6">
        <v>1747.0</v>
      </c>
    </row>
    <row r="27">
      <c r="A27" s="6">
        <v>2.119001222E9</v>
      </c>
      <c r="B27" s="6" t="s">
        <v>2799</v>
      </c>
      <c r="C27" s="6" t="s">
        <v>2800</v>
      </c>
      <c r="D27" s="6">
        <v>501.0</v>
      </c>
      <c r="E27" s="6" t="s">
        <v>2565</v>
      </c>
      <c r="F27" s="6" t="s">
        <v>2801</v>
      </c>
      <c r="G27" s="6" t="s">
        <v>2592</v>
      </c>
      <c r="H27" s="6">
        <v>52.0</v>
      </c>
      <c r="I27" s="6" t="s">
        <v>2568</v>
      </c>
      <c r="J27" s="147">
        <v>1.6626E7</v>
      </c>
      <c r="K27" s="6"/>
      <c r="L27" s="6" t="s">
        <v>2802</v>
      </c>
      <c r="M27" s="6" t="s">
        <v>2803</v>
      </c>
      <c r="N27" s="6">
        <v>18325.0</v>
      </c>
      <c r="O27" s="6" t="s">
        <v>2804</v>
      </c>
      <c r="P27" s="6" t="s">
        <v>2573</v>
      </c>
      <c r="R27" s="6">
        <v>1.39432</v>
      </c>
      <c r="S27" s="6" t="s">
        <v>583</v>
      </c>
      <c r="T27" s="6" t="s">
        <v>398</v>
      </c>
      <c r="U27" s="6" t="s">
        <v>114</v>
      </c>
      <c r="V27" s="6" t="s">
        <v>114</v>
      </c>
      <c r="W27" s="6" t="s">
        <v>192</v>
      </c>
      <c r="X27" s="6" t="s">
        <v>592</v>
      </c>
      <c r="Y27" s="47">
        <v>45450.0</v>
      </c>
      <c r="Z27" s="6" t="s">
        <v>586</v>
      </c>
      <c r="AA27" s="6"/>
      <c r="AB27" s="6" t="s">
        <v>587</v>
      </c>
      <c r="AC27" s="6"/>
      <c r="AD27" s="6"/>
      <c r="AE27" s="42">
        <v>45456.0</v>
      </c>
      <c r="AF27" s="25">
        <v>1.63E7</v>
      </c>
      <c r="AG27" s="6">
        <v>52.0</v>
      </c>
      <c r="AH27" s="6">
        <v>52.0</v>
      </c>
      <c r="AI27" s="6">
        <f t="shared" si="1"/>
        <v>1</v>
      </c>
      <c r="AJ27" s="148">
        <f t="shared" si="2"/>
        <v>16626000</v>
      </c>
      <c r="AK27" s="6"/>
      <c r="AL27" s="6"/>
      <c r="AN27" s="6">
        <v>2.119001222E9</v>
      </c>
      <c r="AO27" s="6"/>
      <c r="AP27" s="6"/>
      <c r="AR27" s="30">
        <v>1.0060677E7</v>
      </c>
      <c r="AS27" s="30"/>
      <c r="AT27" s="30"/>
      <c r="AU27" s="25">
        <v>7800.0</v>
      </c>
      <c r="AV27" s="25"/>
      <c r="AW27" s="25"/>
      <c r="BA27" s="6">
        <v>18325.0</v>
      </c>
    </row>
    <row r="28">
      <c r="A28" s="6">
        <v>2.125017014E9</v>
      </c>
      <c r="B28" s="6" t="s">
        <v>2807</v>
      </c>
      <c r="C28" s="6" t="s">
        <v>2808</v>
      </c>
      <c r="D28" s="6">
        <v>100.0</v>
      </c>
      <c r="E28" s="6" t="s">
        <v>2614</v>
      </c>
      <c r="F28" s="6" t="s">
        <v>2809</v>
      </c>
      <c r="G28" s="6" t="s">
        <v>2810</v>
      </c>
      <c r="H28" s="6">
        <v>1.0</v>
      </c>
      <c r="I28" s="6" t="s">
        <v>2568</v>
      </c>
      <c r="J28" s="147">
        <v>943500.0</v>
      </c>
      <c r="K28" s="6"/>
      <c r="L28" s="6" t="s">
        <v>2811</v>
      </c>
      <c r="M28" s="6" t="s">
        <v>2812</v>
      </c>
      <c r="N28" s="6">
        <v>18337.0</v>
      </c>
      <c r="O28" s="6" t="s">
        <v>2813</v>
      </c>
      <c r="P28" s="6" t="s">
        <v>2573</v>
      </c>
      <c r="R28" s="6">
        <v>0.21164</v>
      </c>
      <c r="S28" s="6" t="s">
        <v>2198</v>
      </c>
      <c r="T28" s="6" t="s">
        <v>1827</v>
      </c>
      <c r="U28" s="6" t="s">
        <v>114</v>
      </c>
      <c r="V28" s="6" t="s">
        <v>114</v>
      </c>
      <c r="W28" s="6"/>
      <c r="X28" s="6"/>
      <c r="Y28" s="47">
        <v>45982.0</v>
      </c>
      <c r="Z28" s="6" t="s">
        <v>1588</v>
      </c>
      <c r="AA28" s="6"/>
      <c r="AB28" s="6" t="s">
        <v>951</v>
      </c>
      <c r="AC28" s="6"/>
      <c r="AD28" s="6" t="s">
        <v>474</v>
      </c>
      <c r="AE28" s="6"/>
      <c r="AF28" s="6"/>
      <c r="AG28" s="6">
        <v>42.0</v>
      </c>
      <c r="AH28" s="6">
        <v>41.0</v>
      </c>
      <c r="AI28" s="6">
        <f t="shared" si="1"/>
        <v>0.9761904762</v>
      </c>
      <c r="AJ28" s="148">
        <f t="shared" si="2"/>
        <v>921035.7143</v>
      </c>
      <c r="AK28" s="6"/>
      <c r="AL28" s="6"/>
      <c r="AU28" s="25">
        <v>6150.0</v>
      </c>
      <c r="AV28" s="25"/>
      <c r="AW28" s="25"/>
      <c r="BA28" s="6">
        <v>18337.0</v>
      </c>
    </row>
    <row r="29">
      <c r="A29" s="6">
        <v>8.630009026E9</v>
      </c>
      <c r="B29" s="6" t="s">
        <v>2818</v>
      </c>
      <c r="C29" s="6" t="s">
        <v>2819</v>
      </c>
      <c r="D29" s="6">
        <v>501.0</v>
      </c>
      <c r="E29" s="6" t="s">
        <v>2565</v>
      </c>
      <c r="F29" s="6" t="s">
        <v>2820</v>
      </c>
      <c r="G29" s="6" t="s">
        <v>2821</v>
      </c>
      <c r="H29" s="6">
        <v>82.0</v>
      </c>
      <c r="I29" s="6" t="s">
        <v>2568</v>
      </c>
      <c r="J29" s="147">
        <v>2.1864168E7</v>
      </c>
      <c r="K29" s="6"/>
      <c r="L29" s="6" t="s">
        <v>2822</v>
      </c>
      <c r="M29" s="6" t="s">
        <v>2823</v>
      </c>
      <c r="N29" s="6">
        <v>18615.0</v>
      </c>
      <c r="O29" s="6" t="s">
        <v>2824</v>
      </c>
      <c r="P29" s="6" t="s">
        <v>2573</v>
      </c>
      <c r="R29" s="6">
        <v>3.21037</v>
      </c>
      <c r="S29" s="6" t="s">
        <v>1401</v>
      </c>
      <c r="T29" s="6" t="s">
        <v>871</v>
      </c>
      <c r="U29" s="6" t="s">
        <v>1402</v>
      </c>
      <c r="V29" s="6" t="s">
        <v>114</v>
      </c>
      <c r="W29" s="6" t="s">
        <v>1119</v>
      </c>
      <c r="X29" s="6" t="s">
        <v>1403</v>
      </c>
      <c r="Y29" s="47">
        <v>45856.0</v>
      </c>
      <c r="Z29" s="6" t="s">
        <v>1410</v>
      </c>
      <c r="AA29" s="6"/>
      <c r="AB29" s="6" t="s">
        <v>90</v>
      </c>
      <c r="AC29" s="6"/>
      <c r="AD29" s="6" t="s">
        <v>92</v>
      </c>
      <c r="AE29" s="6"/>
      <c r="AF29" s="6"/>
      <c r="AG29" s="6">
        <v>84.0</v>
      </c>
      <c r="AH29" s="6">
        <v>84.0</v>
      </c>
      <c r="AI29" s="6">
        <f t="shared" si="1"/>
        <v>1</v>
      </c>
      <c r="AJ29" s="148">
        <f t="shared" si="2"/>
        <v>21864168</v>
      </c>
      <c r="AK29" s="6"/>
      <c r="AL29" s="6"/>
      <c r="AU29" s="25">
        <v>12600.0</v>
      </c>
      <c r="AV29" s="25"/>
      <c r="AW29" s="25"/>
      <c r="BA29" s="6">
        <v>18615.0</v>
      </c>
    </row>
    <row r="30">
      <c r="A30" s="6">
        <v>5.518020021E9</v>
      </c>
      <c r="B30" s="6" t="s">
        <v>2826</v>
      </c>
      <c r="C30" s="6" t="s">
        <v>2827</v>
      </c>
      <c r="D30" s="6">
        <v>500.0</v>
      </c>
      <c r="E30" s="6" t="s">
        <v>2565</v>
      </c>
      <c r="F30" s="6" t="s">
        <v>2566</v>
      </c>
      <c r="G30" s="6" t="s">
        <v>2567</v>
      </c>
      <c r="H30" s="6">
        <v>48.0</v>
      </c>
      <c r="I30" s="6" t="s">
        <v>2568</v>
      </c>
      <c r="J30" s="147">
        <v>9200673.0</v>
      </c>
      <c r="K30" s="6"/>
      <c r="L30" s="6" t="s">
        <v>2828</v>
      </c>
      <c r="M30" s="6" t="s">
        <v>2571</v>
      </c>
      <c r="N30" s="6">
        <v>200.0</v>
      </c>
      <c r="O30" s="6" t="s">
        <v>2829</v>
      </c>
      <c r="P30" s="6" t="s">
        <v>2573</v>
      </c>
      <c r="R30" s="6">
        <v>0.19015</v>
      </c>
      <c r="S30" s="6" t="s">
        <v>2169</v>
      </c>
      <c r="T30" s="6" t="s">
        <v>857</v>
      </c>
      <c r="U30" s="6" t="s">
        <v>114</v>
      </c>
      <c r="V30" s="6" t="s">
        <v>114</v>
      </c>
      <c r="W30" s="6" t="s">
        <v>192</v>
      </c>
      <c r="X30" s="6" t="s">
        <v>2261</v>
      </c>
      <c r="Y30" s="47">
        <v>45940.0</v>
      </c>
      <c r="Z30" s="6" t="s">
        <v>1615</v>
      </c>
      <c r="AA30" s="6"/>
      <c r="AB30" s="6" t="s">
        <v>203</v>
      </c>
      <c r="AC30" s="6"/>
      <c r="AD30" s="6" t="s">
        <v>92</v>
      </c>
      <c r="AE30" s="6"/>
      <c r="AF30" s="6"/>
      <c r="AG30" s="6">
        <v>48.0</v>
      </c>
      <c r="AH30" s="6">
        <v>48.0</v>
      </c>
      <c r="AI30" s="6">
        <f t="shared" si="1"/>
        <v>1</v>
      </c>
      <c r="AJ30" s="148">
        <f t="shared" si="2"/>
        <v>9200673</v>
      </c>
      <c r="AK30" s="6"/>
      <c r="AL30" s="6"/>
      <c r="AU30" s="25">
        <v>7200.0</v>
      </c>
      <c r="AV30" s="25"/>
      <c r="AW30" s="25"/>
      <c r="BA30" s="6">
        <v>200.0</v>
      </c>
    </row>
    <row r="31">
      <c r="A31" s="6">
        <v>4.275024005E9</v>
      </c>
      <c r="B31" s="6" t="s">
        <v>2833</v>
      </c>
      <c r="C31" s="6" t="s">
        <v>2834</v>
      </c>
      <c r="D31" s="6">
        <v>500.0</v>
      </c>
      <c r="E31" s="6" t="s">
        <v>2565</v>
      </c>
      <c r="F31" s="6" t="s">
        <v>2835</v>
      </c>
      <c r="G31" s="6" t="s">
        <v>2836</v>
      </c>
      <c r="H31" s="6">
        <v>100.0</v>
      </c>
      <c r="I31" s="6" t="s">
        <v>2568</v>
      </c>
      <c r="J31" s="147">
        <v>8990000.0</v>
      </c>
      <c r="K31" s="6"/>
      <c r="L31" s="6" t="s">
        <v>2837</v>
      </c>
      <c r="M31" s="6" t="s">
        <v>2748</v>
      </c>
      <c r="N31" s="6">
        <v>2001.0</v>
      </c>
      <c r="O31" s="6" t="s">
        <v>2838</v>
      </c>
      <c r="P31" s="6" t="s">
        <v>2573</v>
      </c>
      <c r="R31" s="6">
        <v>0.16334</v>
      </c>
      <c r="S31" s="6" t="s">
        <v>806</v>
      </c>
      <c r="T31" s="6" t="s">
        <v>524</v>
      </c>
      <c r="U31" s="6" t="s">
        <v>717</v>
      </c>
      <c r="V31" s="6" t="s">
        <v>114</v>
      </c>
      <c r="W31" s="6" t="s">
        <v>192</v>
      </c>
      <c r="X31" s="6" t="s">
        <v>807</v>
      </c>
      <c r="Y31" s="47">
        <v>45513.0</v>
      </c>
      <c r="Z31" s="6" t="s">
        <v>719</v>
      </c>
      <c r="AA31" s="6"/>
      <c r="AB31" s="6" t="s">
        <v>203</v>
      </c>
      <c r="AC31" s="6"/>
      <c r="AD31" s="6"/>
      <c r="AE31" s="47"/>
      <c r="AF31" s="6"/>
      <c r="AG31" s="6">
        <v>165.0</v>
      </c>
      <c r="AH31" s="6">
        <v>98.0</v>
      </c>
      <c r="AI31" s="6">
        <f t="shared" si="1"/>
        <v>0.5939393939</v>
      </c>
      <c r="AJ31" s="148">
        <f t="shared" si="2"/>
        <v>5339515.152</v>
      </c>
      <c r="AK31" s="6">
        <v>2008.0</v>
      </c>
      <c r="AL31" s="6" t="s">
        <v>474</v>
      </c>
      <c r="AM31" s="6"/>
      <c r="AN31" s="6">
        <v>4.275024005E9</v>
      </c>
      <c r="AO31" s="6" t="s">
        <v>2839</v>
      </c>
      <c r="AP31" s="6"/>
      <c r="AQ31" s="6"/>
      <c r="AU31" s="25">
        <v>14700.0</v>
      </c>
      <c r="AV31" s="25"/>
      <c r="AW31" s="25"/>
      <c r="BA31" s="6">
        <v>2001.0</v>
      </c>
    </row>
    <row r="32">
      <c r="A32" s="6">
        <v>5.18301203E9</v>
      </c>
      <c r="B32" s="6" t="s">
        <v>2841</v>
      </c>
      <c r="C32" s="6" t="s">
        <v>2843</v>
      </c>
      <c r="D32" s="6">
        <v>500.0</v>
      </c>
      <c r="E32" s="6" t="s">
        <v>2565</v>
      </c>
      <c r="F32" s="6" t="s">
        <v>2844</v>
      </c>
      <c r="G32" s="6" t="s">
        <v>2845</v>
      </c>
      <c r="H32" s="6">
        <v>24.0</v>
      </c>
      <c r="I32" s="6" t="s">
        <v>2568</v>
      </c>
      <c r="J32" s="147">
        <v>4166030.0</v>
      </c>
      <c r="K32" s="6"/>
      <c r="L32" s="6" t="s">
        <v>2846</v>
      </c>
      <c r="M32" s="6" t="s">
        <v>2571</v>
      </c>
      <c r="N32" s="6">
        <v>2025.0</v>
      </c>
      <c r="O32" s="6" t="s">
        <v>2847</v>
      </c>
      <c r="P32" s="6" t="s">
        <v>2573</v>
      </c>
      <c r="R32" s="6">
        <v>0.15456</v>
      </c>
      <c r="S32" s="6" t="s">
        <v>1781</v>
      </c>
      <c r="T32" s="6" t="s">
        <v>1408</v>
      </c>
      <c r="U32" s="6" t="s">
        <v>114</v>
      </c>
      <c r="V32" s="6" t="s">
        <v>114</v>
      </c>
      <c r="W32" s="6" t="s">
        <v>1782</v>
      </c>
      <c r="X32" s="6" t="s">
        <v>1783</v>
      </c>
      <c r="Y32" s="47">
        <v>45919.0</v>
      </c>
      <c r="Z32" s="6" t="s">
        <v>1615</v>
      </c>
      <c r="AA32" s="6"/>
      <c r="AB32" s="6" t="s">
        <v>203</v>
      </c>
      <c r="AC32" s="6"/>
      <c r="AD32" s="6" t="s">
        <v>92</v>
      </c>
      <c r="AE32" s="6"/>
      <c r="AF32" s="6"/>
      <c r="AG32" s="6">
        <v>25.0</v>
      </c>
      <c r="AH32" s="6">
        <v>25.0</v>
      </c>
      <c r="AI32" s="6">
        <f t="shared" si="1"/>
        <v>1</v>
      </c>
      <c r="AJ32" s="148">
        <f t="shared" si="2"/>
        <v>4166030</v>
      </c>
      <c r="AK32" s="6"/>
      <c r="AL32" s="6"/>
      <c r="AU32" s="25">
        <v>3750.0</v>
      </c>
      <c r="AV32" s="25"/>
      <c r="AW32" s="25"/>
      <c r="BA32" s="6">
        <v>2025.0</v>
      </c>
    </row>
    <row r="33">
      <c r="A33" s="6">
        <v>5.183001017E9</v>
      </c>
      <c r="B33" s="6" t="s">
        <v>2848</v>
      </c>
      <c r="C33" s="6" t="s">
        <v>2849</v>
      </c>
      <c r="D33" s="6" t="s">
        <v>137</v>
      </c>
      <c r="E33" s="6" t="s">
        <v>2565</v>
      </c>
      <c r="F33" s="6" t="s">
        <v>2850</v>
      </c>
      <c r="G33" s="6" t="s">
        <v>2851</v>
      </c>
      <c r="H33" s="6">
        <v>0.0</v>
      </c>
      <c r="I33" s="6" t="s">
        <v>2568</v>
      </c>
      <c r="J33" s="147">
        <v>527950.0</v>
      </c>
      <c r="K33" s="6"/>
      <c r="L33" s="6" t="s">
        <v>2852</v>
      </c>
      <c r="M33" s="6" t="s">
        <v>2853</v>
      </c>
      <c r="N33" s="6">
        <v>2025.0</v>
      </c>
      <c r="O33" s="6" t="s">
        <v>2854</v>
      </c>
      <c r="P33" s="6" t="s">
        <v>2573</v>
      </c>
      <c r="R33" s="6">
        <v>0.13646</v>
      </c>
      <c r="S33" s="6" t="s">
        <v>257</v>
      </c>
      <c r="T33" s="6" t="s">
        <v>136</v>
      </c>
      <c r="U33" s="6" t="s">
        <v>114</v>
      </c>
      <c r="V33" s="6" t="s">
        <v>114</v>
      </c>
      <c r="W33" s="6" t="s">
        <v>192</v>
      </c>
      <c r="X33" s="6" t="s">
        <v>2855</v>
      </c>
      <c r="Y33" s="150">
        <v>45142.0</v>
      </c>
      <c r="Z33" s="6" t="s">
        <v>263</v>
      </c>
      <c r="AA33" s="6"/>
      <c r="AB33" s="6" t="s">
        <v>264</v>
      </c>
      <c r="AC33" s="6"/>
      <c r="AD33" s="6"/>
      <c r="AE33" s="150"/>
      <c r="AF33" s="6"/>
      <c r="AG33" s="6">
        <v>15.0</v>
      </c>
      <c r="AH33" s="6">
        <v>14.0</v>
      </c>
      <c r="AI33" s="6">
        <f t="shared" si="1"/>
        <v>0.9333333333</v>
      </c>
      <c r="AJ33" s="148">
        <f t="shared" si="2"/>
        <v>492753.3333</v>
      </c>
      <c r="AK33" s="6">
        <v>2023.0</v>
      </c>
      <c r="AL33" s="6"/>
      <c r="AM33" s="6"/>
      <c r="AN33" s="6">
        <v>5.183001017E9</v>
      </c>
      <c r="AO33" s="6"/>
      <c r="AP33" s="6"/>
      <c r="AU33" s="25">
        <v>2250.0</v>
      </c>
      <c r="AV33" s="25"/>
      <c r="AW33" s="25"/>
      <c r="BA33" s="6">
        <v>2025.0</v>
      </c>
    </row>
    <row r="34">
      <c r="A34" s="6">
        <v>5.517005016E9</v>
      </c>
      <c r="B34" s="6" t="s">
        <v>2858</v>
      </c>
      <c r="C34" s="6" t="s">
        <v>2859</v>
      </c>
      <c r="D34" s="6">
        <v>500.0</v>
      </c>
      <c r="E34" s="6" t="s">
        <v>2565</v>
      </c>
      <c r="F34" s="6" t="s">
        <v>2860</v>
      </c>
      <c r="G34" s="6" t="s">
        <v>2567</v>
      </c>
      <c r="H34" s="6">
        <v>32.0</v>
      </c>
      <c r="I34" s="6" t="s">
        <v>2568</v>
      </c>
      <c r="J34" s="147">
        <v>6452506.0</v>
      </c>
      <c r="K34" s="6"/>
      <c r="L34" s="6" t="s">
        <v>2862</v>
      </c>
      <c r="M34" s="6" t="s">
        <v>2571</v>
      </c>
      <c r="N34" s="6">
        <v>207.0</v>
      </c>
      <c r="O34" s="6" t="s">
        <v>2863</v>
      </c>
      <c r="P34" s="6" t="s">
        <v>2573</v>
      </c>
      <c r="R34" s="6">
        <v>0.16373</v>
      </c>
      <c r="S34" s="6" t="s">
        <v>2179</v>
      </c>
      <c r="T34" s="6" t="s">
        <v>1794</v>
      </c>
      <c r="U34" s="6" t="s">
        <v>114</v>
      </c>
      <c r="V34" s="6" t="s">
        <v>114</v>
      </c>
      <c r="W34" s="6" t="s">
        <v>192</v>
      </c>
      <c r="X34" s="6" t="s">
        <v>2459</v>
      </c>
      <c r="Y34" s="47">
        <v>45940.0</v>
      </c>
      <c r="Z34" s="6" t="s">
        <v>1615</v>
      </c>
      <c r="AA34" s="6"/>
      <c r="AB34" s="6" t="s">
        <v>203</v>
      </c>
      <c r="AC34" s="6"/>
      <c r="AD34" s="6" t="s">
        <v>92</v>
      </c>
      <c r="AE34" s="6"/>
      <c r="AF34" s="6"/>
      <c r="AG34" s="6">
        <v>32.0</v>
      </c>
      <c r="AH34" s="6">
        <v>32.0</v>
      </c>
      <c r="AI34" s="6">
        <f t="shared" si="1"/>
        <v>1</v>
      </c>
      <c r="AJ34" s="148">
        <f t="shared" si="2"/>
        <v>6452506</v>
      </c>
      <c r="AK34" s="6"/>
      <c r="AL34" s="6"/>
      <c r="AU34" s="25">
        <v>4800.0</v>
      </c>
      <c r="AV34" s="25"/>
      <c r="AW34" s="25"/>
      <c r="BA34" s="6">
        <v>207.0</v>
      </c>
    </row>
    <row r="35">
      <c r="A35" s="6">
        <v>5.501013028E9</v>
      </c>
      <c r="B35" s="6" t="s">
        <v>2865</v>
      </c>
      <c r="C35" s="6" t="s">
        <v>2866</v>
      </c>
      <c r="D35" s="6">
        <v>501.0</v>
      </c>
      <c r="E35" s="6" t="s">
        <v>2565</v>
      </c>
      <c r="F35" s="6" t="s">
        <v>2860</v>
      </c>
      <c r="G35" s="6" t="s">
        <v>2567</v>
      </c>
      <c r="H35" s="6">
        <v>687.0</v>
      </c>
      <c r="I35" s="6" t="s">
        <v>2568</v>
      </c>
      <c r="J35" s="147">
        <v>1.29082596E8</v>
      </c>
      <c r="K35" s="6"/>
      <c r="L35" s="6" t="s">
        <v>2870</v>
      </c>
      <c r="M35" s="6" t="s">
        <v>2871</v>
      </c>
      <c r="N35" s="6">
        <v>209.0</v>
      </c>
      <c r="O35" s="6" t="s">
        <v>2872</v>
      </c>
      <c r="P35" s="6" t="s">
        <v>2573</v>
      </c>
      <c r="R35" s="6">
        <v>8.42745</v>
      </c>
      <c r="S35" s="6" t="s">
        <v>1379</v>
      </c>
      <c r="T35" s="6" t="s">
        <v>1030</v>
      </c>
      <c r="U35" s="6" t="s">
        <v>114</v>
      </c>
      <c r="V35" s="6" t="s">
        <v>114</v>
      </c>
      <c r="W35" s="6" t="s">
        <v>1119</v>
      </c>
      <c r="X35" s="6" t="s">
        <v>1380</v>
      </c>
      <c r="Y35" s="47">
        <v>45835.0</v>
      </c>
      <c r="Z35" s="6" t="s">
        <v>1289</v>
      </c>
      <c r="AA35" s="6" t="s">
        <v>1288</v>
      </c>
      <c r="AB35" s="6" t="s">
        <v>1063</v>
      </c>
      <c r="AC35" s="6"/>
      <c r="AD35" s="6" t="s">
        <v>92</v>
      </c>
      <c r="AE35" s="6"/>
      <c r="AF35" s="6"/>
      <c r="AG35" s="6">
        <v>687.0</v>
      </c>
      <c r="AH35" s="6">
        <v>687.0</v>
      </c>
      <c r="AI35" s="6">
        <f t="shared" si="1"/>
        <v>1</v>
      </c>
      <c r="AJ35" s="148">
        <f t="shared" si="2"/>
        <v>129082596</v>
      </c>
      <c r="AK35" s="6"/>
      <c r="AL35" s="6"/>
      <c r="AU35" s="25">
        <v>74025.0</v>
      </c>
      <c r="AV35" s="25"/>
      <c r="AW35" s="25"/>
      <c r="BA35" s="6">
        <v>209.0</v>
      </c>
    </row>
    <row r="36">
      <c r="A36" s="6">
        <v>5.4731318E9</v>
      </c>
      <c r="B36" s="6" t="s">
        <v>2873</v>
      </c>
      <c r="C36" s="6" t="s">
        <v>831</v>
      </c>
      <c r="D36" s="6">
        <v>1200.0</v>
      </c>
      <c r="E36" s="6" t="s">
        <v>2874</v>
      </c>
      <c r="F36" s="6" t="s">
        <v>2875</v>
      </c>
      <c r="G36" s="6" t="s">
        <v>2876</v>
      </c>
      <c r="H36" s="6">
        <v>96.0</v>
      </c>
      <c r="I36" s="6" t="s">
        <v>2666</v>
      </c>
      <c r="J36" s="147">
        <v>5832864.0</v>
      </c>
      <c r="K36" s="6"/>
      <c r="L36" s="6" t="s">
        <v>2877</v>
      </c>
      <c r="M36" s="6" t="s">
        <v>2878</v>
      </c>
      <c r="N36" s="6">
        <v>220.0</v>
      </c>
      <c r="O36" s="6" t="s">
        <v>2879</v>
      </c>
      <c r="P36" s="6" t="s">
        <v>2788</v>
      </c>
      <c r="Q36" s="6">
        <v>5.01</v>
      </c>
      <c r="R36" s="6">
        <v>4.98621</v>
      </c>
      <c r="S36" s="6" t="s">
        <v>996</v>
      </c>
      <c r="T36" s="6" t="s">
        <v>995</v>
      </c>
      <c r="U36" s="6" t="s">
        <v>122</v>
      </c>
      <c r="V36" s="6" t="s">
        <v>122</v>
      </c>
      <c r="W36" s="6" t="s">
        <v>192</v>
      </c>
      <c r="X36" s="6" t="s">
        <v>997</v>
      </c>
      <c r="Y36" s="47">
        <v>45597.0</v>
      </c>
      <c r="Z36" s="6" t="s">
        <v>622</v>
      </c>
      <c r="AA36" s="6"/>
      <c r="AB36" s="6" t="s">
        <v>560</v>
      </c>
      <c r="AC36" s="6"/>
      <c r="AD36" s="6" t="s">
        <v>92</v>
      </c>
      <c r="AE36" s="6"/>
      <c r="AF36" s="6"/>
      <c r="AG36" s="6">
        <v>145.0</v>
      </c>
      <c r="AH36" s="6">
        <v>144.0</v>
      </c>
      <c r="AI36" s="6">
        <f t="shared" si="1"/>
        <v>0.9931034483</v>
      </c>
      <c r="AJ36" s="148">
        <f t="shared" si="2"/>
        <v>5792637.352</v>
      </c>
      <c r="AK36" s="6">
        <v>1984.0</v>
      </c>
      <c r="AL36" s="6"/>
      <c r="AM36" s="6"/>
      <c r="AU36" s="25">
        <v>21600.0</v>
      </c>
      <c r="AV36" s="25"/>
      <c r="AW36" s="25"/>
      <c r="BA36" s="6">
        <v>220.0</v>
      </c>
    </row>
    <row r="37">
      <c r="A37" s="6">
        <v>5.180001013E9</v>
      </c>
      <c r="B37" s="6" t="s">
        <v>2883</v>
      </c>
      <c r="C37" s="6" t="s">
        <v>2884</v>
      </c>
      <c r="D37" s="6" t="s">
        <v>1115</v>
      </c>
      <c r="E37" s="6" t="s">
        <v>2614</v>
      </c>
      <c r="F37" s="6" t="s">
        <v>2885</v>
      </c>
      <c r="G37" s="6" t="s">
        <v>2886</v>
      </c>
      <c r="H37" s="6">
        <v>0.0</v>
      </c>
      <c r="I37" s="6" t="s">
        <v>2568</v>
      </c>
      <c r="J37" s="147">
        <v>2509100.0</v>
      </c>
      <c r="K37" s="6"/>
      <c r="L37" s="6" t="s">
        <v>2887</v>
      </c>
      <c r="M37" s="6" t="s">
        <v>2853</v>
      </c>
      <c r="N37" s="6">
        <v>228.0</v>
      </c>
      <c r="O37" s="6" t="s">
        <v>2888</v>
      </c>
      <c r="P37" s="6" t="s">
        <v>2573</v>
      </c>
      <c r="R37" s="6">
        <v>0.19646</v>
      </c>
      <c r="S37" s="6" t="s">
        <v>959</v>
      </c>
      <c r="T37" s="6" t="s">
        <v>777</v>
      </c>
      <c r="U37" s="6" t="s">
        <v>114</v>
      </c>
      <c r="V37" s="6" t="s">
        <v>114</v>
      </c>
      <c r="W37" s="6" t="s">
        <v>192</v>
      </c>
      <c r="X37" s="6" t="s">
        <v>960</v>
      </c>
      <c r="Y37" s="47">
        <v>45576.0</v>
      </c>
      <c r="Z37" s="6" t="s">
        <v>263</v>
      </c>
      <c r="AA37" s="6"/>
      <c r="AB37" s="6" t="s">
        <v>961</v>
      </c>
      <c r="AC37" s="6"/>
      <c r="AD37" s="6" t="s">
        <v>474</v>
      </c>
      <c r="AE37" s="6"/>
      <c r="AF37" s="6"/>
      <c r="AG37" s="6">
        <v>41.0</v>
      </c>
      <c r="AH37" s="6">
        <v>40.0</v>
      </c>
      <c r="AI37" s="6">
        <f t="shared" si="1"/>
        <v>0.9756097561</v>
      </c>
      <c r="AJ37" s="148">
        <f t="shared" si="2"/>
        <v>2447902.439</v>
      </c>
      <c r="AK37" s="6"/>
      <c r="AL37" s="6"/>
      <c r="AU37" s="25">
        <v>6000.0</v>
      </c>
      <c r="AV37" s="25"/>
      <c r="AW37" s="25"/>
      <c r="BA37" s="6">
        <v>228.0</v>
      </c>
    </row>
    <row r="38">
      <c r="A38" s="6">
        <v>5.183013023E9</v>
      </c>
      <c r="B38" s="6" t="s">
        <v>2889</v>
      </c>
      <c r="C38" s="6" t="s">
        <v>2890</v>
      </c>
      <c r="D38" s="6"/>
      <c r="E38" s="6"/>
      <c r="F38" s="6" t="s">
        <v>2892</v>
      </c>
      <c r="G38" s="6" t="s">
        <v>2893</v>
      </c>
      <c r="H38" s="6"/>
      <c r="J38" s="149"/>
      <c r="N38" s="6">
        <v>2330.0</v>
      </c>
      <c r="O38" s="6" t="s">
        <v>2895</v>
      </c>
      <c r="P38" s="6" t="s">
        <v>2573</v>
      </c>
      <c r="R38" s="6">
        <v>0.19687</v>
      </c>
      <c r="S38" s="6" t="s">
        <v>832</v>
      </c>
      <c r="T38" s="6" t="s">
        <v>707</v>
      </c>
      <c r="U38" s="6" t="s">
        <v>114</v>
      </c>
      <c r="V38" s="6" t="s">
        <v>114</v>
      </c>
      <c r="W38" s="6" t="s">
        <v>192</v>
      </c>
      <c r="X38" s="6" t="s">
        <v>833</v>
      </c>
      <c r="Y38" s="47">
        <v>45534.0</v>
      </c>
      <c r="Z38" s="6" t="s">
        <v>834</v>
      </c>
      <c r="AA38" s="6"/>
      <c r="AB38" s="6" t="s">
        <v>835</v>
      </c>
      <c r="AC38" s="6"/>
      <c r="AD38" s="6" t="s">
        <v>474</v>
      </c>
      <c r="AE38" s="6"/>
      <c r="AF38" s="6"/>
      <c r="AG38" s="6">
        <v>53.0</v>
      </c>
      <c r="AH38" s="6">
        <v>53.0</v>
      </c>
      <c r="AI38" s="6">
        <f t="shared" si="1"/>
        <v>1</v>
      </c>
      <c r="AJ38" s="148">
        <f t="shared" si="2"/>
        <v>0</v>
      </c>
      <c r="AK38" s="6"/>
      <c r="AL38" s="6"/>
      <c r="AU38" s="25">
        <v>7950.0</v>
      </c>
      <c r="AV38" s="25"/>
      <c r="AW38" s="25"/>
      <c r="BA38" s="6">
        <v>2330.0</v>
      </c>
    </row>
    <row r="39">
      <c r="A39" s="6">
        <v>2.850210041E13</v>
      </c>
      <c r="B39" s="6" t="s">
        <v>2896</v>
      </c>
      <c r="C39" s="6" t="s">
        <v>1668</v>
      </c>
      <c r="D39" s="6" t="s">
        <v>2897</v>
      </c>
      <c r="E39" s="6"/>
      <c r="F39" s="6" t="s">
        <v>2678</v>
      </c>
      <c r="G39" s="6" t="s">
        <v>2679</v>
      </c>
      <c r="H39" s="6">
        <v>272.0</v>
      </c>
      <c r="I39" s="6" t="s">
        <v>2680</v>
      </c>
      <c r="J39" s="147">
        <v>5.1313873E7</v>
      </c>
      <c r="K39" s="6"/>
      <c r="L39" s="6" t="s">
        <v>2898</v>
      </c>
      <c r="M39" s="6" t="s">
        <v>2899</v>
      </c>
      <c r="N39" s="6">
        <v>2345.0</v>
      </c>
      <c r="O39" s="6" t="s">
        <v>2900</v>
      </c>
      <c r="P39" s="6" t="s">
        <v>2684</v>
      </c>
      <c r="R39" s="6">
        <v>9.1345</v>
      </c>
      <c r="S39" s="6" t="s">
        <v>2098</v>
      </c>
      <c r="T39" s="6" t="s">
        <v>929</v>
      </c>
      <c r="U39" s="6" t="s">
        <v>120</v>
      </c>
      <c r="V39" s="6" t="s">
        <v>120</v>
      </c>
      <c r="W39" s="6" t="s">
        <v>192</v>
      </c>
      <c r="X39" s="6" t="s">
        <v>2099</v>
      </c>
      <c r="Y39" s="47">
        <v>45940.0</v>
      </c>
      <c r="Z39" s="6" t="s">
        <v>2111</v>
      </c>
      <c r="AA39" s="6"/>
      <c r="AB39" s="6" t="s">
        <v>90</v>
      </c>
      <c r="AC39" s="6"/>
      <c r="AD39" s="6" t="s">
        <v>92</v>
      </c>
      <c r="AE39" s="6"/>
      <c r="AF39" s="6"/>
      <c r="AG39" s="6">
        <v>272.0</v>
      </c>
      <c r="AH39" s="6">
        <v>272.0</v>
      </c>
      <c r="AI39" s="6">
        <f t="shared" si="1"/>
        <v>1</v>
      </c>
      <c r="AJ39" s="148">
        <f t="shared" si="2"/>
        <v>51313873</v>
      </c>
      <c r="AK39" s="6"/>
      <c r="AL39" s="6"/>
      <c r="AU39" s="25">
        <v>40800.0</v>
      </c>
      <c r="AV39" s="25"/>
      <c r="AW39" s="25"/>
      <c r="BA39" s="6">
        <v>2345.0</v>
      </c>
    </row>
    <row r="40">
      <c r="A40" s="6">
        <v>5.518026004E9</v>
      </c>
      <c r="B40" s="6" t="s">
        <v>2904</v>
      </c>
      <c r="C40" s="6" t="s">
        <v>2905</v>
      </c>
      <c r="D40" s="6">
        <v>100.0</v>
      </c>
      <c r="E40" s="6" t="s">
        <v>2614</v>
      </c>
      <c r="F40" s="6" t="s">
        <v>2566</v>
      </c>
      <c r="G40" s="6" t="s">
        <v>2567</v>
      </c>
      <c r="H40" s="6">
        <v>1.0</v>
      </c>
      <c r="I40" s="6" t="s">
        <v>2568</v>
      </c>
      <c r="J40" s="147">
        <v>1387200.0</v>
      </c>
      <c r="K40" s="6"/>
      <c r="L40" s="6" t="s">
        <v>2906</v>
      </c>
      <c r="M40" s="6" t="s">
        <v>2907</v>
      </c>
      <c r="N40" s="6">
        <v>236.0</v>
      </c>
      <c r="O40" s="6" t="s">
        <v>2908</v>
      </c>
      <c r="P40" s="6" t="s">
        <v>2573</v>
      </c>
      <c r="R40" s="6">
        <v>0.17229</v>
      </c>
      <c r="S40" s="6" t="s">
        <v>2192</v>
      </c>
      <c r="T40" s="6" t="s">
        <v>1820</v>
      </c>
      <c r="U40" s="6" t="s">
        <v>114</v>
      </c>
      <c r="V40" s="6" t="s">
        <v>114</v>
      </c>
      <c r="W40" s="6" t="s">
        <v>192</v>
      </c>
      <c r="X40" s="6" t="s">
        <v>2493</v>
      </c>
      <c r="Y40" s="47">
        <v>45954.0</v>
      </c>
      <c r="Z40" s="6" t="s">
        <v>834</v>
      </c>
      <c r="AA40" s="6"/>
      <c r="AB40" s="6" t="s">
        <v>938</v>
      </c>
      <c r="AC40" s="6"/>
      <c r="AD40" s="6" t="s">
        <v>474</v>
      </c>
      <c r="AE40" s="6"/>
      <c r="AF40" s="6"/>
      <c r="AG40" s="6">
        <v>52.0</v>
      </c>
      <c r="AH40" s="6">
        <v>52.0</v>
      </c>
      <c r="AI40" s="6">
        <f t="shared" si="1"/>
        <v>1</v>
      </c>
      <c r="AJ40" s="148">
        <f t="shared" si="2"/>
        <v>1387200</v>
      </c>
      <c r="AK40" s="6"/>
      <c r="AL40" s="6"/>
      <c r="AU40" s="25">
        <v>7800.0</v>
      </c>
      <c r="AV40" s="25"/>
      <c r="AW40" s="25"/>
      <c r="BA40" s="6">
        <v>236.0</v>
      </c>
    </row>
    <row r="41">
      <c r="A41" s="6">
        <v>3.9626156E7</v>
      </c>
      <c r="B41" s="6" t="s">
        <v>2910</v>
      </c>
      <c r="C41" s="6" t="s">
        <v>780</v>
      </c>
      <c r="D41" s="6">
        <v>2.0</v>
      </c>
      <c r="E41" s="6"/>
      <c r="F41" s="6" t="s">
        <v>2635</v>
      </c>
      <c r="G41" s="6" t="s">
        <v>2636</v>
      </c>
      <c r="H41" s="6">
        <v>80.0</v>
      </c>
      <c r="I41" s="6" t="s">
        <v>2568</v>
      </c>
      <c r="J41" s="147">
        <v>2.6738989E7</v>
      </c>
      <c r="K41" s="6"/>
      <c r="L41" s="6" t="s">
        <v>2912</v>
      </c>
      <c r="M41" s="6" t="s">
        <v>2913</v>
      </c>
      <c r="N41" s="6">
        <v>2414.0</v>
      </c>
      <c r="O41" s="6" t="s">
        <v>2914</v>
      </c>
      <c r="P41" s="6" t="s">
        <v>2640</v>
      </c>
      <c r="R41" s="6">
        <v>12.41914</v>
      </c>
      <c r="S41" s="6" t="s">
        <v>920</v>
      </c>
      <c r="T41" s="6" t="s">
        <v>919</v>
      </c>
      <c r="U41" s="6" t="s">
        <v>268</v>
      </c>
      <c r="V41" s="6" t="s">
        <v>119</v>
      </c>
      <c r="W41" s="6" t="s">
        <v>192</v>
      </c>
      <c r="X41" s="6" t="s">
        <v>924</v>
      </c>
      <c r="Y41" s="47">
        <v>45576.0</v>
      </c>
      <c r="Z41" s="6" t="s">
        <v>623</v>
      </c>
      <c r="AA41" s="6" t="s">
        <v>925</v>
      </c>
      <c r="AB41" s="6" t="s">
        <v>926</v>
      </c>
      <c r="AC41" s="6"/>
      <c r="AD41" s="6" t="s">
        <v>92</v>
      </c>
      <c r="AE41" s="6"/>
      <c r="AF41" s="6"/>
      <c r="AG41" s="6">
        <v>406.0</v>
      </c>
      <c r="AH41" s="6">
        <v>406.0</v>
      </c>
      <c r="AI41" s="6">
        <f t="shared" si="1"/>
        <v>1</v>
      </c>
      <c r="AJ41" s="148">
        <f t="shared" si="2"/>
        <v>26738989</v>
      </c>
      <c r="AK41" s="6"/>
      <c r="AL41" s="6"/>
      <c r="AU41" s="25">
        <v>60900.0</v>
      </c>
      <c r="AV41" s="25"/>
      <c r="AW41" s="25"/>
      <c r="BA41" s="6">
        <v>2414.0</v>
      </c>
    </row>
    <row r="42">
      <c r="A42" s="6">
        <v>867281.0</v>
      </c>
      <c r="B42" s="6" t="s">
        <v>2917</v>
      </c>
      <c r="C42" s="6" t="s">
        <v>311</v>
      </c>
      <c r="D42" s="6">
        <v>7705.0</v>
      </c>
      <c r="E42" s="6"/>
      <c r="F42" s="6" t="s">
        <v>2918</v>
      </c>
      <c r="G42" s="6" t="s">
        <v>2919</v>
      </c>
      <c r="H42" s="6">
        <v>89.0</v>
      </c>
      <c r="I42" s="6" t="s">
        <v>2666</v>
      </c>
      <c r="J42" s="147">
        <v>2.4073679E7</v>
      </c>
      <c r="K42" s="6"/>
      <c r="L42" s="6" t="s">
        <v>2920</v>
      </c>
      <c r="M42" s="6" t="s">
        <v>2921</v>
      </c>
      <c r="N42" s="6">
        <v>2415.0</v>
      </c>
      <c r="O42" s="6" t="s">
        <v>2922</v>
      </c>
      <c r="P42" s="6" t="s">
        <v>2923</v>
      </c>
      <c r="R42" s="6">
        <v>0.16779</v>
      </c>
      <c r="S42" s="6" t="s">
        <v>487</v>
      </c>
      <c r="T42" s="6" t="s">
        <v>486</v>
      </c>
      <c r="U42" s="6" t="s">
        <v>210</v>
      </c>
      <c r="V42" s="6" t="s">
        <v>86</v>
      </c>
      <c r="W42" s="6" t="s">
        <v>192</v>
      </c>
      <c r="X42" s="6" t="s">
        <v>2924</v>
      </c>
      <c r="Y42" s="42">
        <v>45366.0</v>
      </c>
      <c r="Z42" s="6" t="s">
        <v>495</v>
      </c>
      <c r="AA42" s="6"/>
      <c r="AB42" s="6" t="s">
        <v>496</v>
      </c>
      <c r="AC42" s="6"/>
      <c r="AD42" s="6"/>
      <c r="AE42" s="42"/>
      <c r="AF42" s="6"/>
      <c r="AG42" s="6">
        <v>89.0</v>
      </c>
      <c r="AH42" s="6">
        <v>40.0</v>
      </c>
      <c r="AI42" s="6">
        <f t="shared" si="1"/>
        <v>0.4494382022</v>
      </c>
      <c r="AJ42" s="148">
        <f t="shared" si="2"/>
        <v>10819631.01</v>
      </c>
      <c r="AK42" s="6"/>
      <c r="AL42" s="6"/>
      <c r="AM42" s="117" t="s">
        <v>502</v>
      </c>
      <c r="AN42" s="6" t="s">
        <v>310</v>
      </c>
      <c r="AO42" s="6"/>
      <c r="AP42" s="6"/>
      <c r="AQ42" s="117" t="s">
        <v>2926</v>
      </c>
      <c r="AR42" s="25">
        <v>2.3607381E7</v>
      </c>
      <c r="AS42" s="25">
        <v>2.4549146E7</v>
      </c>
      <c r="AT42" s="25"/>
      <c r="AU42" s="25">
        <v>13350.0</v>
      </c>
      <c r="AV42" s="25"/>
      <c r="AW42" s="46">
        <v>387482.22</v>
      </c>
      <c r="AX42" s="6">
        <v>2025.0</v>
      </c>
      <c r="AY42" s="6"/>
      <c r="AZ42" s="6"/>
      <c r="BA42" s="6">
        <v>2415.0</v>
      </c>
    </row>
    <row r="43">
      <c r="A43" s="6">
        <v>5.518008009E9</v>
      </c>
      <c r="B43" s="6" t="s">
        <v>2932</v>
      </c>
      <c r="C43" s="6" t="s">
        <v>2933</v>
      </c>
      <c r="D43" s="6">
        <v>500.0</v>
      </c>
      <c r="E43" s="6" t="s">
        <v>2565</v>
      </c>
      <c r="F43" s="6" t="s">
        <v>2860</v>
      </c>
      <c r="G43" s="6" t="s">
        <v>2567</v>
      </c>
      <c r="H43" s="6">
        <v>27.0</v>
      </c>
      <c r="I43" s="6" t="s">
        <v>2568</v>
      </c>
      <c r="J43" s="147">
        <v>4457073.0</v>
      </c>
      <c r="K43" s="6"/>
      <c r="L43" s="6" t="s">
        <v>2935</v>
      </c>
      <c r="M43" s="6" t="s">
        <v>2649</v>
      </c>
      <c r="N43" s="6">
        <v>247.0</v>
      </c>
      <c r="O43" s="6" t="s">
        <v>2730</v>
      </c>
      <c r="P43" s="6" t="s">
        <v>2573</v>
      </c>
      <c r="R43" s="6">
        <v>0.16661</v>
      </c>
      <c r="S43" s="6" t="s">
        <v>1796</v>
      </c>
      <c r="T43" s="6" t="s">
        <v>1415</v>
      </c>
      <c r="U43" s="6" t="s">
        <v>114</v>
      </c>
      <c r="V43" s="6" t="s">
        <v>114</v>
      </c>
      <c r="W43" s="6" t="s">
        <v>1782</v>
      </c>
      <c r="X43" s="6" t="s">
        <v>1797</v>
      </c>
      <c r="Y43" s="47">
        <v>45919.0</v>
      </c>
      <c r="Z43" s="6" t="s">
        <v>1615</v>
      </c>
      <c r="AA43" s="6"/>
      <c r="AB43" s="6" t="s">
        <v>203</v>
      </c>
      <c r="AC43" s="6"/>
      <c r="AD43" s="6" t="s">
        <v>92</v>
      </c>
      <c r="AE43" s="6"/>
      <c r="AF43" s="6"/>
      <c r="AG43" s="6">
        <v>27.0</v>
      </c>
      <c r="AH43" s="6">
        <v>27.0</v>
      </c>
      <c r="AI43" s="6">
        <f t="shared" si="1"/>
        <v>1</v>
      </c>
      <c r="AJ43" s="148">
        <f t="shared" si="2"/>
        <v>4457073</v>
      </c>
      <c r="AK43" s="6"/>
      <c r="AL43" s="6"/>
      <c r="AU43" s="25">
        <v>4050.0</v>
      </c>
      <c r="AV43" s="25"/>
      <c r="AW43" s="25"/>
      <c r="BA43" s="6">
        <v>247.0</v>
      </c>
    </row>
    <row r="44">
      <c r="A44" s="6">
        <v>5.518008014E9</v>
      </c>
      <c r="B44" s="6" t="s">
        <v>2940</v>
      </c>
      <c r="C44" s="6" t="s">
        <v>2941</v>
      </c>
      <c r="D44" s="6">
        <v>500.0</v>
      </c>
      <c r="E44" s="6" t="s">
        <v>2565</v>
      </c>
      <c r="F44" s="6" t="s">
        <v>2860</v>
      </c>
      <c r="G44" s="6" t="s">
        <v>2567</v>
      </c>
      <c r="H44" s="6">
        <v>40.0</v>
      </c>
      <c r="I44" s="6" t="s">
        <v>2568</v>
      </c>
      <c r="J44" s="147">
        <v>8388848.0</v>
      </c>
      <c r="K44" s="6"/>
      <c r="L44" s="6" t="s">
        <v>2944</v>
      </c>
      <c r="M44" s="6" t="s">
        <v>2649</v>
      </c>
      <c r="N44" s="6">
        <v>260.0</v>
      </c>
      <c r="O44" s="6" t="s">
        <v>2945</v>
      </c>
      <c r="P44" s="6" t="s">
        <v>2573</v>
      </c>
      <c r="R44" s="6">
        <v>0.17151</v>
      </c>
      <c r="S44" s="6" t="s">
        <v>1879</v>
      </c>
      <c r="T44" s="6" t="s">
        <v>1502</v>
      </c>
      <c r="U44" s="6" t="s">
        <v>114</v>
      </c>
      <c r="V44" s="6" t="s">
        <v>114</v>
      </c>
      <c r="W44" s="6" t="s">
        <v>1782</v>
      </c>
      <c r="X44" s="6" t="s">
        <v>1880</v>
      </c>
      <c r="Y44" s="47">
        <v>45919.0</v>
      </c>
      <c r="Z44" s="6" t="s">
        <v>1615</v>
      </c>
      <c r="AA44" s="6"/>
      <c r="AB44" s="6" t="s">
        <v>203</v>
      </c>
      <c r="AC44" s="6"/>
      <c r="AD44" s="6" t="s">
        <v>92</v>
      </c>
      <c r="AE44" s="6"/>
      <c r="AF44" s="6"/>
      <c r="AG44" s="6">
        <v>40.0</v>
      </c>
      <c r="AH44" s="6">
        <v>40.0</v>
      </c>
      <c r="AI44" s="6">
        <f t="shared" si="1"/>
        <v>1</v>
      </c>
      <c r="AJ44" s="148">
        <f t="shared" si="2"/>
        <v>8388848</v>
      </c>
      <c r="AK44" s="6"/>
      <c r="AL44" s="6"/>
      <c r="AU44" s="25">
        <v>6000.0</v>
      </c>
      <c r="AV44" s="25"/>
      <c r="AW44" s="25"/>
      <c r="BA44" s="6">
        <v>260.0</v>
      </c>
    </row>
    <row r="45">
      <c r="A45" s="6">
        <v>4.54251243E8</v>
      </c>
      <c r="B45" s="6" t="s">
        <v>2950</v>
      </c>
      <c r="C45" s="6" t="s">
        <v>185</v>
      </c>
      <c r="D45" s="6">
        <v>7700.0</v>
      </c>
      <c r="E45" s="6"/>
      <c r="F45" s="6" t="s">
        <v>2952</v>
      </c>
      <c r="G45" s="6" t="s">
        <v>2953</v>
      </c>
      <c r="H45" s="6">
        <v>61.0</v>
      </c>
      <c r="I45" s="6" t="s">
        <v>2666</v>
      </c>
      <c r="J45" s="147">
        <v>1.7000269E7</v>
      </c>
      <c r="K45" s="6"/>
      <c r="L45" s="6" t="s">
        <v>2954</v>
      </c>
      <c r="M45" s="6" t="s">
        <v>2955</v>
      </c>
      <c r="N45" s="6">
        <v>26409.0</v>
      </c>
      <c r="O45" s="6" t="s">
        <v>2957</v>
      </c>
      <c r="P45" s="6" t="s">
        <v>2923</v>
      </c>
      <c r="R45" s="6">
        <v>3.3956</v>
      </c>
      <c r="S45" s="6" t="s">
        <v>383</v>
      </c>
      <c r="T45" s="6" t="s">
        <v>382</v>
      </c>
      <c r="U45" s="6" t="s">
        <v>188</v>
      </c>
      <c r="V45" s="6" t="s">
        <v>86</v>
      </c>
      <c r="W45" s="6" t="s">
        <v>192</v>
      </c>
      <c r="X45" s="6" t="s">
        <v>384</v>
      </c>
      <c r="Y45" s="47">
        <v>45268.0</v>
      </c>
      <c r="Z45" s="6" t="s">
        <v>391</v>
      </c>
      <c r="AA45" s="6"/>
      <c r="AB45" s="6" t="s">
        <v>392</v>
      </c>
      <c r="AC45" s="6"/>
      <c r="AD45" s="6"/>
      <c r="AE45" s="47"/>
      <c r="AF45" s="6"/>
      <c r="AG45" s="6">
        <v>61.0</v>
      </c>
      <c r="AH45" s="6">
        <v>61.0</v>
      </c>
      <c r="AI45" s="6">
        <f t="shared" si="1"/>
        <v>1</v>
      </c>
      <c r="AJ45" s="148">
        <f t="shared" si="2"/>
        <v>17000269</v>
      </c>
      <c r="AK45" s="6"/>
      <c r="AL45" s="6"/>
      <c r="AM45" s="117" t="s">
        <v>399</v>
      </c>
      <c r="AN45" s="6" t="s">
        <v>184</v>
      </c>
      <c r="AO45" s="6"/>
      <c r="AP45" s="6"/>
      <c r="AR45" s="25">
        <v>6029645.0</v>
      </c>
      <c r="AS45" s="25">
        <v>1.7336168E7</v>
      </c>
      <c r="AT45" s="25"/>
      <c r="AU45" s="25">
        <v>9150.0</v>
      </c>
      <c r="AV45" s="25"/>
      <c r="AW45" s="46">
        <v>78032.02</v>
      </c>
      <c r="AX45" s="6">
        <v>2023.0</v>
      </c>
      <c r="AY45" s="46">
        <v>209772.98</v>
      </c>
      <c r="AZ45" s="6">
        <v>2025.0</v>
      </c>
      <c r="BA45" s="6">
        <v>26409.0</v>
      </c>
    </row>
    <row r="46">
      <c r="A46" s="6">
        <v>344007.0</v>
      </c>
      <c r="B46" s="6" t="s">
        <v>2963</v>
      </c>
      <c r="C46" s="6" t="s">
        <v>300</v>
      </c>
      <c r="D46" s="6"/>
      <c r="E46" s="6"/>
      <c r="F46" s="6" t="s">
        <v>2964</v>
      </c>
      <c r="G46" s="6" t="s">
        <v>2965</v>
      </c>
      <c r="H46" s="6">
        <v>66.0</v>
      </c>
      <c r="I46" s="6" t="s">
        <v>2666</v>
      </c>
      <c r="J46" s="147">
        <v>1.7116303E7</v>
      </c>
      <c r="K46" s="6"/>
      <c r="L46" s="6" t="s">
        <v>2966</v>
      </c>
      <c r="M46" s="6" t="s">
        <v>2967</v>
      </c>
      <c r="N46" s="6">
        <v>275.0</v>
      </c>
      <c r="O46" s="6" t="s">
        <v>2969</v>
      </c>
      <c r="P46" s="6" t="s">
        <v>2970</v>
      </c>
      <c r="R46" s="6">
        <v>0.17318</v>
      </c>
      <c r="S46" s="6" t="s">
        <v>510</v>
      </c>
      <c r="T46" s="6" t="s">
        <v>509</v>
      </c>
      <c r="U46" s="6" t="s">
        <v>123</v>
      </c>
      <c r="V46" s="6" t="s">
        <v>123</v>
      </c>
      <c r="W46" s="6" t="s">
        <v>192</v>
      </c>
      <c r="X46" s="6" t="s">
        <v>511</v>
      </c>
      <c r="Y46" s="42">
        <v>45366.0</v>
      </c>
      <c r="Z46" s="6" t="s">
        <v>367</v>
      </c>
      <c r="AA46" s="6" t="s">
        <v>517</v>
      </c>
      <c r="AB46" s="6" t="s">
        <v>203</v>
      </c>
      <c r="AC46" s="6"/>
      <c r="AD46" s="6"/>
      <c r="AE46" s="6"/>
      <c r="AF46" s="6"/>
      <c r="AG46" s="6">
        <v>66.0</v>
      </c>
      <c r="AH46" s="6">
        <v>27.0</v>
      </c>
      <c r="AI46" s="6">
        <f t="shared" si="1"/>
        <v>0.4090909091</v>
      </c>
      <c r="AJ46" s="148">
        <f t="shared" si="2"/>
        <v>7002123.955</v>
      </c>
      <c r="AK46" s="6"/>
      <c r="AL46" s="6"/>
      <c r="AN46" s="6" t="s">
        <v>2972</v>
      </c>
      <c r="AO46" s="6"/>
      <c r="AP46" s="6"/>
      <c r="AR46" s="25">
        <v>1.6781817E7</v>
      </c>
      <c r="AS46" s="25">
        <v>1.7458247E7</v>
      </c>
      <c r="AT46" s="25"/>
      <c r="AU46" s="25">
        <v>9900.0</v>
      </c>
      <c r="AV46" s="25"/>
      <c r="AW46" s="46">
        <v>217816.18</v>
      </c>
      <c r="AX46" s="6">
        <v>2025.0</v>
      </c>
      <c r="AY46" s="6"/>
      <c r="AZ46" s="6"/>
      <c r="BA46" s="6">
        <v>275.0</v>
      </c>
    </row>
    <row r="47">
      <c r="A47" s="6">
        <v>1.701000273E9</v>
      </c>
      <c r="B47" s="6" t="s">
        <v>2973</v>
      </c>
      <c r="C47" s="6" t="s">
        <v>1124</v>
      </c>
      <c r="D47" s="6">
        <v>27.0</v>
      </c>
      <c r="E47" s="6" t="s">
        <v>2974</v>
      </c>
      <c r="F47" s="6" t="s">
        <v>2976</v>
      </c>
      <c r="G47" s="6" t="s">
        <v>2711</v>
      </c>
      <c r="H47" s="6">
        <v>32.0</v>
      </c>
      <c r="I47" s="6" t="s">
        <v>2666</v>
      </c>
      <c r="J47" s="147">
        <v>1.0616112E7</v>
      </c>
      <c r="K47" s="6"/>
      <c r="L47" s="6" t="s">
        <v>2977</v>
      </c>
      <c r="M47" s="6" t="s">
        <v>2978</v>
      </c>
      <c r="N47" s="6">
        <v>3081.0</v>
      </c>
      <c r="O47" s="6" t="s">
        <v>2980</v>
      </c>
      <c r="P47" s="6" t="s">
        <v>2981</v>
      </c>
      <c r="Q47" s="6">
        <v>1.12</v>
      </c>
      <c r="R47" s="6">
        <v>1.01619</v>
      </c>
      <c r="S47" s="6" t="s">
        <v>1134</v>
      </c>
      <c r="T47" s="6" t="s">
        <v>1133</v>
      </c>
      <c r="U47" s="6" t="s">
        <v>349</v>
      </c>
      <c r="V47" s="6" t="s">
        <v>111</v>
      </c>
      <c r="W47" s="6" t="s">
        <v>1119</v>
      </c>
      <c r="X47" s="6" t="s">
        <v>1138</v>
      </c>
      <c r="Y47" s="47">
        <v>45709.0</v>
      </c>
      <c r="Z47" s="6" t="s">
        <v>682</v>
      </c>
      <c r="AA47" s="6"/>
      <c r="AB47" s="6" t="s">
        <v>90</v>
      </c>
      <c r="AC47" s="6"/>
      <c r="AD47" s="6"/>
      <c r="AE47" s="47"/>
      <c r="AF47" s="6"/>
      <c r="AG47" s="6">
        <v>32.0</v>
      </c>
      <c r="AH47" s="6">
        <v>32.0</v>
      </c>
      <c r="AI47" s="6">
        <f t="shared" si="1"/>
        <v>1</v>
      </c>
      <c r="AJ47" s="148">
        <f t="shared" si="2"/>
        <v>10616112</v>
      </c>
      <c r="AK47" s="6"/>
      <c r="AL47" s="6"/>
      <c r="AN47" s="6" t="s">
        <v>2983</v>
      </c>
      <c r="AO47" s="6"/>
      <c r="AP47" s="6"/>
      <c r="AU47" s="25">
        <v>4800.0</v>
      </c>
      <c r="AV47" s="25"/>
      <c r="AW47" s="25"/>
      <c r="BA47" s="6">
        <v>3081.0</v>
      </c>
    </row>
    <row r="48">
      <c r="A48" s="6">
        <v>5.16000902E9</v>
      </c>
      <c r="B48" s="6" t="s">
        <v>2984</v>
      </c>
      <c r="C48" s="6" t="s">
        <v>2985</v>
      </c>
      <c r="D48" s="6">
        <v>100.0</v>
      </c>
      <c r="E48" s="6" t="s">
        <v>2614</v>
      </c>
      <c r="F48" s="6" t="s">
        <v>2986</v>
      </c>
      <c r="G48" s="6" t="s">
        <v>2987</v>
      </c>
      <c r="H48" s="6">
        <v>1.0</v>
      </c>
      <c r="I48" s="6" t="s">
        <v>2568</v>
      </c>
      <c r="J48" s="147">
        <v>1144440.0</v>
      </c>
      <c r="K48" s="6"/>
      <c r="L48" s="6" t="s">
        <v>2988</v>
      </c>
      <c r="M48" s="6" t="s">
        <v>2989</v>
      </c>
      <c r="N48" s="6">
        <v>333.0</v>
      </c>
      <c r="O48" s="6" t="s">
        <v>2990</v>
      </c>
      <c r="P48" s="6" t="s">
        <v>2573</v>
      </c>
      <c r="R48" s="6">
        <v>0.12855</v>
      </c>
      <c r="S48" s="6" t="s">
        <v>1118</v>
      </c>
      <c r="T48" s="6" t="s">
        <v>1116</v>
      </c>
      <c r="U48" s="6" t="s">
        <v>114</v>
      </c>
      <c r="V48" s="6" t="s">
        <v>114</v>
      </c>
      <c r="W48" s="6" t="s">
        <v>1119</v>
      </c>
      <c r="X48" s="6" t="s">
        <v>1120</v>
      </c>
      <c r="Y48" s="47">
        <v>45709.0</v>
      </c>
      <c r="Z48" s="6" t="s">
        <v>1121</v>
      </c>
      <c r="AA48" s="6"/>
      <c r="AB48" s="6" t="s">
        <v>90</v>
      </c>
      <c r="AC48" s="6"/>
      <c r="AD48" s="6"/>
      <c r="AE48" s="47"/>
      <c r="AF48" s="6"/>
      <c r="AG48" s="6">
        <v>33.0</v>
      </c>
      <c r="AH48" s="6">
        <v>32.0</v>
      </c>
      <c r="AI48" s="6">
        <f t="shared" si="1"/>
        <v>0.9696969697</v>
      </c>
      <c r="AJ48" s="148">
        <f t="shared" si="2"/>
        <v>1109760</v>
      </c>
      <c r="AK48" s="6"/>
      <c r="AL48" s="6"/>
      <c r="AU48" s="25">
        <v>4800.0</v>
      </c>
      <c r="AV48" s="25"/>
      <c r="AW48" s="25"/>
      <c r="BA48" s="6">
        <v>333.0</v>
      </c>
    </row>
    <row r="49">
      <c r="A49" s="6">
        <v>4.054900073E9</v>
      </c>
      <c r="B49" s="6" t="s">
        <v>2991</v>
      </c>
      <c r="C49" s="6" t="s">
        <v>1248</v>
      </c>
      <c r="D49" s="6">
        <v>28.0</v>
      </c>
      <c r="E49" s="6" t="s">
        <v>2993</v>
      </c>
      <c r="F49" s="6" t="s">
        <v>2994</v>
      </c>
      <c r="G49" s="6" t="s">
        <v>2996</v>
      </c>
      <c r="H49" s="6">
        <v>1008.0</v>
      </c>
      <c r="I49" s="6" t="s">
        <v>2666</v>
      </c>
      <c r="J49" s="147">
        <v>2.22047798E8</v>
      </c>
      <c r="K49" s="6"/>
      <c r="L49" s="6" t="s">
        <v>2998</v>
      </c>
      <c r="M49" s="6" t="s">
        <v>2999</v>
      </c>
      <c r="N49" s="6">
        <v>3400.0</v>
      </c>
      <c r="O49" s="6" t="s">
        <v>3000</v>
      </c>
      <c r="P49" s="6" t="s">
        <v>2981</v>
      </c>
      <c r="Q49" s="6">
        <v>46.868</v>
      </c>
      <c r="R49" s="6">
        <v>46.8333</v>
      </c>
      <c r="S49" s="6" t="s">
        <v>1280</v>
      </c>
      <c r="T49" s="6" t="s">
        <v>1053</v>
      </c>
      <c r="U49" s="6" t="s">
        <v>346</v>
      </c>
      <c r="V49" s="6" t="s">
        <v>111</v>
      </c>
      <c r="W49" s="6" t="s">
        <v>1119</v>
      </c>
      <c r="X49" s="6" t="s">
        <v>1281</v>
      </c>
      <c r="Y49" s="47">
        <v>45835.0</v>
      </c>
      <c r="Z49" s="6" t="s">
        <v>1288</v>
      </c>
      <c r="AA49" s="6" t="s">
        <v>1289</v>
      </c>
      <c r="AB49" s="6" t="s">
        <v>299</v>
      </c>
      <c r="AC49" s="117" t="s">
        <v>1296</v>
      </c>
      <c r="AD49" s="6" t="s">
        <v>92</v>
      </c>
      <c r="AE49" s="6"/>
      <c r="AF49" s="6"/>
      <c r="AG49" s="6">
        <v>1008.0</v>
      </c>
      <c r="AH49" s="6">
        <v>1008.0</v>
      </c>
      <c r="AI49" s="6">
        <f t="shared" si="1"/>
        <v>1</v>
      </c>
      <c r="AJ49" s="148">
        <f t="shared" si="2"/>
        <v>222047798</v>
      </c>
      <c r="AK49" s="6"/>
      <c r="AL49" s="6"/>
      <c r="AN49" s="6" t="s">
        <v>3002</v>
      </c>
      <c r="AO49" s="6"/>
      <c r="AP49" s="6"/>
      <c r="AQ49" s="117" t="s">
        <v>3003</v>
      </c>
      <c r="AR49" s="6"/>
      <c r="AS49" s="25">
        <v>2.29097572E8</v>
      </c>
      <c r="AT49" s="25"/>
      <c r="AU49" s="25">
        <v>98100.0</v>
      </c>
      <c r="AV49" s="25"/>
      <c r="AW49" s="46">
        <v>4151305.48</v>
      </c>
      <c r="AX49" s="6">
        <v>2025.0</v>
      </c>
      <c r="AY49" s="6"/>
      <c r="AZ49" s="6"/>
      <c r="BA49" s="6">
        <v>3400.0</v>
      </c>
    </row>
    <row r="50">
      <c r="A50" s="6">
        <v>1.4709118E11</v>
      </c>
      <c r="B50" s="6" t="s">
        <v>3008</v>
      </c>
      <c r="C50" s="6" t="s">
        <v>157</v>
      </c>
      <c r="D50" s="6">
        <v>623.0</v>
      </c>
      <c r="E50" s="6" t="s">
        <v>3009</v>
      </c>
      <c r="F50" s="6" t="s">
        <v>3010</v>
      </c>
      <c r="G50" s="6" t="s">
        <v>3011</v>
      </c>
      <c r="H50" s="6">
        <v>71.0</v>
      </c>
      <c r="J50" s="147">
        <v>4075000.0</v>
      </c>
      <c r="K50" s="6"/>
      <c r="L50" s="6" t="s">
        <v>3012</v>
      </c>
      <c r="M50" s="6" t="s">
        <v>3013</v>
      </c>
      <c r="N50" s="6">
        <v>363.0</v>
      </c>
      <c r="O50" s="6" t="s">
        <v>3014</v>
      </c>
      <c r="P50" s="6" t="s">
        <v>3015</v>
      </c>
      <c r="Q50" s="6">
        <v>0.36</v>
      </c>
      <c r="R50" s="6">
        <v>0.32213</v>
      </c>
      <c r="S50" s="6" t="s">
        <v>228</v>
      </c>
      <c r="T50" s="6" t="s">
        <v>227</v>
      </c>
      <c r="U50" s="6" t="s">
        <v>121</v>
      </c>
      <c r="V50" s="6" t="s">
        <v>121</v>
      </c>
      <c r="W50" s="6" t="s">
        <v>192</v>
      </c>
      <c r="X50" s="6" t="s">
        <v>3017</v>
      </c>
      <c r="Y50" s="150">
        <v>45142.0</v>
      </c>
      <c r="Z50" s="6" t="s">
        <v>238</v>
      </c>
      <c r="AA50" s="6"/>
      <c r="AB50" s="6" t="s">
        <v>239</v>
      </c>
      <c r="AC50" s="6"/>
      <c r="AD50" s="6"/>
      <c r="AE50" s="150"/>
      <c r="AF50" s="6"/>
      <c r="AG50" s="6">
        <v>71.0</v>
      </c>
      <c r="AH50" s="6">
        <v>70.0</v>
      </c>
      <c r="AI50" s="6">
        <f t="shared" si="1"/>
        <v>0.985915493</v>
      </c>
      <c r="AJ50" s="148">
        <f t="shared" si="2"/>
        <v>4017605.634</v>
      </c>
      <c r="AK50" s="6"/>
      <c r="AL50" s="6"/>
      <c r="AU50" s="25">
        <v>10650.0</v>
      </c>
      <c r="AV50" s="25"/>
      <c r="AW50" s="25"/>
      <c r="BA50" s="6">
        <v>363.0</v>
      </c>
    </row>
    <row r="51">
      <c r="A51" s="6">
        <v>5.51802701E9</v>
      </c>
      <c r="B51" s="6" t="s">
        <v>3018</v>
      </c>
      <c r="C51" s="6" t="s">
        <v>3019</v>
      </c>
      <c r="D51" s="6">
        <v>550.0</v>
      </c>
      <c r="E51" s="6" t="s">
        <v>2565</v>
      </c>
      <c r="F51" s="6" t="s">
        <v>2566</v>
      </c>
      <c r="G51" s="6" t="s">
        <v>2567</v>
      </c>
      <c r="H51" s="6">
        <v>55.0</v>
      </c>
      <c r="I51" s="6" t="s">
        <v>2568</v>
      </c>
      <c r="J51" s="147">
        <v>1.1906753E7</v>
      </c>
      <c r="K51" s="6"/>
      <c r="L51" s="6" t="s">
        <v>3020</v>
      </c>
      <c r="M51" s="6" t="s">
        <v>2649</v>
      </c>
      <c r="N51" s="6">
        <v>3715.0</v>
      </c>
      <c r="O51" s="6" t="s">
        <v>3022</v>
      </c>
      <c r="P51" s="6" t="s">
        <v>2573</v>
      </c>
      <c r="R51" s="6">
        <v>0.25832</v>
      </c>
      <c r="S51" s="6" t="s">
        <v>2025</v>
      </c>
      <c r="T51" s="6" t="s">
        <v>1595</v>
      </c>
      <c r="U51" s="6" t="s">
        <v>114</v>
      </c>
      <c r="V51" s="6" t="s">
        <v>114</v>
      </c>
      <c r="W51" s="6" t="s">
        <v>1782</v>
      </c>
      <c r="X51" s="6" t="s">
        <v>2026</v>
      </c>
      <c r="Y51" s="47">
        <v>45919.0</v>
      </c>
      <c r="Z51" s="6" t="s">
        <v>1615</v>
      </c>
      <c r="AA51" s="6"/>
      <c r="AB51" s="6" t="s">
        <v>203</v>
      </c>
      <c r="AC51" s="6"/>
      <c r="AD51" s="6" t="s">
        <v>92</v>
      </c>
      <c r="AE51" s="6"/>
      <c r="AF51" s="6"/>
      <c r="AG51" s="6">
        <v>55.0</v>
      </c>
      <c r="AH51" s="6">
        <v>55.0</v>
      </c>
      <c r="AI51" s="6">
        <f t="shared" si="1"/>
        <v>1</v>
      </c>
      <c r="AJ51" s="148">
        <f t="shared" si="2"/>
        <v>11906753</v>
      </c>
      <c r="AK51" s="6"/>
      <c r="AL51" s="6"/>
      <c r="AU51" s="25">
        <v>8250.0</v>
      </c>
      <c r="AV51" s="25"/>
      <c r="AW51" s="25"/>
      <c r="BA51" s="6">
        <v>3715.0</v>
      </c>
    </row>
    <row r="52">
      <c r="A52" s="6">
        <v>2.1332022E7</v>
      </c>
      <c r="B52" s="6" t="s">
        <v>3023</v>
      </c>
      <c r="C52" s="6" t="s">
        <v>2894</v>
      </c>
      <c r="D52" s="6">
        <v>4.0</v>
      </c>
      <c r="E52" s="6" t="s">
        <v>2663</v>
      </c>
      <c r="F52" s="6" t="s">
        <v>3026</v>
      </c>
      <c r="G52" s="6" t="s">
        <v>3027</v>
      </c>
      <c r="H52" s="6">
        <v>114.0</v>
      </c>
      <c r="I52" s="6" t="s">
        <v>2666</v>
      </c>
      <c r="J52" s="147">
        <v>2.7303774E7</v>
      </c>
      <c r="K52" s="6"/>
      <c r="L52" s="6" t="s">
        <v>3028</v>
      </c>
      <c r="M52" s="6" t="s">
        <v>3029</v>
      </c>
      <c r="N52" s="6">
        <v>3765.0</v>
      </c>
      <c r="O52" s="6" t="s">
        <v>3030</v>
      </c>
      <c r="P52" s="6" t="s">
        <v>2672</v>
      </c>
      <c r="Q52" s="6">
        <v>2.09</v>
      </c>
      <c r="R52" s="6">
        <v>2.09115</v>
      </c>
      <c r="S52" s="6" t="s">
        <v>2202</v>
      </c>
      <c r="T52" s="6" t="s">
        <v>2201</v>
      </c>
      <c r="U52" s="6" t="s">
        <v>155</v>
      </c>
      <c r="V52" s="6" t="s">
        <v>129</v>
      </c>
      <c r="W52" s="6"/>
      <c r="X52" s="6"/>
      <c r="Y52" s="47">
        <v>45982.0</v>
      </c>
      <c r="Z52" s="6" t="s">
        <v>1533</v>
      </c>
      <c r="AA52" s="6"/>
      <c r="AB52" s="6" t="s">
        <v>951</v>
      </c>
      <c r="AC52" s="6"/>
      <c r="AD52" s="6" t="s">
        <v>92</v>
      </c>
      <c r="AE52" s="6"/>
      <c r="AF52" s="6"/>
      <c r="AG52" s="6">
        <v>114.0</v>
      </c>
      <c r="AH52" s="6">
        <v>114.0</v>
      </c>
      <c r="AI52" s="6">
        <f t="shared" si="1"/>
        <v>1</v>
      </c>
      <c r="AJ52" s="148">
        <f t="shared" si="2"/>
        <v>27303774</v>
      </c>
      <c r="AK52" s="6"/>
      <c r="AL52" s="6"/>
      <c r="AU52" s="25">
        <v>17100.0</v>
      </c>
      <c r="AV52" s="25"/>
      <c r="AW52" s="25"/>
      <c r="BA52" s="6">
        <v>3765.0</v>
      </c>
    </row>
    <row r="53">
      <c r="A53" s="6">
        <v>5.011506401E10</v>
      </c>
      <c r="B53" s="6" t="s">
        <v>3033</v>
      </c>
      <c r="C53" s="6" t="s">
        <v>1369</v>
      </c>
      <c r="D53" s="6">
        <v>7700.0</v>
      </c>
      <c r="E53" s="6"/>
      <c r="F53" s="6" t="s">
        <v>3034</v>
      </c>
      <c r="G53" s="6" t="s">
        <v>3035</v>
      </c>
      <c r="H53" s="6">
        <v>192.0</v>
      </c>
      <c r="I53" s="6" t="s">
        <v>2666</v>
      </c>
      <c r="J53" s="147">
        <v>7.3418537E7</v>
      </c>
      <c r="K53" s="6"/>
      <c r="L53" s="6" t="s">
        <v>3036</v>
      </c>
      <c r="M53" s="6" t="s">
        <v>2913</v>
      </c>
      <c r="N53" s="6">
        <v>38000.0</v>
      </c>
      <c r="O53" s="6" t="s">
        <v>3037</v>
      </c>
      <c r="P53" s="6" t="s">
        <v>2923</v>
      </c>
      <c r="R53" s="6">
        <v>10.94495</v>
      </c>
      <c r="S53" s="6" t="s">
        <v>1630</v>
      </c>
      <c r="T53" s="6" t="s">
        <v>1629</v>
      </c>
      <c r="U53" s="6" t="s">
        <v>212</v>
      </c>
      <c r="V53" s="6" t="s">
        <v>86</v>
      </c>
      <c r="W53" s="6" t="s">
        <v>1119</v>
      </c>
      <c r="X53" s="6" t="s">
        <v>1632</v>
      </c>
      <c r="Y53" s="47">
        <v>45898.0</v>
      </c>
      <c r="Z53" s="6" t="s">
        <v>1533</v>
      </c>
      <c r="AA53" s="6"/>
      <c r="AB53" s="6" t="s">
        <v>951</v>
      </c>
      <c r="AC53" s="6"/>
      <c r="AD53" s="6" t="s">
        <v>92</v>
      </c>
      <c r="AE53" s="6"/>
      <c r="AF53" s="6"/>
      <c r="AG53" s="6">
        <v>192.0</v>
      </c>
      <c r="AH53" s="6">
        <v>192.0</v>
      </c>
      <c r="AI53" s="6">
        <f t="shared" si="1"/>
        <v>1</v>
      </c>
      <c r="AJ53" s="148">
        <f t="shared" si="2"/>
        <v>73418537</v>
      </c>
      <c r="AK53" s="6"/>
      <c r="AL53" s="6"/>
      <c r="AM53" s="117" t="s">
        <v>1665</v>
      </c>
      <c r="AN53" s="6" t="s">
        <v>1368</v>
      </c>
      <c r="AO53" s="6"/>
      <c r="AP53" s="6"/>
      <c r="AU53" s="25">
        <v>28800.0</v>
      </c>
      <c r="AV53" s="25"/>
      <c r="AW53" s="25"/>
      <c r="BA53" s="6">
        <v>38000.0</v>
      </c>
    </row>
    <row r="54">
      <c r="A54" s="6" t="s">
        <v>174</v>
      </c>
      <c r="B54" s="6" t="s">
        <v>3041</v>
      </c>
      <c r="C54" s="6" t="s">
        <v>175</v>
      </c>
      <c r="D54" s="6"/>
      <c r="E54" s="6"/>
      <c r="F54" s="6" t="s">
        <v>3043</v>
      </c>
      <c r="G54" s="6" t="s">
        <v>2965</v>
      </c>
      <c r="H54" s="6">
        <v>32.0</v>
      </c>
      <c r="I54" s="6" t="s">
        <v>2666</v>
      </c>
      <c r="J54" s="147">
        <v>7398189.0</v>
      </c>
      <c r="K54" s="6"/>
      <c r="L54" s="6" t="s">
        <v>3045</v>
      </c>
      <c r="M54" s="6" t="s">
        <v>2967</v>
      </c>
      <c r="N54" s="6">
        <v>381.0</v>
      </c>
      <c r="O54" s="6" t="s">
        <v>2969</v>
      </c>
      <c r="P54" s="6" t="s">
        <v>2970</v>
      </c>
      <c r="R54" s="6">
        <v>0.14125</v>
      </c>
      <c r="S54" s="6" t="s">
        <v>360</v>
      </c>
      <c r="T54" s="6" t="s">
        <v>358</v>
      </c>
      <c r="U54" s="6" t="s">
        <v>123</v>
      </c>
      <c r="V54" s="6" t="s">
        <v>123</v>
      </c>
      <c r="W54" s="6" t="s">
        <v>192</v>
      </c>
      <c r="X54" s="6" t="s">
        <v>361</v>
      </c>
      <c r="Y54" s="47">
        <v>45184.0</v>
      </c>
      <c r="Z54" s="6" t="s">
        <v>367</v>
      </c>
      <c r="AA54" s="6"/>
      <c r="AB54" s="6" t="s">
        <v>203</v>
      </c>
      <c r="AC54" s="6"/>
      <c r="AD54" s="6"/>
      <c r="AE54" s="47"/>
      <c r="AF54" s="6"/>
      <c r="AG54" s="6">
        <v>32.0</v>
      </c>
      <c r="AH54" s="6">
        <v>13.0</v>
      </c>
      <c r="AI54" s="6">
        <f t="shared" si="1"/>
        <v>0.40625</v>
      </c>
      <c r="AJ54" s="148">
        <f t="shared" si="2"/>
        <v>3005514.281</v>
      </c>
      <c r="AK54" s="6"/>
      <c r="AL54" s="6"/>
      <c r="AN54" s="6" t="s">
        <v>3047</v>
      </c>
      <c r="AO54" s="6"/>
      <c r="AP54" s="6"/>
      <c r="AU54" s="25">
        <v>4800.0</v>
      </c>
      <c r="AV54" s="25"/>
      <c r="AW54" s="46">
        <v>121770.74</v>
      </c>
      <c r="AX54" s="6">
        <v>2025.0</v>
      </c>
      <c r="AY54" s="6"/>
      <c r="AZ54" s="6"/>
      <c r="BA54" s="6">
        <v>381.0</v>
      </c>
    </row>
    <row r="55">
      <c r="A55" s="6">
        <v>3.004004033E9</v>
      </c>
      <c r="B55" s="6" t="s">
        <v>1091</v>
      </c>
      <c r="C55" s="6" t="s">
        <v>3048</v>
      </c>
      <c r="D55" s="6">
        <v>501.0</v>
      </c>
      <c r="E55" s="6" t="s">
        <v>2565</v>
      </c>
      <c r="F55" s="6" t="s">
        <v>3049</v>
      </c>
      <c r="G55" s="6" t="s">
        <v>3050</v>
      </c>
      <c r="H55" s="6">
        <v>296.0</v>
      </c>
      <c r="I55" s="6" t="s">
        <v>2568</v>
      </c>
      <c r="J55" s="147">
        <v>1.4702565E7</v>
      </c>
      <c r="K55" s="6"/>
      <c r="L55" s="6" t="s">
        <v>3052</v>
      </c>
      <c r="M55" s="6" t="s">
        <v>3053</v>
      </c>
      <c r="N55" s="6">
        <v>38441.0</v>
      </c>
      <c r="O55" s="6" t="s">
        <v>3054</v>
      </c>
      <c r="P55" s="6" t="s">
        <v>2573</v>
      </c>
      <c r="R55" s="6">
        <v>18.7347</v>
      </c>
      <c r="S55" s="6" t="s">
        <v>1087</v>
      </c>
      <c r="T55" s="6" t="s">
        <v>1008</v>
      </c>
      <c r="U55" s="6" t="s">
        <v>1088</v>
      </c>
      <c r="V55" s="6" t="s">
        <v>114</v>
      </c>
      <c r="W55" s="6" t="s">
        <v>192</v>
      </c>
      <c r="X55" s="6" t="s">
        <v>1089</v>
      </c>
      <c r="Y55" s="47">
        <v>45639.0</v>
      </c>
      <c r="Z55" s="6" t="s">
        <v>622</v>
      </c>
      <c r="AA55" s="6"/>
      <c r="AB55" s="6" t="s">
        <v>560</v>
      </c>
      <c r="AC55" s="6"/>
      <c r="AD55" s="6" t="s">
        <v>92</v>
      </c>
      <c r="AE55" s="6"/>
      <c r="AF55" s="6"/>
      <c r="AG55" s="6">
        <v>296.0</v>
      </c>
      <c r="AH55" s="6">
        <v>296.0</v>
      </c>
      <c r="AI55" s="6">
        <f t="shared" si="1"/>
        <v>1</v>
      </c>
      <c r="AJ55" s="148">
        <f t="shared" si="2"/>
        <v>14702565</v>
      </c>
      <c r="AK55" s="6"/>
      <c r="AL55" s="6" t="s">
        <v>474</v>
      </c>
      <c r="AM55" s="6"/>
      <c r="AN55" s="6"/>
      <c r="AU55" s="25">
        <v>44400.0</v>
      </c>
      <c r="AV55" s="25"/>
      <c r="AW55" s="25"/>
      <c r="BA55" s="6">
        <v>38441.0</v>
      </c>
    </row>
    <row r="56">
      <c r="A56" s="6">
        <v>1419405.0</v>
      </c>
      <c r="B56" s="6" t="s">
        <v>3056</v>
      </c>
      <c r="C56" s="6" t="s">
        <v>769</v>
      </c>
      <c r="D56" s="6">
        <v>21.0</v>
      </c>
      <c r="E56" s="6" t="s">
        <v>3057</v>
      </c>
      <c r="F56" s="6" t="s">
        <v>3058</v>
      </c>
      <c r="G56" s="6" t="s">
        <v>3059</v>
      </c>
      <c r="H56" s="6">
        <v>98.0</v>
      </c>
      <c r="J56" s="149"/>
      <c r="L56" s="6" t="s">
        <v>3060</v>
      </c>
      <c r="M56" s="6" t="s">
        <v>3061</v>
      </c>
      <c r="N56" s="6">
        <v>400.0</v>
      </c>
      <c r="O56" s="6" t="s">
        <v>3062</v>
      </c>
      <c r="P56" s="6" t="s">
        <v>3063</v>
      </c>
      <c r="Q56" s="6">
        <v>2.526</v>
      </c>
      <c r="R56" s="6">
        <v>2.52513</v>
      </c>
      <c r="S56" s="6" t="s">
        <v>896</v>
      </c>
      <c r="T56" s="6" t="s">
        <v>895</v>
      </c>
      <c r="U56" s="6" t="s">
        <v>250</v>
      </c>
      <c r="V56" s="6" t="s">
        <v>897</v>
      </c>
      <c r="W56" s="6" t="s">
        <v>192</v>
      </c>
      <c r="X56" s="6" t="s">
        <v>898</v>
      </c>
      <c r="Y56" s="47">
        <v>45555.0</v>
      </c>
      <c r="Z56" s="6" t="s">
        <v>682</v>
      </c>
      <c r="AA56" s="6"/>
      <c r="AB56" s="6" t="s">
        <v>90</v>
      </c>
      <c r="AC56" s="6"/>
      <c r="AD56" s="6" t="s">
        <v>92</v>
      </c>
      <c r="AE56" s="6"/>
      <c r="AF56" s="6"/>
      <c r="AG56" s="6">
        <v>99.0</v>
      </c>
      <c r="AH56" s="6">
        <v>99.0</v>
      </c>
      <c r="AI56" s="6">
        <f t="shared" si="1"/>
        <v>1</v>
      </c>
      <c r="AJ56" s="148">
        <f t="shared" si="2"/>
        <v>0</v>
      </c>
      <c r="AK56" s="6"/>
      <c r="AL56" s="6"/>
      <c r="AU56" s="25">
        <v>14850.0</v>
      </c>
      <c r="AV56" s="25"/>
      <c r="AW56" s="25"/>
      <c r="BA56" s="6">
        <v>400.0</v>
      </c>
    </row>
    <row r="57">
      <c r="A57" s="6">
        <v>5.032015003E9</v>
      </c>
      <c r="B57" s="6" t="s">
        <v>3066</v>
      </c>
      <c r="C57" s="6" t="s">
        <v>3067</v>
      </c>
      <c r="D57" s="6">
        <v>500.0</v>
      </c>
      <c r="E57" s="6" t="s">
        <v>2565</v>
      </c>
      <c r="F57" s="6" t="s">
        <v>3069</v>
      </c>
      <c r="G57" s="6" t="s">
        <v>3070</v>
      </c>
      <c r="H57" s="6">
        <v>4.0</v>
      </c>
      <c r="I57" s="6" t="s">
        <v>2568</v>
      </c>
      <c r="J57" s="147">
        <v>3451872.0</v>
      </c>
      <c r="K57" s="6"/>
      <c r="L57" s="6" t="s">
        <v>3071</v>
      </c>
      <c r="M57" s="6" t="s">
        <v>3072</v>
      </c>
      <c r="N57" s="6">
        <v>4101.0</v>
      </c>
      <c r="O57" s="6" t="s">
        <v>3073</v>
      </c>
      <c r="P57" s="6" t="s">
        <v>2573</v>
      </c>
      <c r="R57" s="6">
        <v>0.21107</v>
      </c>
      <c r="S57" s="6" t="s">
        <v>1298</v>
      </c>
      <c r="T57" s="6" t="s">
        <v>1265</v>
      </c>
      <c r="U57" s="6" t="s">
        <v>114</v>
      </c>
      <c r="V57" s="6" t="s">
        <v>114</v>
      </c>
      <c r="W57" s="6" t="s">
        <v>1119</v>
      </c>
      <c r="X57" s="6" t="s">
        <v>1299</v>
      </c>
      <c r="Y57" s="47">
        <v>45835.0</v>
      </c>
      <c r="Z57" s="6" t="s">
        <v>445</v>
      </c>
      <c r="AA57" s="6"/>
      <c r="AB57" s="6" t="s">
        <v>90</v>
      </c>
      <c r="AC57" s="6"/>
      <c r="AD57" s="6" t="s">
        <v>474</v>
      </c>
      <c r="AE57" s="6"/>
      <c r="AF57" s="6"/>
      <c r="AG57" s="6">
        <v>36.0</v>
      </c>
      <c r="AH57" s="6">
        <v>35.0</v>
      </c>
      <c r="AI57" s="6">
        <f t="shared" si="1"/>
        <v>0.9722222222</v>
      </c>
      <c r="AJ57" s="148">
        <f t="shared" si="2"/>
        <v>3355986.667</v>
      </c>
      <c r="AK57" s="6"/>
      <c r="AL57" s="6"/>
      <c r="AU57" s="25">
        <v>5250.0</v>
      </c>
      <c r="AV57" s="25"/>
      <c r="AW57" s="25"/>
      <c r="BA57" s="6">
        <v>4101.0</v>
      </c>
    </row>
    <row r="58">
      <c r="A58" s="6">
        <v>4.23101802E9</v>
      </c>
      <c r="B58" s="6" t="s">
        <v>3074</v>
      </c>
      <c r="C58" s="6" t="s">
        <v>3075</v>
      </c>
      <c r="D58" s="6">
        <v>1100.0</v>
      </c>
      <c r="E58" s="6" t="s">
        <v>2590</v>
      </c>
      <c r="F58" s="6" t="s">
        <v>2581</v>
      </c>
      <c r="G58" s="6" t="s">
        <v>419</v>
      </c>
      <c r="H58" s="6">
        <v>0.0</v>
      </c>
      <c r="I58" s="6" t="s">
        <v>2568</v>
      </c>
      <c r="J58" s="147">
        <v>1630000.0</v>
      </c>
      <c r="K58" s="6"/>
      <c r="L58" s="6" t="s">
        <v>3076</v>
      </c>
      <c r="M58" s="6" t="s">
        <v>2776</v>
      </c>
      <c r="N58" s="6">
        <v>4129.0</v>
      </c>
      <c r="O58" s="6" t="s">
        <v>3077</v>
      </c>
      <c r="P58" s="6" t="s">
        <v>2573</v>
      </c>
      <c r="R58" s="6">
        <v>0.11423</v>
      </c>
      <c r="S58" s="6" t="s">
        <v>1722</v>
      </c>
      <c r="T58" s="6" t="s">
        <v>1385</v>
      </c>
      <c r="U58" s="6" t="s">
        <v>114</v>
      </c>
      <c r="V58" s="6" t="s">
        <v>114</v>
      </c>
      <c r="W58" s="6" t="s">
        <v>1119</v>
      </c>
      <c r="X58" s="6" t="s">
        <v>1723</v>
      </c>
      <c r="Y58" s="47">
        <v>45898.0</v>
      </c>
      <c r="Z58" s="6" t="s">
        <v>1690</v>
      </c>
      <c r="AA58" s="6"/>
      <c r="AB58" s="6" t="s">
        <v>90</v>
      </c>
      <c r="AC58" s="6"/>
      <c r="AD58" s="6" t="s">
        <v>474</v>
      </c>
      <c r="AE58" s="6"/>
      <c r="AF58" s="6"/>
      <c r="AG58" s="6">
        <v>72.0</v>
      </c>
      <c r="AH58" s="6">
        <v>71.0</v>
      </c>
      <c r="AI58" s="6">
        <f t="shared" si="1"/>
        <v>0.9861111111</v>
      </c>
      <c r="AJ58" s="148">
        <f t="shared" si="2"/>
        <v>1607361.111</v>
      </c>
      <c r="AK58" s="6"/>
      <c r="AL58" s="6"/>
      <c r="AU58" s="25">
        <v>10650.0</v>
      </c>
      <c r="AV58" s="25"/>
      <c r="AW58" s="25"/>
      <c r="BA58" s="6">
        <v>4129.0</v>
      </c>
    </row>
    <row r="59">
      <c r="A59" s="6">
        <v>5.021028002E9</v>
      </c>
      <c r="B59" s="6" t="s">
        <v>422</v>
      </c>
      <c r="C59" s="6" t="s">
        <v>3079</v>
      </c>
      <c r="D59" s="6">
        <v>1210.0</v>
      </c>
      <c r="E59" s="6" t="s">
        <v>2735</v>
      </c>
      <c r="F59" s="6" t="s">
        <v>2603</v>
      </c>
      <c r="G59" s="6" t="s">
        <v>2604</v>
      </c>
      <c r="H59" s="6">
        <v>25.0</v>
      </c>
      <c r="I59" s="6" t="s">
        <v>2568</v>
      </c>
      <c r="J59" s="147">
        <v>1.09242E7</v>
      </c>
      <c r="K59" s="6"/>
      <c r="L59" s="6" t="s">
        <v>3081</v>
      </c>
      <c r="M59" s="6" t="s">
        <v>2595</v>
      </c>
      <c r="N59" s="6">
        <v>4209.0</v>
      </c>
      <c r="O59" s="6" t="s">
        <v>2583</v>
      </c>
      <c r="P59" s="6" t="s">
        <v>2573</v>
      </c>
      <c r="R59" s="6">
        <v>0.14935</v>
      </c>
      <c r="S59" s="6" t="s">
        <v>662</v>
      </c>
      <c r="T59" s="6" t="s">
        <v>425</v>
      </c>
      <c r="U59" s="6" t="s">
        <v>114</v>
      </c>
      <c r="V59" s="6" t="s">
        <v>114</v>
      </c>
      <c r="W59" s="6" t="s">
        <v>192</v>
      </c>
      <c r="X59" s="6" t="s">
        <v>663</v>
      </c>
      <c r="Y59" s="47">
        <v>45492.0</v>
      </c>
      <c r="Z59" s="6" t="s">
        <v>445</v>
      </c>
      <c r="AA59" s="6"/>
      <c r="AB59" s="6" t="s">
        <v>90</v>
      </c>
      <c r="AC59" s="6"/>
      <c r="AD59" s="6"/>
      <c r="AE59" s="47"/>
      <c r="AF59" s="6"/>
      <c r="AG59" s="6">
        <v>25.0</v>
      </c>
      <c r="AH59" s="6">
        <v>24.0</v>
      </c>
      <c r="AI59" s="6">
        <f t="shared" si="1"/>
        <v>0.96</v>
      </c>
      <c r="AJ59" s="148">
        <f t="shared" si="2"/>
        <v>10487232</v>
      </c>
      <c r="AK59" s="6"/>
      <c r="AL59" s="6"/>
      <c r="AU59" s="25">
        <v>3600.0</v>
      </c>
      <c r="AV59" s="25"/>
      <c r="AW59" s="25"/>
      <c r="BA59" s="6">
        <v>4209.0</v>
      </c>
    </row>
    <row r="60">
      <c r="A60" s="6">
        <v>5.021009036E9</v>
      </c>
      <c r="B60" s="6" t="s">
        <v>3083</v>
      </c>
      <c r="C60" s="6" t="s">
        <v>3084</v>
      </c>
      <c r="D60" s="6">
        <v>1100.0</v>
      </c>
      <c r="E60" s="6" t="s">
        <v>2590</v>
      </c>
      <c r="F60" s="6" t="s">
        <v>2603</v>
      </c>
      <c r="G60" s="6" t="s">
        <v>2604</v>
      </c>
      <c r="H60" s="6">
        <v>0.0</v>
      </c>
      <c r="I60" s="6" t="s">
        <v>2568</v>
      </c>
      <c r="J60" s="147">
        <v>1.779084E7</v>
      </c>
      <c r="K60" s="6"/>
      <c r="L60" s="6" t="s">
        <v>3085</v>
      </c>
      <c r="M60" s="6" t="s">
        <v>2595</v>
      </c>
      <c r="N60" s="6">
        <v>4228.0</v>
      </c>
      <c r="O60" s="6" t="s">
        <v>2583</v>
      </c>
      <c r="P60" s="6" t="s">
        <v>2573</v>
      </c>
      <c r="R60" s="6">
        <v>0.3961</v>
      </c>
      <c r="S60" s="6" t="s">
        <v>858</v>
      </c>
      <c r="T60" s="6" t="s">
        <v>733</v>
      </c>
      <c r="U60" s="6" t="s">
        <v>114</v>
      </c>
      <c r="V60" s="6" t="s">
        <v>114</v>
      </c>
      <c r="W60" s="6" t="s">
        <v>192</v>
      </c>
      <c r="X60" s="6" t="s">
        <v>859</v>
      </c>
      <c r="Y60" s="47">
        <v>45555.0</v>
      </c>
      <c r="Z60" s="6" t="s">
        <v>445</v>
      </c>
      <c r="AA60" s="6"/>
      <c r="AB60" s="6" t="s">
        <v>90</v>
      </c>
      <c r="AC60" s="6"/>
      <c r="AD60" s="6" t="s">
        <v>474</v>
      </c>
      <c r="AE60" s="6"/>
      <c r="AF60" s="6"/>
      <c r="AG60" s="6">
        <v>68.0</v>
      </c>
      <c r="AH60" s="6">
        <v>14.0</v>
      </c>
      <c r="AI60" s="6">
        <f t="shared" si="1"/>
        <v>0.2058823529</v>
      </c>
      <c r="AJ60" s="148">
        <f t="shared" si="2"/>
        <v>3662820</v>
      </c>
      <c r="AK60" s="6"/>
      <c r="AL60" s="6"/>
      <c r="AU60" s="25">
        <v>2500.0</v>
      </c>
      <c r="AV60" s="25"/>
      <c r="AW60" s="25"/>
      <c r="BA60" s="6">
        <v>4228.0</v>
      </c>
    </row>
    <row r="61">
      <c r="A61" s="6">
        <v>5.021009036E9</v>
      </c>
      <c r="B61" s="6" t="s">
        <v>3083</v>
      </c>
      <c r="C61" s="6" t="s">
        <v>3084</v>
      </c>
      <c r="D61" s="6">
        <v>1100.0</v>
      </c>
      <c r="E61" s="6" t="s">
        <v>2590</v>
      </c>
      <c r="F61" s="6" t="s">
        <v>2603</v>
      </c>
      <c r="G61" s="6" t="s">
        <v>2604</v>
      </c>
      <c r="H61" s="6">
        <v>0.0</v>
      </c>
      <c r="I61" s="6" t="s">
        <v>2568</v>
      </c>
      <c r="J61" s="147">
        <v>1.779084E7</v>
      </c>
      <c r="K61" s="6"/>
      <c r="L61" s="6" t="s">
        <v>3085</v>
      </c>
      <c r="M61" s="6" t="s">
        <v>2595</v>
      </c>
      <c r="N61" s="6">
        <v>4228.0</v>
      </c>
      <c r="O61" s="6" t="s">
        <v>2583</v>
      </c>
      <c r="P61" s="6" t="s">
        <v>2573</v>
      </c>
      <c r="R61" s="6">
        <v>0.3961</v>
      </c>
      <c r="S61" s="6" t="s">
        <v>3087</v>
      </c>
      <c r="T61" s="6" t="s">
        <v>3088</v>
      </c>
      <c r="U61" s="6" t="s">
        <v>114</v>
      </c>
      <c r="V61" s="6" t="s">
        <v>114</v>
      </c>
      <c r="W61" s="6" t="s">
        <v>192</v>
      </c>
      <c r="X61" s="6" t="s">
        <v>3089</v>
      </c>
      <c r="Y61" s="47">
        <v>45954.0</v>
      </c>
      <c r="Z61" s="6" t="s">
        <v>2498</v>
      </c>
      <c r="AA61" s="6"/>
      <c r="AB61" s="6" t="s">
        <v>90</v>
      </c>
      <c r="AC61" s="6"/>
      <c r="AD61" s="6" t="s">
        <v>474</v>
      </c>
      <c r="AE61" s="6"/>
      <c r="AF61" s="6"/>
      <c r="AG61" s="6">
        <v>68.0</v>
      </c>
      <c r="AH61" s="6">
        <v>14.0</v>
      </c>
      <c r="AI61" s="6">
        <f t="shared" si="1"/>
        <v>0.2058823529</v>
      </c>
      <c r="AJ61" s="148">
        <f t="shared" si="2"/>
        <v>3662820</v>
      </c>
      <c r="AK61" s="6"/>
      <c r="AL61" s="6"/>
      <c r="AU61" s="25">
        <v>2500.0</v>
      </c>
      <c r="AV61" s="25"/>
      <c r="AW61" s="25"/>
      <c r="BA61" s="6">
        <v>4228.0</v>
      </c>
    </row>
    <row r="62">
      <c r="A62" s="6">
        <v>5.024017036E9</v>
      </c>
      <c r="B62" s="6" t="s">
        <v>342</v>
      </c>
      <c r="C62" s="6" t="s">
        <v>3090</v>
      </c>
      <c r="D62" s="6">
        <v>504.0</v>
      </c>
      <c r="E62" s="6" t="s">
        <v>2565</v>
      </c>
      <c r="F62" s="6" t="s">
        <v>3091</v>
      </c>
      <c r="G62" s="6" t="s">
        <v>3092</v>
      </c>
      <c r="H62" s="6">
        <v>111.0</v>
      </c>
      <c r="I62" s="6" t="s">
        <v>2568</v>
      </c>
      <c r="J62" s="147">
        <v>2.691486E7</v>
      </c>
      <c r="K62" s="6"/>
      <c r="L62" s="6" t="s">
        <v>3093</v>
      </c>
      <c r="M62" s="6" t="s">
        <v>3094</v>
      </c>
      <c r="N62" s="6">
        <v>4252.0</v>
      </c>
      <c r="O62" s="6" t="s">
        <v>3095</v>
      </c>
      <c r="P62" s="6" t="s">
        <v>2573</v>
      </c>
      <c r="R62" s="6">
        <v>0.51471</v>
      </c>
      <c r="S62" s="6" t="s">
        <v>538</v>
      </c>
      <c r="T62" s="6" t="s">
        <v>343</v>
      </c>
      <c r="U62" s="6" t="s">
        <v>114</v>
      </c>
      <c r="V62" s="6" t="s">
        <v>114</v>
      </c>
      <c r="W62" s="6" t="s">
        <v>192</v>
      </c>
      <c r="X62" s="6" t="s">
        <v>539</v>
      </c>
      <c r="Y62" s="42">
        <v>45429.0</v>
      </c>
      <c r="Z62" s="6" t="s">
        <v>540</v>
      </c>
      <c r="AA62" s="6" t="s">
        <v>541</v>
      </c>
      <c r="AB62" s="6" t="s">
        <v>203</v>
      </c>
      <c r="AC62" s="6"/>
      <c r="AD62" s="6"/>
      <c r="AE62" s="6"/>
      <c r="AF62" s="6"/>
      <c r="AG62" s="6">
        <v>111.0</v>
      </c>
      <c r="AH62" s="6">
        <v>111.0</v>
      </c>
      <c r="AI62" s="6">
        <f t="shared" si="1"/>
        <v>1</v>
      </c>
      <c r="AJ62" s="148">
        <f t="shared" si="2"/>
        <v>26914860</v>
      </c>
      <c r="AK62" s="6">
        <v>2020.0</v>
      </c>
      <c r="AL62" s="6" t="s">
        <v>474</v>
      </c>
      <c r="AM62" s="6"/>
      <c r="AN62" s="6">
        <v>5.024017036E9</v>
      </c>
      <c r="AO62" s="6"/>
      <c r="AP62" s="6"/>
      <c r="AR62" s="30">
        <v>2.5869724E7</v>
      </c>
      <c r="AS62" s="6">
        <v>0.0</v>
      </c>
      <c r="AT62" s="6"/>
      <c r="AU62" s="25">
        <v>16650.0</v>
      </c>
      <c r="AV62" s="25"/>
      <c r="AW62" s="6">
        <v>319424.0</v>
      </c>
      <c r="AX62" s="6">
        <v>2023.0</v>
      </c>
      <c r="AY62" s="35">
        <v>10883.27</v>
      </c>
      <c r="AZ62" s="6">
        <v>2023.0</v>
      </c>
      <c r="BA62" s="6">
        <v>4252.0</v>
      </c>
    </row>
    <row r="63">
      <c r="A63" s="6">
        <v>5.503015016E9</v>
      </c>
      <c r="B63" s="6" t="s">
        <v>3097</v>
      </c>
      <c r="C63" s="6" t="s">
        <v>3098</v>
      </c>
      <c r="D63" s="6">
        <v>500.0</v>
      </c>
      <c r="E63" s="6" t="s">
        <v>2565</v>
      </c>
      <c r="F63" s="6" t="s">
        <v>2860</v>
      </c>
      <c r="G63" s="6" t="s">
        <v>2567</v>
      </c>
      <c r="H63" s="6">
        <v>40.0</v>
      </c>
      <c r="I63" s="6" t="s">
        <v>2568</v>
      </c>
      <c r="J63" s="147">
        <v>6897851.0</v>
      </c>
      <c r="K63" s="6"/>
      <c r="L63" s="6" t="s">
        <v>3100</v>
      </c>
      <c r="M63" s="6" t="s">
        <v>2649</v>
      </c>
      <c r="N63" s="6">
        <v>426.0</v>
      </c>
      <c r="O63" s="6" t="s">
        <v>3101</v>
      </c>
      <c r="P63" s="6" t="s">
        <v>2573</v>
      </c>
      <c r="R63" s="6">
        <v>0.19843</v>
      </c>
      <c r="S63" s="6" t="s">
        <v>1853</v>
      </c>
      <c r="T63" s="6" t="s">
        <v>1482</v>
      </c>
      <c r="U63" s="6" t="s">
        <v>114</v>
      </c>
      <c r="V63" s="6" t="s">
        <v>114</v>
      </c>
      <c r="W63" s="6" t="s">
        <v>1782</v>
      </c>
      <c r="X63" s="6" t="s">
        <v>1854</v>
      </c>
      <c r="Y63" s="47">
        <v>45919.0</v>
      </c>
      <c r="Z63" s="6" t="s">
        <v>1615</v>
      </c>
      <c r="AA63" s="6"/>
      <c r="AB63" s="6" t="s">
        <v>203</v>
      </c>
      <c r="AC63" s="6"/>
      <c r="AD63" s="6" t="s">
        <v>92</v>
      </c>
      <c r="AE63" s="6"/>
      <c r="AF63" s="6"/>
      <c r="AG63" s="6">
        <v>40.0</v>
      </c>
      <c r="AH63" s="6">
        <v>40.0</v>
      </c>
      <c r="AI63" s="6">
        <f t="shared" si="1"/>
        <v>1</v>
      </c>
      <c r="AJ63" s="148">
        <f t="shared" si="2"/>
        <v>6897851</v>
      </c>
      <c r="AK63" s="6"/>
      <c r="AL63" s="6"/>
      <c r="AU63" s="25">
        <v>6000.0</v>
      </c>
      <c r="AV63" s="25"/>
      <c r="AW63" s="25"/>
      <c r="BA63" s="6">
        <v>426.0</v>
      </c>
    </row>
    <row r="64">
      <c r="A64" s="6">
        <v>7.455002027E9</v>
      </c>
      <c r="B64" s="6" t="s">
        <v>3102</v>
      </c>
      <c r="C64" s="6" t="s">
        <v>3103</v>
      </c>
      <c r="D64" s="6">
        <v>500.0</v>
      </c>
      <c r="E64" s="6" t="s">
        <v>2565</v>
      </c>
      <c r="F64" s="6" t="s">
        <v>2628</v>
      </c>
      <c r="G64" s="6" t="s">
        <v>2629</v>
      </c>
      <c r="H64" s="6">
        <v>93.0</v>
      </c>
      <c r="I64" s="6" t="s">
        <v>2568</v>
      </c>
      <c r="J64" s="147">
        <v>2.3202793E7</v>
      </c>
      <c r="K64" s="6"/>
      <c r="L64" s="6" t="s">
        <v>3104</v>
      </c>
      <c r="M64" s="6" t="s">
        <v>2707</v>
      </c>
      <c r="N64" s="6">
        <v>441.0</v>
      </c>
      <c r="O64" s="6" t="s">
        <v>2895</v>
      </c>
      <c r="P64" s="6" t="s">
        <v>2573</v>
      </c>
      <c r="R64" s="6">
        <v>1.01174</v>
      </c>
      <c r="S64" s="6" t="s">
        <v>815</v>
      </c>
      <c r="T64" s="6" t="s">
        <v>443</v>
      </c>
      <c r="U64" s="6" t="s">
        <v>114</v>
      </c>
      <c r="V64" s="6" t="s">
        <v>114</v>
      </c>
      <c r="W64" s="6" t="s">
        <v>192</v>
      </c>
      <c r="X64" s="6" t="s">
        <v>816</v>
      </c>
      <c r="Y64" s="47">
        <v>45513.0</v>
      </c>
      <c r="Z64" s="6" t="s">
        <v>559</v>
      </c>
      <c r="AA64" s="6"/>
      <c r="AB64" s="6" t="s">
        <v>560</v>
      </c>
      <c r="AC64" s="6"/>
      <c r="AD64" s="6"/>
      <c r="AE64" s="47"/>
      <c r="AF64" s="6"/>
      <c r="AG64" s="6">
        <v>93.0</v>
      </c>
      <c r="AH64" s="6">
        <v>93.0</v>
      </c>
      <c r="AI64" s="6">
        <f t="shared" si="1"/>
        <v>1</v>
      </c>
      <c r="AJ64" s="148">
        <f t="shared" si="2"/>
        <v>23202793</v>
      </c>
      <c r="AK64" s="6">
        <v>1987.0</v>
      </c>
      <c r="AL64" s="6" t="s">
        <v>474</v>
      </c>
      <c r="AM64" s="6"/>
      <c r="AN64" s="6"/>
      <c r="AU64" s="25">
        <v>13950.0</v>
      </c>
      <c r="AV64" s="25"/>
      <c r="AW64" s="25"/>
      <c r="BA64" s="6">
        <v>441.0</v>
      </c>
    </row>
    <row r="65">
      <c r="A65" s="6">
        <v>4.251100188E9</v>
      </c>
      <c r="B65" s="6" t="s">
        <v>3106</v>
      </c>
      <c r="C65" s="6" t="s">
        <v>537</v>
      </c>
      <c r="D65" s="6">
        <v>27.0</v>
      </c>
      <c r="E65" s="6" t="s">
        <v>2974</v>
      </c>
      <c r="F65" s="6" t="s">
        <v>3107</v>
      </c>
      <c r="G65" s="6" t="s">
        <v>3108</v>
      </c>
      <c r="H65" s="6"/>
      <c r="I65" s="6" t="s">
        <v>2666</v>
      </c>
      <c r="J65" s="147">
        <v>9977564.0</v>
      </c>
      <c r="K65" s="6"/>
      <c r="L65" s="6" t="s">
        <v>680</v>
      </c>
      <c r="M65" s="6" t="s">
        <v>2978</v>
      </c>
      <c r="N65" s="6">
        <v>4481.0</v>
      </c>
      <c r="O65" s="6" t="s">
        <v>3109</v>
      </c>
      <c r="P65" s="6" t="s">
        <v>2981</v>
      </c>
      <c r="R65" s="6">
        <v>1.86803</v>
      </c>
      <c r="S65" s="6" t="s">
        <v>680</v>
      </c>
      <c r="T65" s="6" t="s">
        <v>679</v>
      </c>
      <c r="U65" s="6" t="s">
        <v>366</v>
      </c>
      <c r="V65" s="6" t="s">
        <v>111</v>
      </c>
      <c r="W65" s="6" t="s">
        <v>192</v>
      </c>
      <c r="X65" s="6" t="s">
        <v>681</v>
      </c>
      <c r="Y65" s="47">
        <v>45513.0</v>
      </c>
      <c r="Z65" s="6" t="s">
        <v>682</v>
      </c>
      <c r="AA65" s="6"/>
      <c r="AB65" s="6" t="s">
        <v>90</v>
      </c>
      <c r="AC65" s="6"/>
      <c r="AD65" s="6"/>
      <c r="AE65" s="47"/>
      <c r="AF65" s="6"/>
      <c r="AG65" s="6">
        <v>41.0</v>
      </c>
      <c r="AH65" s="6">
        <v>41.0</v>
      </c>
      <c r="AI65" s="6">
        <f t="shared" si="1"/>
        <v>1</v>
      </c>
      <c r="AJ65" s="148">
        <f t="shared" si="2"/>
        <v>9977564</v>
      </c>
      <c r="AK65" s="6"/>
      <c r="AL65" s="6"/>
      <c r="AU65" s="25">
        <v>6150.0</v>
      </c>
      <c r="AV65" s="25"/>
      <c r="AW65" s="25"/>
      <c r="BA65" s="6">
        <v>4481.0</v>
      </c>
    </row>
    <row r="66">
      <c r="A66" s="6">
        <v>5.502011009E9</v>
      </c>
      <c r="B66" s="6" t="s">
        <v>3111</v>
      </c>
      <c r="C66" s="6" t="s">
        <v>3112</v>
      </c>
      <c r="D66" s="6">
        <v>500.0</v>
      </c>
      <c r="E66" s="6" t="s">
        <v>2565</v>
      </c>
      <c r="F66" s="6" t="s">
        <v>2860</v>
      </c>
      <c r="G66" s="6" t="s">
        <v>2567</v>
      </c>
      <c r="H66" s="6">
        <v>48.0</v>
      </c>
      <c r="I66" s="6" t="s">
        <v>2568</v>
      </c>
      <c r="J66" s="147">
        <v>7490880.0</v>
      </c>
      <c r="K66" s="6"/>
      <c r="L66" s="6" t="s">
        <v>3113</v>
      </c>
      <c r="M66" s="6" t="s">
        <v>2649</v>
      </c>
      <c r="N66" s="6">
        <v>454.0</v>
      </c>
      <c r="O66" s="6" t="s">
        <v>3114</v>
      </c>
      <c r="P66" s="6" t="s">
        <v>2573</v>
      </c>
      <c r="R66" s="6">
        <v>0.21396</v>
      </c>
      <c r="S66" s="6" t="s">
        <v>1814</v>
      </c>
      <c r="T66" s="6" t="s">
        <v>1439</v>
      </c>
      <c r="U66" s="6" t="s">
        <v>114</v>
      </c>
      <c r="V66" s="6" t="s">
        <v>114</v>
      </c>
      <c r="W66" s="6" t="s">
        <v>1782</v>
      </c>
      <c r="X66" s="6" t="s">
        <v>1815</v>
      </c>
      <c r="Y66" s="47">
        <v>45919.0</v>
      </c>
      <c r="Z66" s="6" t="s">
        <v>1615</v>
      </c>
      <c r="AA66" s="6"/>
      <c r="AB66" s="6" t="s">
        <v>203</v>
      </c>
      <c r="AC66" s="6"/>
      <c r="AD66" s="6" t="s">
        <v>92</v>
      </c>
      <c r="AE66" s="6"/>
      <c r="AF66" s="6"/>
      <c r="AG66" s="6">
        <v>48.0</v>
      </c>
      <c r="AH66" s="6">
        <v>48.0</v>
      </c>
      <c r="AI66" s="6">
        <f t="shared" si="1"/>
        <v>1</v>
      </c>
      <c r="AJ66" s="148">
        <f t="shared" si="2"/>
        <v>7490880</v>
      </c>
      <c r="AK66" s="6"/>
      <c r="AL66" s="6"/>
      <c r="AU66" s="25">
        <v>7200.0</v>
      </c>
      <c r="AV66" s="25"/>
      <c r="AW66" s="25"/>
      <c r="BA66" s="6">
        <v>454.0</v>
      </c>
    </row>
    <row r="67">
      <c r="A67" s="6">
        <v>4.221007056E9</v>
      </c>
      <c r="B67" s="6" t="s">
        <v>3115</v>
      </c>
      <c r="C67" s="6" t="s">
        <v>3116</v>
      </c>
      <c r="D67" s="6">
        <v>500.0</v>
      </c>
      <c r="E67" s="6" t="s">
        <v>2565</v>
      </c>
      <c r="F67" s="6" t="s">
        <v>2566</v>
      </c>
      <c r="G67" s="6" t="s">
        <v>2567</v>
      </c>
      <c r="H67" s="6">
        <v>0.0</v>
      </c>
      <c r="I67" s="6" t="s">
        <v>2568</v>
      </c>
      <c r="J67" s="147">
        <v>2190000.0</v>
      </c>
      <c r="K67" s="6"/>
      <c r="L67" s="6" t="s">
        <v>3118</v>
      </c>
      <c r="M67" s="6" t="s">
        <v>3119</v>
      </c>
      <c r="N67" s="6">
        <v>4706.0</v>
      </c>
      <c r="O67" s="6" t="s">
        <v>3077</v>
      </c>
      <c r="P67" s="6" t="s">
        <v>2573</v>
      </c>
      <c r="R67" s="6">
        <v>0.21881</v>
      </c>
      <c r="S67" s="6" t="s">
        <v>1759</v>
      </c>
      <c r="T67" s="6" t="s">
        <v>1391</v>
      </c>
      <c r="U67" s="6" t="s">
        <v>114</v>
      </c>
      <c r="V67" s="6" t="s">
        <v>114</v>
      </c>
      <c r="W67" s="6" t="s">
        <v>1119</v>
      </c>
      <c r="X67" s="6" t="s">
        <v>1760</v>
      </c>
      <c r="Y67" s="47">
        <v>45898.0</v>
      </c>
      <c r="Z67" s="6" t="s">
        <v>1690</v>
      </c>
      <c r="AA67" s="6"/>
      <c r="AB67" s="6" t="s">
        <v>90</v>
      </c>
      <c r="AC67" s="6"/>
      <c r="AD67" s="6" t="s">
        <v>474</v>
      </c>
      <c r="AE67" s="6"/>
      <c r="AF67" s="6"/>
      <c r="AG67" s="6">
        <v>73.0</v>
      </c>
      <c r="AH67" s="6">
        <v>72.0</v>
      </c>
      <c r="AI67" s="6">
        <f t="shared" si="1"/>
        <v>0.9863013699</v>
      </c>
      <c r="AJ67" s="148">
        <f t="shared" si="2"/>
        <v>2160000</v>
      </c>
      <c r="AK67" s="6"/>
      <c r="AL67" s="6"/>
      <c r="AU67" s="25">
        <v>10800.0</v>
      </c>
      <c r="AV67" s="25"/>
      <c r="AW67" s="25"/>
      <c r="BA67" s="6">
        <v>4706.0</v>
      </c>
    </row>
    <row r="68">
      <c r="A68" s="6">
        <v>5.4840044E9</v>
      </c>
      <c r="B68" s="6" t="s">
        <v>3120</v>
      </c>
      <c r="C68" s="6" t="s">
        <v>1223</v>
      </c>
      <c r="D68" s="6">
        <v>9101.0</v>
      </c>
      <c r="E68" s="6" t="s">
        <v>2782</v>
      </c>
      <c r="F68" s="6" t="s">
        <v>3121</v>
      </c>
      <c r="G68" s="6" t="s">
        <v>3122</v>
      </c>
      <c r="H68" s="6">
        <v>0.0</v>
      </c>
      <c r="I68" s="6" t="s">
        <v>2666</v>
      </c>
      <c r="J68" s="147">
        <v>2804259.0</v>
      </c>
      <c r="K68" s="6"/>
      <c r="L68" s="6" t="s">
        <v>3123</v>
      </c>
      <c r="M68" s="6" t="s">
        <v>3124</v>
      </c>
      <c r="N68" s="6">
        <v>5040.0</v>
      </c>
      <c r="O68" s="6" t="s">
        <v>3125</v>
      </c>
      <c r="P68" s="6" t="s">
        <v>2788</v>
      </c>
      <c r="Q68" s="6">
        <v>2.82</v>
      </c>
      <c r="R68" s="6">
        <v>2.73239</v>
      </c>
      <c r="S68" s="6" t="s">
        <v>1257</v>
      </c>
      <c r="T68" s="6" t="s">
        <v>1256</v>
      </c>
      <c r="U68" s="6" t="s">
        <v>122</v>
      </c>
      <c r="V68" s="6" t="s">
        <v>122</v>
      </c>
      <c r="W68" s="6" t="s">
        <v>1119</v>
      </c>
      <c r="X68" s="6" t="s">
        <v>1258</v>
      </c>
      <c r="Y68" s="47">
        <v>45793.0</v>
      </c>
      <c r="Z68" s="6" t="s">
        <v>1259</v>
      </c>
      <c r="AA68" s="6"/>
      <c r="AB68" s="6" t="s">
        <v>951</v>
      </c>
      <c r="AC68" s="6"/>
      <c r="AD68" s="6" t="s">
        <v>474</v>
      </c>
      <c r="AE68" s="6"/>
      <c r="AF68" s="6"/>
      <c r="AG68" s="6">
        <v>147.0</v>
      </c>
      <c r="AH68" s="6">
        <v>145.0</v>
      </c>
      <c r="AI68" s="6">
        <f t="shared" si="1"/>
        <v>0.9863945578</v>
      </c>
      <c r="AJ68" s="148">
        <f t="shared" si="2"/>
        <v>2766105.816</v>
      </c>
      <c r="AK68" s="6"/>
      <c r="AL68" s="6"/>
      <c r="AU68" s="25">
        <v>22050.0</v>
      </c>
      <c r="AV68" s="25"/>
      <c r="AW68" s="25"/>
      <c r="BA68" s="6">
        <v>5040.0</v>
      </c>
    </row>
    <row r="69">
      <c r="A69" s="6">
        <v>5.504029006E9</v>
      </c>
      <c r="B69" s="6" t="s">
        <v>3126</v>
      </c>
      <c r="C69" s="6" t="s">
        <v>3127</v>
      </c>
      <c r="D69" s="6">
        <v>501.0</v>
      </c>
      <c r="E69" s="6" t="s">
        <v>2565</v>
      </c>
      <c r="F69" s="6" t="s">
        <v>3128</v>
      </c>
      <c r="G69" s="6" t="s">
        <v>2567</v>
      </c>
      <c r="H69" s="6">
        <v>40.0</v>
      </c>
      <c r="I69" s="6" t="s">
        <v>2568</v>
      </c>
      <c r="J69" s="147">
        <v>1.0012496E7</v>
      </c>
      <c r="K69" s="6"/>
      <c r="L69" s="6" t="s">
        <v>3129</v>
      </c>
      <c r="M69" s="6" t="s">
        <v>3130</v>
      </c>
      <c r="N69" s="6">
        <v>515.0</v>
      </c>
      <c r="O69" s="6" t="s">
        <v>3131</v>
      </c>
      <c r="P69" s="6" t="s">
        <v>2573</v>
      </c>
      <c r="R69" s="6">
        <v>0.62033</v>
      </c>
      <c r="S69" s="6" t="s">
        <v>2055</v>
      </c>
      <c r="T69" s="6" t="s">
        <v>1623</v>
      </c>
      <c r="U69" s="6" t="s">
        <v>114</v>
      </c>
      <c r="V69" s="6" t="s">
        <v>114</v>
      </c>
      <c r="W69" s="6" t="s">
        <v>1782</v>
      </c>
      <c r="X69" s="6" t="s">
        <v>2057</v>
      </c>
      <c r="Y69" s="47">
        <v>45919.0</v>
      </c>
      <c r="Z69" s="6" t="s">
        <v>1615</v>
      </c>
      <c r="AA69" s="6"/>
      <c r="AB69" s="6" t="s">
        <v>203</v>
      </c>
      <c r="AC69" s="6"/>
      <c r="AD69" s="6" t="s">
        <v>92</v>
      </c>
      <c r="AE69" s="6"/>
      <c r="AF69" s="6"/>
      <c r="AG69" s="6">
        <v>40.0</v>
      </c>
      <c r="AH69" s="6">
        <v>40.0</v>
      </c>
      <c r="AI69" s="6">
        <f t="shared" si="1"/>
        <v>1</v>
      </c>
      <c r="AJ69" s="148">
        <f t="shared" si="2"/>
        <v>10012496</v>
      </c>
      <c r="AK69" s="6"/>
      <c r="AL69" s="6"/>
      <c r="AU69" s="25">
        <v>6000.0</v>
      </c>
      <c r="AV69" s="25"/>
      <c r="AW69" s="25"/>
      <c r="BA69" s="6">
        <v>515.0</v>
      </c>
    </row>
    <row r="70">
      <c r="A70" s="6">
        <v>1.7004066E7</v>
      </c>
      <c r="B70" s="6" t="s">
        <v>2797</v>
      </c>
      <c r="C70" s="6" t="s">
        <v>3133</v>
      </c>
      <c r="D70" s="6">
        <v>69.0</v>
      </c>
      <c r="E70" s="6" t="s">
        <v>3134</v>
      </c>
      <c r="F70" s="6" t="s">
        <v>3135</v>
      </c>
      <c r="G70" s="6" t="s">
        <v>3136</v>
      </c>
      <c r="H70" s="6"/>
      <c r="I70" s="6" t="s">
        <v>2666</v>
      </c>
      <c r="J70" s="147">
        <v>4.99392E7</v>
      </c>
      <c r="K70" s="6"/>
      <c r="L70" s="6" t="s">
        <v>3137</v>
      </c>
      <c r="M70" s="6" t="s">
        <v>3138</v>
      </c>
      <c r="N70" s="6">
        <v>5150.0</v>
      </c>
      <c r="O70" s="6" t="s">
        <v>3139</v>
      </c>
      <c r="P70" s="6" t="s">
        <v>2672</v>
      </c>
      <c r="Q70" s="6">
        <v>3.8</v>
      </c>
      <c r="R70" s="6">
        <v>3.7861</v>
      </c>
      <c r="S70" s="6" t="s">
        <v>296</v>
      </c>
      <c r="T70" s="6" t="s">
        <v>1099</v>
      </c>
      <c r="U70" s="6" t="s">
        <v>154</v>
      </c>
      <c r="V70" s="6" t="s">
        <v>129</v>
      </c>
      <c r="W70" s="6"/>
      <c r="X70" s="6"/>
      <c r="Y70" s="47">
        <v>45688.0</v>
      </c>
      <c r="Z70" s="6" t="s">
        <v>1101</v>
      </c>
      <c r="AA70" s="6"/>
      <c r="AB70" s="6" t="s">
        <v>299</v>
      </c>
      <c r="AC70" s="6"/>
      <c r="AD70" s="6" t="s">
        <v>474</v>
      </c>
      <c r="AE70" s="6"/>
      <c r="AF70" s="6"/>
      <c r="AG70" s="6">
        <v>196.0</v>
      </c>
      <c r="AH70" s="6">
        <v>29.0</v>
      </c>
      <c r="AI70" s="6">
        <f t="shared" si="1"/>
        <v>0.1479591837</v>
      </c>
      <c r="AJ70" s="148">
        <f t="shared" si="2"/>
        <v>7388963.265</v>
      </c>
      <c r="AK70" s="6"/>
      <c r="AL70" s="6"/>
      <c r="AN70" s="6">
        <v>1.7004068E7</v>
      </c>
      <c r="AO70" s="6">
        <v>1.7004069E7</v>
      </c>
      <c r="AP70" s="6"/>
      <c r="AQ70" s="6"/>
      <c r="AU70" s="25">
        <v>4350.0</v>
      </c>
      <c r="AV70" s="25"/>
      <c r="AW70" s="25"/>
      <c r="BA70" s="6">
        <v>5150.0</v>
      </c>
    </row>
    <row r="71">
      <c r="A71" s="6">
        <v>5.503017013E9</v>
      </c>
      <c r="B71" s="6" t="s">
        <v>3141</v>
      </c>
      <c r="C71" s="6" t="s">
        <v>3142</v>
      </c>
      <c r="D71" s="6">
        <v>556.0</v>
      </c>
      <c r="E71" s="6" t="s">
        <v>2565</v>
      </c>
      <c r="F71" s="6" t="s">
        <v>3128</v>
      </c>
      <c r="G71" s="6" t="s">
        <v>2567</v>
      </c>
      <c r="H71" s="6">
        <v>59.0</v>
      </c>
      <c r="I71" s="6" t="s">
        <v>2568</v>
      </c>
      <c r="J71" s="147">
        <v>1.4209574E7</v>
      </c>
      <c r="K71" s="6"/>
      <c r="L71" s="6" t="s">
        <v>3143</v>
      </c>
      <c r="M71" s="6" t="s">
        <v>2649</v>
      </c>
      <c r="N71" s="6">
        <v>516.0</v>
      </c>
      <c r="O71" s="6" t="s">
        <v>3131</v>
      </c>
      <c r="P71" s="6" t="s">
        <v>2573</v>
      </c>
      <c r="R71" s="6">
        <v>0.20688</v>
      </c>
      <c r="S71" s="6" t="s">
        <v>2077</v>
      </c>
      <c r="T71" s="6" t="s">
        <v>1648</v>
      </c>
      <c r="U71" s="6" t="s">
        <v>114</v>
      </c>
      <c r="V71" s="6" t="s">
        <v>114</v>
      </c>
      <c r="W71" s="6" t="s">
        <v>1782</v>
      </c>
      <c r="X71" s="6" t="s">
        <v>2078</v>
      </c>
      <c r="Y71" s="47">
        <v>45919.0</v>
      </c>
      <c r="Z71" s="6" t="s">
        <v>1615</v>
      </c>
      <c r="AA71" s="6"/>
      <c r="AB71" s="6" t="s">
        <v>203</v>
      </c>
      <c r="AC71" s="6"/>
      <c r="AD71" s="6" t="s">
        <v>92</v>
      </c>
      <c r="AE71" s="6"/>
      <c r="AF71" s="6"/>
      <c r="AG71" s="6">
        <v>59.0</v>
      </c>
      <c r="AH71" s="6">
        <v>59.0</v>
      </c>
      <c r="AI71" s="6">
        <f t="shared" si="1"/>
        <v>1</v>
      </c>
      <c r="AJ71" s="148">
        <f t="shared" si="2"/>
        <v>14209574</v>
      </c>
      <c r="AK71" s="6"/>
      <c r="AL71" s="6"/>
      <c r="AU71" s="25">
        <v>8850.0</v>
      </c>
      <c r="AV71" s="25"/>
      <c r="AW71" s="25"/>
      <c r="BA71" s="6">
        <v>516.0</v>
      </c>
    </row>
    <row r="72">
      <c r="A72" s="6">
        <v>5.502019004E9</v>
      </c>
      <c r="B72" s="6" t="s">
        <v>3144</v>
      </c>
      <c r="C72" s="6" t="s">
        <v>3145</v>
      </c>
      <c r="D72" s="6">
        <v>500.0</v>
      </c>
      <c r="E72" s="6" t="s">
        <v>2565</v>
      </c>
      <c r="F72" s="6" t="s">
        <v>3128</v>
      </c>
      <c r="G72" s="6" t="s">
        <v>2567</v>
      </c>
      <c r="H72" s="6">
        <v>48.0</v>
      </c>
      <c r="I72" s="6" t="s">
        <v>2568</v>
      </c>
      <c r="J72" s="147">
        <v>1.1471658E7</v>
      </c>
      <c r="K72" s="6"/>
      <c r="L72" s="6" t="s">
        <v>3146</v>
      </c>
      <c r="M72" s="6" t="s">
        <v>2649</v>
      </c>
      <c r="N72" s="6">
        <v>520.0</v>
      </c>
      <c r="O72" s="6" t="s">
        <v>2945</v>
      </c>
      <c r="P72" s="6" t="s">
        <v>2573</v>
      </c>
      <c r="R72" s="6">
        <v>0.20657</v>
      </c>
      <c r="S72" s="6" t="s">
        <v>2177</v>
      </c>
      <c r="T72" s="6" t="s">
        <v>1788</v>
      </c>
      <c r="U72" s="6" t="s">
        <v>114</v>
      </c>
      <c r="V72" s="6" t="s">
        <v>114</v>
      </c>
      <c r="W72" s="6" t="s">
        <v>192</v>
      </c>
      <c r="X72" s="6" t="s">
        <v>2413</v>
      </c>
      <c r="Y72" s="47">
        <v>45940.0</v>
      </c>
      <c r="Z72" s="6" t="s">
        <v>1615</v>
      </c>
      <c r="AA72" s="6"/>
      <c r="AB72" s="6" t="s">
        <v>203</v>
      </c>
      <c r="AC72" s="6"/>
      <c r="AD72" s="6" t="s">
        <v>92</v>
      </c>
      <c r="AE72" s="6"/>
      <c r="AF72" s="6"/>
      <c r="AG72" s="6">
        <v>48.0</v>
      </c>
      <c r="AH72" s="6">
        <v>48.0</v>
      </c>
      <c r="AI72" s="6">
        <f t="shared" si="1"/>
        <v>1</v>
      </c>
      <c r="AJ72" s="148">
        <f t="shared" si="2"/>
        <v>11471658</v>
      </c>
      <c r="AK72" s="6"/>
      <c r="AL72" s="6"/>
      <c r="AU72" s="25">
        <v>7200.0</v>
      </c>
      <c r="AV72" s="25"/>
      <c r="AW72" s="25"/>
      <c r="BA72" s="6">
        <v>520.0</v>
      </c>
    </row>
    <row r="73">
      <c r="A73" s="6">
        <v>5.503024012E9</v>
      </c>
      <c r="B73" s="6" t="s">
        <v>3147</v>
      </c>
      <c r="C73" s="6" t="s">
        <v>3148</v>
      </c>
      <c r="D73" s="6">
        <v>500.0</v>
      </c>
      <c r="E73" s="6" t="s">
        <v>2565</v>
      </c>
      <c r="F73" s="6" t="s">
        <v>3128</v>
      </c>
      <c r="G73" s="6" t="s">
        <v>2567</v>
      </c>
      <c r="H73" s="6">
        <v>44.0</v>
      </c>
      <c r="I73" s="6" t="s">
        <v>2568</v>
      </c>
      <c r="J73" s="147">
        <v>1.0516571E7</v>
      </c>
      <c r="K73" s="6"/>
      <c r="L73" s="6" t="s">
        <v>3149</v>
      </c>
      <c r="M73" s="6" t="s">
        <v>2649</v>
      </c>
      <c r="N73" s="6">
        <v>530.0</v>
      </c>
      <c r="O73" s="6" t="s">
        <v>3150</v>
      </c>
      <c r="P73" s="6" t="s">
        <v>2573</v>
      </c>
      <c r="R73" s="6">
        <v>0.21095</v>
      </c>
      <c r="S73" s="6" t="s">
        <v>2171</v>
      </c>
      <c r="T73" s="6" t="s">
        <v>1765</v>
      </c>
      <c r="U73" s="6" t="s">
        <v>114</v>
      </c>
      <c r="V73" s="6" t="s">
        <v>114</v>
      </c>
      <c r="W73" s="6" t="s">
        <v>192</v>
      </c>
      <c r="X73" s="6" t="s">
        <v>2297</v>
      </c>
      <c r="Y73" s="47">
        <v>45940.0</v>
      </c>
      <c r="Z73" s="6" t="s">
        <v>1615</v>
      </c>
      <c r="AA73" s="6"/>
      <c r="AB73" s="6" t="s">
        <v>203</v>
      </c>
      <c r="AC73" s="6"/>
      <c r="AD73" s="6" t="s">
        <v>92</v>
      </c>
      <c r="AE73" s="6"/>
      <c r="AF73" s="6"/>
      <c r="AG73" s="6">
        <v>45.0</v>
      </c>
      <c r="AH73" s="6">
        <v>45.0</v>
      </c>
      <c r="AI73" s="6">
        <f t="shared" si="1"/>
        <v>1</v>
      </c>
      <c r="AJ73" s="148">
        <f t="shared" si="2"/>
        <v>10516571</v>
      </c>
      <c r="AK73" s="6"/>
      <c r="AL73" s="6"/>
      <c r="AU73" s="25">
        <v>6750.0</v>
      </c>
      <c r="AV73" s="25"/>
      <c r="AW73" s="25"/>
      <c r="BA73" s="6">
        <v>530.0</v>
      </c>
    </row>
    <row r="74">
      <c r="A74" s="6">
        <v>4.6359027E9</v>
      </c>
      <c r="B74" s="6" t="s">
        <v>3152</v>
      </c>
      <c r="C74" s="6" t="s">
        <v>1230</v>
      </c>
      <c r="D74" s="6">
        <v>1200.0</v>
      </c>
      <c r="E74" s="6" t="s">
        <v>2874</v>
      </c>
      <c r="F74" s="6" t="s">
        <v>3153</v>
      </c>
      <c r="G74" s="6" t="s">
        <v>2876</v>
      </c>
      <c r="H74" s="6">
        <v>117.0</v>
      </c>
      <c r="I74" s="6" t="s">
        <v>2666</v>
      </c>
      <c r="J74" s="147">
        <v>3.0350548E7</v>
      </c>
      <c r="K74" s="6"/>
      <c r="L74" s="6" t="s">
        <v>3154</v>
      </c>
      <c r="M74" s="6" t="s">
        <v>3155</v>
      </c>
      <c r="N74" s="6">
        <v>5474.0</v>
      </c>
      <c r="O74" s="6" t="s">
        <v>3156</v>
      </c>
      <c r="P74" s="6" t="s">
        <v>2788</v>
      </c>
      <c r="Q74" s="6">
        <v>3.86</v>
      </c>
      <c r="R74" s="6">
        <v>3.84062</v>
      </c>
      <c r="S74" s="6" t="s">
        <v>1245</v>
      </c>
      <c r="T74" s="6" t="s">
        <v>1244</v>
      </c>
      <c r="U74" s="6" t="s">
        <v>122</v>
      </c>
      <c r="V74" s="6" t="s">
        <v>122</v>
      </c>
      <c r="W74" s="6" t="s">
        <v>1119</v>
      </c>
      <c r="X74" s="6" t="s">
        <v>1246</v>
      </c>
      <c r="Y74" s="47">
        <v>45793.0</v>
      </c>
      <c r="Z74" s="6" t="s">
        <v>623</v>
      </c>
      <c r="AA74" s="6" t="s">
        <v>925</v>
      </c>
      <c r="AB74" s="6" t="s">
        <v>1076</v>
      </c>
      <c r="AC74" s="6"/>
      <c r="AD74" s="6" t="s">
        <v>92</v>
      </c>
      <c r="AE74" s="6"/>
      <c r="AF74" s="6"/>
      <c r="AG74" s="6">
        <v>203.0</v>
      </c>
      <c r="AH74" s="6">
        <v>203.0</v>
      </c>
      <c r="AI74" s="6">
        <f t="shared" si="1"/>
        <v>1</v>
      </c>
      <c r="AJ74" s="148">
        <f t="shared" si="2"/>
        <v>30350548</v>
      </c>
      <c r="AK74" s="6"/>
      <c r="AL74" s="6"/>
      <c r="AU74" s="25">
        <v>30450.0</v>
      </c>
      <c r="AV74" s="25"/>
      <c r="AW74" s="25"/>
      <c r="BA74" s="6">
        <v>5474.0</v>
      </c>
    </row>
    <row r="75">
      <c r="A75" s="6">
        <v>7.0607013E7</v>
      </c>
      <c r="B75" s="6" t="s">
        <v>3157</v>
      </c>
      <c r="C75" s="6" t="s">
        <v>2882</v>
      </c>
      <c r="D75" s="6">
        <v>4.0</v>
      </c>
      <c r="E75" s="6" t="s">
        <v>2663</v>
      </c>
      <c r="F75" s="6" t="s">
        <v>3158</v>
      </c>
      <c r="G75" s="6" t="s">
        <v>3159</v>
      </c>
      <c r="H75" s="6">
        <v>650.0</v>
      </c>
      <c r="I75" s="6" t="s">
        <v>2666</v>
      </c>
      <c r="J75" s="147">
        <v>2.69608107E8</v>
      </c>
      <c r="K75" s="6"/>
      <c r="L75" s="6" t="s">
        <v>3160</v>
      </c>
      <c r="M75" s="6" t="s">
        <v>3161</v>
      </c>
      <c r="N75" s="6">
        <v>5805.0</v>
      </c>
      <c r="O75" s="6" t="s">
        <v>3162</v>
      </c>
      <c r="P75" s="6" t="s">
        <v>2672</v>
      </c>
      <c r="Q75" s="6">
        <v>10.81</v>
      </c>
      <c r="R75" s="6">
        <v>10.75904</v>
      </c>
      <c r="S75" s="6" t="s">
        <v>1425</v>
      </c>
      <c r="T75" s="6" t="s">
        <v>2208</v>
      </c>
      <c r="U75" s="6" t="s">
        <v>155</v>
      </c>
      <c r="V75" s="6" t="s">
        <v>129</v>
      </c>
      <c r="W75" s="6" t="s">
        <v>3163</v>
      </c>
      <c r="X75" s="6" t="s">
        <v>2577</v>
      </c>
      <c r="Y75" s="47">
        <v>45981.0</v>
      </c>
      <c r="Z75" s="6" t="s">
        <v>623</v>
      </c>
      <c r="AA75" s="6"/>
      <c r="AB75" s="6"/>
      <c r="AC75" s="47"/>
      <c r="AD75" s="6"/>
      <c r="AE75" s="47"/>
      <c r="AF75" s="6"/>
      <c r="AG75" s="6">
        <v>650.0</v>
      </c>
      <c r="AH75" s="6">
        <v>260.0</v>
      </c>
      <c r="AI75" s="6">
        <f t="shared" si="1"/>
        <v>0.4</v>
      </c>
      <c r="AJ75" s="148">
        <f t="shared" si="2"/>
        <v>107843242.8</v>
      </c>
      <c r="AK75" s="6"/>
      <c r="AL75" s="6"/>
      <c r="AN75" s="6">
        <v>7.0607013E7</v>
      </c>
      <c r="AO75" s="6"/>
      <c r="AP75" s="6"/>
      <c r="AS75" s="25">
        <v>2.75000268E8</v>
      </c>
      <c r="AT75" s="25"/>
      <c r="AU75" s="25"/>
      <c r="BA75" s="6">
        <v>5805.0</v>
      </c>
    </row>
    <row r="76">
      <c r="A76" s="6">
        <v>8.608030071E9</v>
      </c>
      <c r="B76" s="6" t="s">
        <v>1362</v>
      </c>
      <c r="C76" s="6" t="s">
        <v>3164</v>
      </c>
      <c r="D76" s="6">
        <v>501.0</v>
      </c>
      <c r="E76" s="6" t="s">
        <v>2565</v>
      </c>
      <c r="F76" s="6" t="s">
        <v>3165</v>
      </c>
      <c r="G76" s="6" t="s">
        <v>3166</v>
      </c>
      <c r="H76" s="6">
        <v>112.0</v>
      </c>
      <c r="I76" s="6" t="s">
        <v>2568</v>
      </c>
      <c r="J76" s="147">
        <v>1.3224803E7</v>
      </c>
      <c r="K76" s="6"/>
      <c r="L76" s="6" t="s">
        <v>3167</v>
      </c>
      <c r="M76" s="6" t="s">
        <v>3168</v>
      </c>
      <c r="N76" s="6">
        <v>601.0</v>
      </c>
      <c r="O76" s="6" t="s">
        <v>3169</v>
      </c>
      <c r="P76" s="6" t="s">
        <v>2573</v>
      </c>
      <c r="R76" s="6">
        <v>4.33207</v>
      </c>
      <c r="S76" s="6" t="s">
        <v>1465</v>
      </c>
      <c r="T76" s="6" t="s">
        <v>1365</v>
      </c>
      <c r="U76" s="6" t="s">
        <v>1402</v>
      </c>
      <c r="V76" s="6" t="s">
        <v>114</v>
      </c>
      <c r="W76" s="6" t="s">
        <v>1119</v>
      </c>
      <c r="X76" s="6" t="s">
        <v>1466</v>
      </c>
      <c r="Y76" s="47">
        <v>45877.0</v>
      </c>
      <c r="Z76" s="6" t="s">
        <v>1162</v>
      </c>
      <c r="AA76" s="6"/>
      <c r="AB76" s="6" t="s">
        <v>203</v>
      </c>
      <c r="AC76" s="6"/>
      <c r="AD76" s="6" t="s">
        <v>92</v>
      </c>
      <c r="AE76" s="6"/>
      <c r="AF76" s="6"/>
      <c r="AG76" s="6">
        <v>112.0</v>
      </c>
      <c r="AH76" s="6">
        <v>112.0</v>
      </c>
      <c r="AI76" s="6">
        <f t="shared" si="1"/>
        <v>1</v>
      </c>
      <c r="AJ76" s="148">
        <f t="shared" si="2"/>
        <v>13224803</v>
      </c>
      <c r="AK76" s="6"/>
      <c r="AL76" s="6"/>
      <c r="AU76" s="25">
        <v>16800.0</v>
      </c>
      <c r="AV76" s="25"/>
      <c r="AW76" s="25"/>
      <c r="BA76" s="6">
        <v>601.0</v>
      </c>
    </row>
    <row r="77">
      <c r="A77" s="6">
        <v>6.3908061E9</v>
      </c>
      <c r="B77" s="6" t="s">
        <v>3171</v>
      </c>
      <c r="C77" s="6" t="s">
        <v>1358</v>
      </c>
      <c r="D77" s="6">
        <v>1200.0</v>
      </c>
      <c r="E77" s="6" t="s">
        <v>2874</v>
      </c>
      <c r="F77" s="6" t="s">
        <v>3172</v>
      </c>
      <c r="G77" s="6" t="s">
        <v>3173</v>
      </c>
      <c r="H77" s="6">
        <v>183.0</v>
      </c>
      <c r="I77" s="6" t="s">
        <v>2666</v>
      </c>
      <c r="J77" s="147">
        <v>5.1548563E7</v>
      </c>
      <c r="K77" s="6"/>
      <c r="L77" s="6" t="s">
        <v>3174</v>
      </c>
      <c r="M77" s="6" t="s">
        <v>3175</v>
      </c>
      <c r="N77" s="6">
        <v>601.0</v>
      </c>
      <c r="O77" s="6" t="s">
        <v>3176</v>
      </c>
      <c r="P77" s="6" t="s">
        <v>2788</v>
      </c>
      <c r="Q77" s="6">
        <v>8.79</v>
      </c>
      <c r="R77" s="6">
        <v>8.64882</v>
      </c>
      <c r="S77" s="6" t="s">
        <v>1577</v>
      </c>
      <c r="T77" s="6" t="s">
        <v>837</v>
      </c>
      <c r="U77" s="6" t="s">
        <v>178</v>
      </c>
      <c r="V77" s="6" t="s">
        <v>122</v>
      </c>
      <c r="W77" s="6" t="s">
        <v>1119</v>
      </c>
      <c r="X77" s="6" t="s">
        <v>1578</v>
      </c>
      <c r="Y77" s="47">
        <v>45877.0</v>
      </c>
      <c r="Z77" s="6" t="s">
        <v>622</v>
      </c>
      <c r="AA77" s="6"/>
      <c r="AB77" s="6" t="s">
        <v>560</v>
      </c>
      <c r="AC77" s="6"/>
      <c r="AD77" s="6" t="s">
        <v>92</v>
      </c>
      <c r="AE77" s="6"/>
      <c r="AF77" s="6"/>
      <c r="AG77" s="6">
        <v>183.0</v>
      </c>
      <c r="AH77" s="6">
        <v>183.0</v>
      </c>
      <c r="AI77" s="6">
        <f t="shared" si="1"/>
        <v>1</v>
      </c>
      <c r="AJ77" s="148">
        <f t="shared" si="2"/>
        <v>51548563</v>
      </c>
      <c r="AK77" s="6">
        <v>1981.0</v>
      </c>
      <c r="AL77" s="6"/>
      <c r="AM77" s="6"/>
      <c r="AU77" s="25">
        <v>27450.0</v>
      </c>
      <c r="AV77" s="25"/>
      <c r="AW77" s="25"/>
      <c r="BA77" s="6">
        <v>601.0</v>
      </c>
    </row>
    <row r="78">
      <c r="A78" s="6">
        <v>4.6103043E9</v>
      </c>
      <c r="B78" s="6" t="s">
        <v>3178</v>
      </c>
      <c r="C78" s="6" t="s">
        <v>799</v>
      </c>
      <c r="D78" s="6">
        <v>5004.0</v>
      </c>
      <c r="E78" s="6" t="s">
        <v>3179</v>
      </c>
      <c r="F78" s="6" t="s">
        <v>3180</v>
      </c>
      <c r="G78" s="6" t="s">
        <v>3181</v>
      </c>
      <c r="H78" s="6">
        <v>1.0</v>
      </c>
      <c r="I78" s="6" t="s">
        <v>2666</v>
      </c>
      <c r="J78" s="147">
        <v>1.3362E7</v>
      </c>
      <c r="K78" s="6"/>
      <c r="L78" s="6" t="s">
        <v>3182</v>
      </c>
      <c r="M78" s="6" t="s">
        <v>3183</v>
      </c>
      <c r="N78" s="6">
        <v>6171.0</v>
      </c>
      <c r="O78" s="6" t="s">
        <v>3184</v>
      </c>
      <c r="P78" s="6" t="s">
        <v>2788</v>
      </c>
      <c r="Q78" s="6">
        <v>1.52</v>
      </c>
      <c r="R78" s="6">
        <v>1.51996</v>
      </c>
      <c r="S78" s="6" t="s">
        <v>945</v>
      </c>
      <c r="T78" s="6" t="s">
        <v>944</v>
      </c>
      <c r="U78" s="6" t="s">
        <v>122</v>
      </c>
      <c r="V78" s="6" t="s">
        <v>122</v>
      </c>
      <c r="W78" s="6" t="s">
        <v>192</v>
      </c>
      <c r="X78" s="6" t="s">
        <v>948</v>
      </c>
      <c r="Y78" s="47">
        <v>45576.0</v>
      </c>
      <c r="Z78" s="6" t="s">
        <v>950</v>
      </c>
      <c r="AA78" s="6"/>
      <c r="AB78" s="6" t="s">
        <v>951</v>
      </c>
      <c r="AC78" s="6"/>
      <c r="AD78" s="6" t="s">
        <v>474</v>
      </c>
      <c r="AE78" s="6"/>
      <c r="AF78" s="6"/>
      <c r="AG78" s="6">
        <v>488.0</v>
      </c>
      <c r="AH78" s="6">
        <v>483.0</v>
      </c>
      <c r="AI78" s="6">
        <f t="shared" si="1"/>
        <v>0.9897540984</v>
      </c>
      <c r="AJ78" s="148">
        <f t="shared" si="2"/>
        <v>13225094.26</v>
      </c>
      <c r="AK78" s="6"/>
      <c r="AL78" s="6"/>
      <c r="AU78" s="25">
        <v>72450.0</v>
      </c>
      <c r="AV78" s="25"/>
      <c r="AW78" s="25"/>
      <c r="BA78" s="6">
        <v>6171.0</v>
      </c>
    </row>
    <row r="79">
      <c r="A79" s="6">
        <v>6.005021032E9</v>
      </c>
      <c r="B79" s="6" t="s">
        <v>3185</v>
      </c>
      <c r="C79" s="6" t="s">
        <v>3186</v>
      </c>
      <c r="D79" s="6" t="s">
        <v>725</v>
      </c>
      <c r="E79" s="6" t="s">
        <v>3187</v>
      </c>
      <c r="F79" s="6" t="s">
        <v>2603</v>
      </c>
      <c r="G79" s="6" t="s">
        <v>2604</v>
      </c>
      <c r="H79" s="6">
        <v>1.0</v>
      </c>
      <c r="I79" s="6" t="s">
        <v>2568</v>
      </c>
      <c r="J79" s="147">
        <v>1326510.0</v>
      </c>
      <c r="K79" s="6"/>
      <c r="L79" s="6" t="s">
        <v>3188</v>
      </c>
      <c r="M79" s="6" t="s">
        <v>2595</v>
      </c>
      <c r="N79" s="6">
        <v>6200.0</v>
      </c>
      <c r="O79" s="6" t="s">
        <v>3189</v>
      </c>
      <c r="P79" s="6" t="s">
        <v>2573</v>
      </c>
      <c r="R79" s="6">
        <v>0.25488</v>
      </c>
      <c r="S79" s="6" t="s">
        <v>842</v>
      </c>
      <c r="T79" s="6" t="s">
        <v>724</v>
      </c>
      <c r="U79" s="6" t="s">
        <v>114</v>
      </c>
      <c r="V79" s="6" t="s">
        <v>114</v>
      </c>
      <c r="W79" s="6" t="s">
        <v>192</v>
      </c>
      <c r="X79" s="6" t="s">
        <v>843</v>
      </c>
      <c r="Y79" s="47">
        <v>45555.0</v>
      </c>
      <c r="Z79" s="6" t="s">
        <v>445</v>
      </c>
      <c r="AA79" s="6"/>
      <c r="AB79" s="6" t="s">
        <v>90</v>
      </c>
      <c r="AC79" s="6"/>
      <c r="AD79" s="6" t="s">
        <v>474</v>
      </c>
      <c r="AE79" s="6"/>
      <c r="AF79" s="6"/>
      <c r="AG79" s="6">
        <v>66.0</v>
      </c>
      <c r="AH79" s="6">
        <v>51.0</v>
      </c>
      <c r="AI79" s="6">
        <f t="shared" si="1"/>
        <v>0.7727272727</v>
      </c>
      <c r="AJ79" s="148">
        <f t="shared" si="2"/>
        <v>1025030.455</v>
      </c>
      <c r="AK79" s="6"/>
      <c r="AL79" s="6"/>
      <c r="AU79" s="25">
        <v>7950.0</v>
      </c>
      <c r="AV79" s="25"/>
      <c r="AW79" s="25"/>
      <c r="BA79" s="6">
        <v>6200.0</v>
      </c>
    </row>
    <row r="80">
      <c r="A80" s="6">
        <v>6.006018001E9</v>
      </c>
      <c r="B80" s="6" t="s">
        <v>3191</v>
      </c>
      <c r="C80" s="6" t="s">
        <v>3192</v>
      </c>
      <c r="D80" s="6" t="s">
        <v>725</v>
      </c>
      <c r="E80" s="6" t="s">
        <v>3187</v>
      </c>
      <c r="F80" s="6" t="s">
        <v>2603</v>
      </c>
      <c r="G80" s="6" t="s">
        <v>2604</v>
      </c>
      <c r="H80" s="6">
        <v>0.0</v>
      </c>
      <c r="I80" s="6" t="s">
        <v>2568</v>
      </c>
      <c r="J80" s="147">
        <v>426520.0</v>
      </c>
      <c r="K80" s="6"/>
      <c r="L80" s="6" t="s">
        <v>3193</v>
      </c>
      <c r="M80" s="6" t="s">
        <v>3072</v>
      </c>
      <c r="N80" s="6">
        <v>6401.0</v>
      </c>
      <c r="O80" s="6" t="s">
        <v>2596</v>
      </c>
      <c r="P80" s="6" t="s">
        <v>2573</v>
      </c>
      <c r="R80" s="6">
        <v>0.16385</v>
      </c>
      <c r="S80" s="6" t="s">
        <v>1336</v>
      </c>
      <c r="T80" s="6" t="s">
        <v>1286</v>
      </c>
      <c r="U80" s="6" t="s">
        <v>114</v>
      </c>
      <c r="V80" s="6" t="s">
        <v>114</v>
      </c>
      <c r="W80" s="6" t="s">
        <v>1119</v>
      </c>
      <c r="X80" s="6" t="s">
        <v>1337</v>
      </c>
      <c r="Y80" s="47">
        <v>45835.0</v>
      </c>
      <c r="Z80" s="6" t="s">
        <v>445</v>
      </c>
      <c r="AA80" s="6"/>
      <c r="AB80" s="6" t="s">
        <v>90</v>
      </c>
      <c r="AC80" s="6"/>
      <c r="AD80" s="6" t="s">
        <v>474</v>
      </c>
      <c r="AE80" s="6"/>
      <c r="AF80" s="6"/>
      <c r="AG80" s="6">
        <v>28.0</v>
      </c>
      <c r="AH80" s="6">
        <v>27.0</v>
      </c>
      <c r="AI80" s="6">
        <f t="shared" si="1"/>
        <v>0.9642857143</v>
      </c>
      <c r="AJ80" s="148">
        <f t="shared" si="2"/>
        <v>411287.1429</v>
      </c>
      <c r="AK80" s="6"/>
      <c r="AL80" s="6"/>
      <c r="AU80" s="25">
        <v>4050.0</v>
      </c>
      <c r="AV80" s="25"/>
      <c r="AW80" s="25"/>
      <c r="BA80" s="6">
        <v>6401.0</v>
      </c>
    </row>
    <row r="81">
      <c r="A81" s="6">
        <v>1.5434025E7</v>
      </c>
      <c r="B81" s="6" t="s">
        <v>3195</v>
      </c>
      <c r="C81" s="6" t="s">
        <v>145</v>
      </c>
      <c r="D81" s="6">
        <v>4.0</v>
      </c>
      <c r="E81" s="6" t="s">
        <v>2663</v>
      </c>
      <c r="F81" s="6" t="s">
        <v>3196</v>
      </c>
      <c r="G81" s="6" t="s">
        <v>3197</v>
      </c>
      <c r="H81" s="6">
        <v>50.0</v>
      </c>
      <c r="I81" s="6" t="s">
        <v>2666</v>
      </c>
      <c r="J81" s="147">
        <v>1.6445439E7</v>
      </c>
      <c r="K81" s="6"/>
      <c r="L81" s="6" t="s">
        <v>3198</v>
      </c>
      <c r="M81" s="6" t="s">
        <v>3138</v>
      </c>
      <c r="N81" s="6">
        <v>660.0</v>
      </c>
      <c r="O81" s="6" t="s">
        <v>2945</v>
      </c>
      <c r="P81" s="6" t="s">
        <v>2672</v>
      </c>
      <c r="Q81" s="6">
        <v>1.57</v>
      </c>
      <c r="R81" s="6">
        <v>1.65214</v>
      </c>
      <c r="S81" s="6" t="s">
        <v>3199</v>
      </c>
      <c r="T81" s="6" t="s">
        <v>288</v>
      </c>
      <c r="U81" s="6" t="s">
        <v>149</v>
      </c>
      <c r="V81" s="6" t="s">
        <v>129</v>
      </c>
      <c r="W81" s="6" t="s">
        <v>192</v>
      </c>
      <c r="X81" s="6" t="s">
        <v>290</v>
      </c>
      <c r="Y81" s="150">
        <v>45142.0</v>
      </c>
      <c r="Z81" s="6" t="s">
        <v>296</v>
      </c>
      <c r="AA81" s="6"/>
      <c r="AB81" s="6" t="s">
        <v>299</v>
      </c>
      <c r="AC81" s="6"/>
      <c r="AD81" s="6"/>
      <c r="AE81" s="150"/>
      <c r="AF81" s="6"/>
      <c r="AG81" s="6">
        <v>48.0</v>
      </c>
      <c r="AH81" s="6">
        <v>48.0</v>
      </c>
      <c r="AI81" s="6">
        <f t="shared" si="1"/>
        <v>1</v>
      </c>
      <c r="AJ81" s="148">
        <f t="shared" si="2"/>
        <v>16445439</v>
      </c>
      <c r="AK81" s="6"/>
      <c r="AL81" s="6" t="s">
        <v>474</v>
      </c>
      <c r="AM81" s="6"/>
      <c r="AN81" s="6" t="s">
        <v>3200</v>
      </c>
      <c r="AO81" s="6"/>
      <c r="AP81" s="6"/>
      <c r="AS81" s="25">
        <v>341192.0</v>
      </c>
      <c r="AT81" s="25"/>
      <c r="AU81" s="25">
        <v>7500.0</v>
      </c>
      <c r="AV81" s="25"/>
      <c r="AW81" s="6">
        <v>193967.18</v>
      </c>
      <c r="AX81" s="6">
        <v>2024.0</v>
      </c>
      <c r="AY81" s="46">
        <v>7477.7</v>
      </c>
      <c r="AZ81" s="6">
        <v>2025.0</v>
      </c>
      <c r="BA81" s="6">
        <v>660.0</v>
      </c>
    </row>
    <row r="82">
      <c r="A82" s="6">
        <v>5.547013021E9</v>
      </c>
      <c r="B82" s="6" t="s">
        <v>325</v>
      </c>
      <c r="C82" s="6" t="s">
        <v>3202</v>
      </c>
      <c r="D82" s="6">
        <v>500.0</v>
      </c>
      <c r="E82" s="6" t="s">
        <v>2565</v>
      </c>
      <c r="F82" s="6" t="s">
        <v>3203</v>
      </c>
      <c r="G82" s="6" t="s">
        <v>3204</v>
      </c>
      <c r="H82" s="6">
        <v>69.0</v>
      </c>
      <c r="I82" s="6" t="s">
        <v>2568</v>
      </c>
      <c r="J82" s="147">
        <v>8706757.0</v>
      </c>
      <c r="K82" s="6"/>
      <c r="L82" s="6" t="s">
        <v>3205</v>
      </c>
      <c r="M82" s="6" t="s">
        <v>3206</v>
      </c>
      <c r="N82" s="6">
        <v>6762.0</v>
      </c>
      <c r="O82" s="6" t="s">
        <v>3207</v>
      </c>
      <c r="P82" s="6" t="s">
        <v>2573</v>
      </c>
      <c r="R82" s="6">
        <v>0.17031</v>
      </c>
      <c r="S82" s="6" t="s">
        <v>526</v>
      </c>
      <c r="T82" s="6" t="s">
        <v>328</v>
      </c>
      <c r="U82" s="6" t="s">
        <v>114</v>
      </c>
      <c r="V82" s="6" t="s">
        <v>114</v>
      </c>
      <c r="W82" s="6" t="s">
        <v>192</v>
      </c>
      <c r="X82" s="6" t="s">
        <v>527</v>
      </c>
      <c r="Y82" s="42">
        <v>45408.0</v>
      </c>
      <c r="Z82" s="6" t="s">
        <v>411</v>
      </c>
      <c r="AA82" s="6"/>
      <c r="AB82" s="6" t="s">
        <v>412</v>
      </c>
      <c r="AC82" s="6"/>
      <c r="AD82" s="6"/>
      <c r="AE82" s="42"/>
      <c r="AF82" s="6"/>
      <c r="AG82" s="6">
        <v>69.0</v>
      </c>
      <c r="AH82" s="6">
        <v>69.0</v>
      </c>
      <c r="AI82" s="6">
        <f t="shared" si="1"/>
        <v>1</v>
      </c>
      <c r="AJ82" s="148">
        <f t="shared" si="2"/>
        <v>8706757</v>
      </c>
      <c r="AK82" s="6">
        <v>2023.0</v>
      </c>
      <c r="AL82" s="6"/>
      <c r="AM82" s="6"/>
      <c r="AN82" s="6">
        <v>5.547013021E9</v>
      </c>
      <c r="AO82" s="6"/>
      <c r="AP82" s="6"/>
      <c r="AR82" s="30">
        <v>8368664.0</v>
      </c>
      <c r="AS82" s="30"/>
      <c r="AT82" s="30"/>
      <c r="AU82" s="25">
        <v>10350.0</v>
      </c>
      <c r="AV82" s="25"/>
      <c r="AW82" s="25"/>
      <c r="BA82" s="6">
        <v>6762.0</v>
      </c>
    </row>
    <row r="83">
      <c r="A83" s="6">
        <v>7.451026002E9</v>
      </c>
      <c r="B83" s="6" t="s">
        <v>3209</v>
      </c>
      <c r="C83" s="6" t="s">
        <v>1309</v>
      </c>
      <c r="D83" s="6">
        <v>500.0</v>
      </c>
      <c r="E83" s="6" t="s">
        <v>2565</v>
      </c>
      <c r="F83" s="6" t="s">
        <v>2603</v>
      </c>
      <c r="G83" s="6" t="s">
        <v>2604</v>
      </c>
      <c r="H83" s="6">
        <v>28.0</v>
      </c>
      <c r="I83" s="6" t="s">
        <v>2568</v>
      </c>
      <c r="J83" s="147">
        <v>3002337.0</v>
      </c>
      <c r="K83" s="6"/>
      <c r="L83" s="6" t="s">
        <v>3210</v>
      </c>
      <c r="M83" s="6" t="s">
        <v>3072</v>
      </c>
      <c r="N83" s="6">
        <v>685.0</v>
      </c>
      <c r="O83" s="6" t="s">
        <v>2847</v>
      </c>
      <c r="P83" s="6" t="s">
        <v>2573</v>
      </c>
      <c r="R83" s="6">
        <v>0.11467</v>
      </c>
      <c r="S83" s="6" t="s">
        <v>1370</v>
      </c>
      <c r="T83" s="6" t="s">
        <v>1312</v>
      </c>
      <c r="U83" s="6" t="s">
        <v>114</v>
      </c>
      <c r="V83" s="6" t="s">
        <v>114</v>
      </c>
      <c r="W83" s="6" t="s">
        <v>1119</v>
      </c>
      <c r="X83" s="6" t="s">
        <v>1371</v>
      </c>
      <c r="Y83" s="47">
        <v>45835.0</v>
      </c>
      <c r="Z83" s="6" t="s">
        <v>445</v>
      </c>
      <c r="AA83" s="6"/>
      <c r="AB83" s="6" t="s">
        <v>90</v>
      </c>
      <c r="AC83" s="6"/>
      <c r="AD83" s="6" t="s">
        <v>474</v>
      </c>
      <c r="AE83" s="6"/>
      <c r="AF83" s="6"/>
      <c r="AG83" s="6">
        <v>28.0</v>
      </c>
      <c r="AH83" s="6">
        <v>27.0</v>
      </c>
      <c r="AI83" s="6">
        <f t="shared" si="1"/>
        <v>0.9642857143</v>
      </c>
      <c r="AJ83" s="148">
        <f t="shared" si="2"/>
        <v>2895110.679</v>
      </c>
      <c r="AK83" s="6"/>
      <c r="AL83" s="6"/>
      <c r="AU83" s="25">
        <v>4050.0</v>
      </c>
      <c r="AV83" s="25"/>
      <c r="AW83" s="25"/>
      <c r="BA83" s="6">
        <v>685.0</v>
      </c>
    </row>
    <row r="84">
      <c r="A84" s="6">
        <v>2.600370012E13</v>
      </c>
      <c r="B84" s="6" t="s">
        <v>3212</v>
      </c>
      <c r="C84" s="6" t="s">
        <v>841</v>
      </c>
      <c r="D84" s="6" t="s">
        <v>3213</v>
      </c>
      <c r="E84" s="6"/>
      <c r="F84" s="6" t="s">
        <v>3214</v>
      </c>
      <c r="G84" s="6" t="s">
        <v>3215</v>
      </c>
      <c r="H84" s="6"/>
      <c r="I84" s="6" t="s">
        <v>2680</v>
      </c>
      <c r="J84" s="147">
        <v>1.2145525E7</v>
      </c>
      <c r="K84" s="6"/>
      <c r="L84" s="6" t="s">
        <v>3216</v>
      </c>
      <c r="M84" s="6" t="s">
        <v>2682</v>
      </c>
      <c r="N84" s="6">
        <v>6930.0</v>
      </c>
      <c r="O84" s="6" t="s">
        <v>3217</v>
      </c>
      <c r="P84" s="6" t="s">
        <v>2684</v>
      </c>
      <c r="R84" s="6">
        <v>1.72534</v>
      </c>
      <c r="S84" s="6" t="s">
        <v>1005</v>
      </c>
      <c r="T84" s="6" t="s">
        <v>1004</v>
      </c>
      <c r="U84" s="6" t="s">
        <v>694</v>
      </c>
      <c r="V84" s="6" t="s">
        <v>120</v>
      </c>
      <c r="W84" s="6" t="s">
        <v>192</v>
      </c>
      <c r="X84" s="6" t="s">
        <v>1006</v>
      </c>
      <c r="Y84" s="47">
        <v>45597.0</v>
      </c>
      <c r="Z84" s="6" t="s">
        <v>986</v>
      </c>
      <c r="AA84" s="6"/>
      <c r="AB84" s="6" t="s">
        <v>560</v>
      </c>
      <c r="AC84" s="6"/>
      <c r="AD84" s="6" t="s">
        <v>92</v>
      </c>
      <c r="AE84" s="6"/>
      <c r="AF84" s="6"/>
      <c r="AG84" s="6">
        <v>198.0</v>
      </c>
      <c r="AH84" s="6">
        <v>198.0</v>
      </c>
      <c r="AI84" s="6">
        <f t="shared" si="1"/>
        <v>1</v>
      </c>
      <c r="AJ84" s="148">
        <f t="shared" si="2"/>
        <v>12145525</v>
      </c>
      <c r="AK84" s="6" t="s">
        <v>1014</v>
      </c>
      <c r="AL84" s="6"/>
      <c r="AM84" s="6"/>
      <c r="AU84" s="25">
        <v>29700.0</v>
      </c>
      <c r="AV84" s="25"/>
      <c r="AW84" s="25"/>
      <c r="BA84" s="6">
        <v>6930.0</v>
      </c>
    </row>
    <row r="85">
      <c r="A85" s="6">
        <v>5.3514415E9</v>
      </c>
      <c r="B85" s="6" t="s">
        <v>3220</v>
      </c>
      <c r="C85" s="6" t="s">
        <v>829</v>
      </c>
      <c r="D85" s="6">
        <v>9700.0</v>
      </c>
      <c r="E85" s="6" t="s">
        <v>3221</v>
      </c>
      <c r="F85" s="6" t="s">
        <v>3222</v>
      </c>
      <c r="G85" s="6" t="s">
        <v>3223</v>
      </c>
      <c r="H85" s="6">
        <v>229.0</v>
      </c>
      <c r="I85" s="6" t="s">
        <v>2666</v>
      </c>
      <c r="J85" s="147">
        <v>5.3339453E7</v>
      </c>
      <c r="K85" s="6"/>
      <c r="L85" s="6" t="s">
        <v>3224</v>
      </c>
      <c r="M85" s="6" t="s">
        <v>3225</v>
      </c>
      <c r="N85" s="6">
        <v>699.0</v>
      </c>
      <c r="O85" s="6" t="s">
        <v>3226</v>
      </c>
      <c r="P85" s="6" t="s">
        <v>2788</v>
      </c>
      <c r="Q85" s="6">
        <v>1.38</v>
      </c>
      <c r="R85" s="6">
        <v>1.3798</v>
      </c>
      <c r="S85" s="6" t="s">
        <v>969</v>
      </c>
      <c r="T85" s="6" t="s">
        <v>967</v>
      </c>
      <c r="U85" s="6" t="s">
        <v>122</v>
      </c>
      <c r="V85" s="6" t="s">
        <v>122</v>
      </c>
      <c r="W85" s="6" t="s">
        <v>192</v>
      </c>
      <c r="X85" s="6" t="s">
        <v>971</v>
      </c>
      <c r="Y85" s="47">
        <v>45597.0</v>
      </c>
      <c r="Z85" s="6" t="s">
        <v>973</v>
      </c>
      <c r="AA85" s="6"/>
      <c r="AB85" s="6" t="s">
        <v>973</v>
      </c>
      <c r="AC85" s="6"/>
      <c r="AD85" s="6" t="s">
        <v>92</v>
      </c>
      <c r="AE85" s="6"/>
      <c r="AF85" s="6"/>
      <c r="AG85" s="6">
        <v>229.0</v>
      </c>
      <c r="AH85" s="6">
        <v>229.0</v>
      </c>
      <c r="AI85" s="6">
        <f t="shared" si="1"/>
        <v>1</v>
      </c>
      <c r="AJ85" s="148">
        <f t="shared" si="2"/>
        <v>53339453</v>
      </c>
      <c r="AK85" s="6"/>
      <c r="AL85" s="6"/>
      <c r="AU85" s="25">
        <v>34350.0</v>
      </c>
      <c r="AV85" s="25"/>
      <c r="AW85" s="25"/>
      <c r="BA85" s="6">
        <v>699.0</v>
      </c>
    </row>
    <row r="86">
      <c r="A86" s="6">
        <v>5.094005005E9</v>
      </c>
      <c r="B86" s="6" t="s">
        <v>3228</v>
      </c>
      <c r="C86" s="6" t="s">
        <v>3229</v>
      </c>
      <c r="D86" s="6">
        <v>500.0</v>
      </c>
      <c r="E86" s="6" t="s">
        <v>2565</v>
      </c>
      <c r="F86" s="6" t="s">
        <v>3230</v>
      </c>
      <c r="G86" s="6" t="s">
        <v>2567</v>
      </c>
      <c r="H86" s="6">
        <v>40.0</v>
      </c>
      <c r="I86" s="6" t="s">
        <v>2568</v>
      </c>
      <c r="J86" s="147">
        <v>7089929.0</v>
      </c>
      <c r="K86" s="6"/>
      <c r="L86" s="6" t="s">
        <v>3231</v>
      </c>
      <c r="M86" s="6" t="s">
        <v>3232</v>
      </c>
      <c r="N86" s="6">
        <v>727.0</v>
      </c>
      <c r="O86" s="6" t="s">
        <v>2945</v>
      </c>
      <c r="P86" s="6" t="s">
        <v>2573</v>
      </c>
      <c r="R86" s="6">
        <v>0.18585</v>
      </c>
      <c r="S86" s="6" t="s">
        <v>2174</v>
      </c>
      <c r="T86" s="6" t="s">
        <v>1772</v>
      </c>
      <c r="U86" s="6" t="s">
        <v>114</v>
      </c>
      <c r="V86" s="6" t="s">
        <v>114</v>
      </c>
      <c r="W86" s="6" t="s">
        <v>192</v>
      </c>
      <c r="X86" s="6" t="s">
        <v>2339</v>
      </c>
      <c r="Y86" s="47">
        <v>45940.0</v>
      </c>
      <c r="Z86" s="6" t="s">
        <v>1615</v>
      </c>
      <c r="AA86" s="6"/>
      <c r="AB86" s="6" t="s">
        <v>203</v>
      </c>
      <c r="AC86" s="6"/>
      <c r="AD86" s="6" t="s">
        <v>92</v>
      </c>
      <c r="AE86" s="6"/>
      <c r="AF86" s="6"/>
      <c r="AG86" s="6">
        <v>40.0</v>
      </c>
      <c r="AH86" s="6">
        <v>40.0</v>
      </c>
      <c r="AI86" s="6">
        <f t="shared" si="1"/>
        <v>1</v>
      </c>
      <c r="AJ86" s="148">
        <f t="shared" si="2"/>
        <v>7089929</v>
      </c>
      <c r="AK86" s="6"/>
      <c r="AL86" s="6"/>
      <c r="AU86" s="25">
        <v>6000.0</v>
      </c>
      <c r="AV86" s="25"/>
      <c r="AW86" s="25"/>
      <c r="BA86" s="6">
        <v>727.0</v>
      </c>
    </row>
    <row r="87">
      <c r="A87" s="6">
        <v>5.094004004E9</v>
      </c>
      <c r="B87" s="6" t="s">
        <v>3233</v>
      </c>
      <c r="C87" s="6" t="s">
        <v>3234</v>
      </c>
      <c r="D87" s="6">
        <v>500.0</v>
      </c>
      <c r="E87" s="6" t="s">
        <v>2565</v>
      </c>
      <c r="F87" s="6" t="s">
        <v>3230</v>
      </c>
      <c r="G87" s="6" t="s">
        <v>2567</v>
      </c>
      <c r="H87" s="6">
        <v>32.0</v>
      </c>
      <c r="I87" s="6" t="s">
        <v>2568</v>
      </c>
      <c r="J87" s="147">
        <v>4993920.0</v>
      </c>
      <c r="K87" s="6"/>
      <c r="L87" s="6" t="s">
        <v>3235</v>
      </c>
      <c r="M87" s="6" t="s">
        <v>2649</v>
      </c>
      <c r="N87" s="6">
        <v>739.0</v>
      </c>
      <c r="O87" s="6" t="s">
        <v>3236</v>
      </c>
      <c r="P87" s="6" t="s">
        <v>2573</v>
      </c>
      <c r="R87" s="6">
        <v>0.1728</v>
      </c>
      <c r="S87" s="6" t="s">
        <v>1907</v>
      </c>
      <c r="T87" s="6" t="s">
        <v>1522</v>
      </c>
      <c r="U87" s="6" t="s">
        <v>114</v>
      </c>
      <c r="V87" s="6" t="s">
        <v>114</v>
      </c>
      <c r="W87" s="6" t="s">
        <v>1782</v>
      </c>
      <c r="X87" s="6" t="s">
        <v>1910</v>
      </c>
      <c r="Y87" s="47">
        <v>45919.0</v>
      </c>
      <c r="Z87" s="6" t="s">
        <v>1615</v>
      </c>
      <c r="AA87" s="6"/>
      <c r="AB87" s="6" t="s">
        <v>203</v>
      </c>
      <c r="AC87" s="6"/>
      <c r="AD87" s="6" t="s">
        <v>92</v>
      </c>
      <c r="AE87" s="6"/>
      <c r="AF87" s="6"/>
      <c r="AG87" s="6">
        <v>32.0</v>
      </c>
      <c r="AH87" s="6">
        <v>32.0</v>
      </c>
      <c r="AI87" s="6">
        <f t="shared" si="1"/>
        <v>1</v>
      </c>
      <c r="AJ87" s="148">
        <f t="shared" si="2"/>
        <v>4993920</v>
      </c>
      <c r="AK87" s="6"/>
      <c r="AL87" s="6"/>
      <c r="AU87" s="25">
        <v>4800.0</v>
      </c>
      <c r="AV87" s="25"/>
      <c r="AW87" s="25"/>
      <c r="BA87" s="6">
        <v>739.0</v>
      </c>
    </row>
    <row r="88">
      <c r="A88" s="6">
        <v>5.094006003E9</v>
      </c>
      <c r="B88" s="6" t="s">
        <v>3239</v>
      </c>
      <c r="C88" s="6" t="s">
        <v>3240</v>
      </c>
      <c r="D88" s="6">
        <v>500.0</v>
      </c>
      <c r="E88" s="6" t="s">
        <v>2565</v>
      </c>
      <c r="F88" s="6" t="s">
        <v>3230</v>
      </c>
      <c r="G88" s="6" t="s">
        <v>2567</v>
      </c>
      <c r="H88" s="6">
        <v>23.0</v>
      </c>
      <c r="I88" s="6" t="s">
        <v>2568</v>
      </c>
      <c r="J88" s="147">
        <v>6547652.0</v>
      </c>
      <c r="K88" s="6"/>
      <c r="L88" s="6" t="s">
        <v>3241</v>
      </c>
      <c r="M88" s="6" t="s">
        <v>2649</v>
      </c>
      <c r="N88" s="6">
        <v>750.0</v>
      </c>
      <c r="O88" s="6" t="s">
        <v>2945</v>
      </c>
      <c r="P88" s="6" t="s">
        <v>2573</v>
      </c>
      <c r="R88" s="6">
        <v>0.18561</v>
      </c>
      <c r="S88" s="6" t="s">
        <v>2175</v>
      </c>
      <c r="T88" s="6" t="s">
        <v>1779</v>
      </c>
      <c r="U88" s="6" t="s">
        <v>114</v>
      </c>
      <c r="V88" s="6" t="s">
        <v>114</v>
      </c>
      <c r="W88" s="6" t="s">
        <v>192</v>
      </c>
      <c r="X88" s="6" t="s">
        <v>2372</v>
      </c>
      <c r="Y88" s="47">
        <v>45940.0</v>
      </c>
      <c r="Z88" s="6" t="s">
        <v>1615</v>
      </c>
      <c r="AA88" s="6"/>
      <c r="AB88" s="6" t="s">
        <v>203</v>
      </c>
      <c r="AC88" s="6"/>
      <c r="AD88" s="6" t="s">
        <v>92</v>
      </c>
      <c r="AE88" s="6"/>
      <c r="AF88" s="6"/>
      <c r="AG88" s="6">
        <v>23.0</v>
      </c>
      <c r="AH88" s="6">
        <v>23.0</v>
      </c>
      <c r="AI88" s="6">
        <f t="shared" si="1"/>
        <v>1</v>
      </c>
      <c r="AJ88" s="148">
        <f t="shared" si="2"/>
        <v>6547652</v>
      </c>
      <c r="AK88" s="6"/>
      <c r="AL88" s="6"/>
      <c r="AU88" s="25">
        <v>3450.0</v>
      </c>
      <c r="AV88" s="25"/>
      <c r="AW88" s="25"/>
      <c r="BA88" s="6">
        <v>750.0</v>
      </c>
    </row>
    <row r="89">
      <c r="A89" s="6">
        <v>4.11002504E9</v>
      </c>
      <c r="B89" s="6" t="s">
        <v>3242</v>
      </c>
      <c r="C89" s="6" t="s">
        <v>3243</v>
      </c>
      <c r="D89" s="6">
        <v>101.0</v>
      </c>
      <c r="E89" s="6" t="s">
        <v>2614</v>
      </c>
      <c r="F89" s="6" t="s">
        <v>3244</v>
      </c>
      <c r="G89" s="6" t="s">
        <v>3245</v>
      </c>
      <c r="H89" s="6">
        <v>1.0</v>
      </c>
      <c r="I89" s="6" t="s">
        <v>2568</v>
      </c>
      <c r="J89" s="147">
        <v>2545586.0</v>
      </c>
      <c r="K89" s="6"/>
      <c r="L89" s="6" t="s">
        <v>3246</v>
      </c>
      <c r="M89" s="6" t="s">
        <v>3247</v>
      </c>
      <c r="N89" s="6">
        <v>7518.0</v>
      </c>
      <c r="O89" s="6" t="s">
        <v>3248</v>
      </c>
      <c r="P89" s="6" t="s">
        <v>2573</v>
      </c>
      <c r="R89" s="6">
        <v>0.14177</v>
      </c>
      <c r="S89" s="6" t="s">
        <v>437</v>
      </c>
      <c r="T89" s="6" t="s">
        <v>249</v>
      </c>
      <c r="U89" s="6" t="s">
        <v>114</v>
      </c>
      <c r="V89" s="6" t="s">
        <v>114</v>
      </c>
      <c r="W89" s="6" t="s">
        <v>192</v>
      </c>
      <c r="X89" s="6" t="s">
        <v>438</v>
      </c>
      <c r="Y89" s="42">
        <v>45324.0</v>
      </c>
      <c r="Z89" s="6" t="s">
        <v>445</v>
      </c>
      <c r="AA89" s="6" t="s">
        <v>446</v>
      </c>
      <c r="AB89" s="6" t="s">
        <v>90</v>
      </c>
      <c r="AC89" s="6"/>
      <c r="AD89" s="6"/>
      <c r="AE89" s="6"/>
      <c r="AF89" s="6"/>
      <c r="AG89" s="6">
        <v>79.0</v>
      </c>
      <c r="AH89" s="6">
        <v>48.0</v>
      </c>
      <c r="AI89" s="6">
        <f t="shared" si="1"/>
        <v>0.6075949367</v>
      </c>
      <c r="AJ89" s="148">
        <f t="shared" si="2"/>
        <v>1546685.165</v>
      </c>
      <c r="AK89" s="6"/>
      <c r="AL89" s="6"/>
      <c r="AU89" s="25">
        <v>11850.0</v>
      </c>
      <c r="AV89" s="25"/>
      <c r="AW89" s="25"/>
      <c r="BA89" s="6">
        <v>7518.0</v>
      </c>
    </row>
    <row r="90">
      <c r="A90" s="6">
        <v>6.020022025E9</v>
      </c>
      <c r="B90" s="6" t="s">
        <v>3250</v>
      </c>
      <c r="C90" s="6" t="s">
        <v>3251</v>
      </c>
      <c r="D90" s="6">
        <v>109.0</v>
      </c>
      <c r="E90" s="6" t="s">
        <v>2614</v>
      </c>
      <c r="F90" s="6" t="s">
        <v>2615</v>
      </c>
      <c r="G90" s="6" t="s">
        <v>2592</v>
      </c>
      <c r="H90" s="6">
        <v>0.0</v>
      </c>
      <c r="I90" s="6" t="s">
        <v>2568</v>
      </c>
      <c r="J90" s="147">
        <v>1300500.0</v>
      </c>
      <c r="K90" s="6"/>
      <c r="L90" s="6" t="s">
        <v>3252</v>
      </c>
      <c r="M90" s="6" t="s">
        <v>3253</v>
      </c>
      <c r="N90" s="6">
        <v>7524.0</v>
      </c>
      <c r="O90" s="6" t="s">
        <v>3254</v>
      </c>
      <c r="P90" s="6" t="s">
        <v>2573</v>
      </c>
      <c r="R90" s="6">
        <v>0.32828</v>
      </c>
      <c r="S90" s="6" t="s">
        <v>2184</v>
      </c>
      <c r="T90" s="6" t="s">
        <v>1807</v>
      </c>
      <c r="U90" s="6" t="s">
        <v>114</v>
      </c>
      <c r="V90" s="6" t="s">
        <v>114</v>
      </c>
      <c r="W90" s="6" t="s">
        <v>192</v>
      </c>
      <c r="X90" s="6" t="s">
        <v>2517</v>
      </c>
      <c r="Y90" s="47">
        <v>45954.0</v>
      </c>
      <c r="Z90" s="6" t="s">
        <v>2498</v>
      </c>
      <c r="AA90" s="6"/>
      <c r="AB90" s="6" t="s">
        <v>90</v>
      </c>
      <c r="AC90" s="6"/>
      <c r="AD90" s="6"/>
      <c r="AE90" s="47"/>
      <c r="AF90" s="6"/>
      <c r="AG90" s="6">
        <v>79.0</v>
      </c>
      <c r="AH90" s="6">
        <v>78.0</v>
      </c>
      <c r="AI90" s="6">
        <f t="shared" si="1"/>
        <v>0.9873417722</v>
      </c>
      <c r="AJ90" s="148">
        <f t="shared" si="2"/>
        <v>1284037.975</v>
      </c>
      <c r="AK90" s="6"/>
      <c r="AL90" s="6"/>
      <c r="AU90" s="25">
        <v>11850.0</v>
      </c>
      <c r="AV90" s="6" t="s">
        <v>474</v>
      </c>
      <c r="AW90" s="6"/>
      <c r="AX90" s="6"/>
      <c r="BA90" s="6">
        <v>7524.0</v>
      </c>
    </row>
    <row r="91">
      <c r="A91" s="6">
        <v>2.102015045E9</v>
      </c>
      <c r="B91" s="6" t="s">
        <v>3256</v>
      </c>
      <c r="C91" s="6" t="s">
        <v>3257</v>
      </c>
      <c r="D91" s="6">
        <v>501.0</v>
      </c>
      <c r="E91" s="6" t="s">
        <v>2565</v>
      </c>
      <c r="F91" s="6" t="s">
        <v>2566</v>
      </c>
      <c r="G91" s="6" t="s">
        <v>2567</v>
      </c>
      <c r="H91" s="6">
        <v>58.0</v>
      </c>
      <c r="I91" s="6" t="s">
        <v>2568</v>
      </c>
      <c r="J91" s="147">
        <v>1.7952E7</v>
      </c>
      <c r="K91" s="6"/>
      <c r="L91" s="6" t="s">
        <v>2802</v>
      </c>
      <c r="M91" s="6" t="s">
        <v>3258</v>
      </c>
      <c r="N91" s="6">
        <v>7940.0</v>
      </c>
      <c r="O91" s="6" t="s">
        <v>3259</v>
      </c>
      <c r="P91" s="6" t="s">
        <v>2573</v>
      </c>
      <c r="R91" s="6">
        <v>1.52936</v>
      </c>
      <c r="S91" s="6" t="s">
        <v>583</v>
      </c>
      <c r="T91" s="6" t="s">
        <v>389</v>
      </c>
      <c r="U91" s="6" t="s">
        <v>114</v>
      </c>
      <c r="V91" s="6" t="s">
        <v>114</v>
      </c>
      <c r="W91" s="6" t="s">
        <v>192</v>
      </c>
      <c r="X91" s="6" t="s">
        <v>584</v>
      </c>
      <c r="Y91" s="47">
        <v>45450.0</v>
      </c>
      <c r="Z91" s="6" t="s">
        <v>586</v>
      </c>
      <c r="AA91" s="6"/>
      <c r="AB91" s="6" t="s">
        <v>587</v>
      </c>
      <c r="AC91" s="6"/>
      <c r="AD91" s="6"/>
      <c r="AE91" s="42">
        <v>45471.0</v>
      </c>
      <c r="AF91" s="25">
        <v>1.76E7</v>
      </c>
      <c r="AG91" s="6">
        <v>58.0</v>
      </c>
      <c r="AH91" s="6">
        <v>58.0</v>
      </c>
      <c r="AI91" s="6">
        <f t="shared" si="1"/>
        <v>1</v>
      </c>
      <c r="AJ91" s="148">
        <f t="shared" si="2"/>
        <v>17952000</v>
      </c>
      <c r="AK91" s="6"/>
      <c r="AL91" s="6" t="s">
        <v>474</v>
      </c>
      <c r="AM91" s="6"/>
      <c r="AN91" s="6">
        <v>2.102015045E9</v>
      </c>
      <c r="AO91" s="6"/>
      <c r="AP91" s="6"/>
      <c r="AR91" s="30">
        <v>5715513.0</v>
      </c>
      <c r="AS91" s="30">
        <v>2251812.0</v>
      </c>
      <c r="AT91" s="30"/>
      <c r="AU91" s="25">
        <v>8700.0</v>
      </c>
      <c r="AV91" s="25"/>
      <c r="AW91" s="25"/>
      <c r="BA91" s="6">
        <v>7940.0</v>
      </c>
    </row>
    <row r="92">
      <c r="A92" s="6">
        <v>5.902005E10</v>
      </c>
      <c r="B92" s="6" t="s">
        <v>3260</v>
      </c>
      <c r="C92" s="6" t="s">
        <v>1355</v>
      </c>
      <c r="D92" s="6">
        <v>218.0</v>
      </c>
      <c r="E92" s="6"/>
      <c r="F92" s="6" t="s">
        <v>3261</v>
      </c>
      <c r="G92" s="6" t="s">
        <v>3262</v>
      </c>
      <c r="H92" s="6"/>
      <c r="I92" s="6" t="s">
        <v>2694</v>
      </c>
      <c r="J92" s="147">
        <v>4.6693244E7</v>
      </c>
      <c r="K92" s="6"/>
      <c r="L92" s="6" t="s">
        <v>3263</v>
      </c>
      <c r="M92" s="6" t="s">
        <v>3265</v>
      </c>
      <c r="N92" s="6">
        <v>800.0</v>
      </c>
      <c r="O92" s="6" t="s">
        <v>3266</v>
      </c>
      <c r="P92" s="6" t="s">
        <v>3267</v>
      </c>
      <c r="Q92" s="6">
        <v>5.97</v>
      </c>
      <c r="R92" s="6">
        <v>6.36167</v>
      </c>
      <c r="S92" s="6" t="s">
        <v>1565</v>
      </c>
      <c r="T92" s="6" t="s">
        <v>1564</v>
      </c>
      <c r="U92" s="6" t="s">
        <v>251</v>
      </c>
      <c r="V92" s="6" t="s">
        <v>118</v>
      </c>
      <c r="W92" s="6" t="s">
        <v>1119</v>
      </c>
      <c r="X92" s="6" t="s">
        <v>1566</v>
      </c>
      <c r="Y92" s="47">
        <v>45877.0</v>
      </c>
      <c r="Z92" s="6" t="s">
        <v>1567</v>
      </c>
      <c r="AA92" s="6"/>
      <c r="AB92" s="6" t="s">
        <v>1567</v>
      </c>
      <c r="AC92" s="6"/>
      <c r="AD92" s="6" t="s">
        <v>92</v>
      </c>
      <c r="AE92" s="6"/>
      <c r="AF92" s="6"/>
      <c r="AG92" s="6">
        <v>148.0</v>
      </c>
      <c r="AH92" s="6">
        <v>148.0</v>
      </c>
      <c r="AI92" s="6">
        <f t="shared" si="1"/>
        <v>1</v>
      </c>
      <c r="AJ92" s="148">
        <f t="shared" si="2"/>
        <v>46693244</v>
      </c>
      <c r="AK92" s="6"/>
      <c r="AL92" s="6"/>
      <c r="AU92" s="25">
        <v>22200.0</v>
      </c>
      <c r="AV92" s="25"/>
      <c r="AW92" s="25"/>
      <c r="BA92" s="6">
        <v>800.0</v>
      </c>
    </row>
    <row r="93">
      <c r="A93" s="6">
        <v>5.402028023E9</v>
      </c>
      <c r="B93" s="6" t="s">
        <v>3268</v>
      </c>
      <c r="C93" s="6" t="s">
        <v>3269</v>
      </c>
      <c r="D93" s="6">
        <v>500.0</v>
      </c>
      <c r="E93" s="6" t="s">
        <v>2565</v>
      </c>
      <c r="F93" s="6" t="s">
        <v>3270</v>
      </c>
      <c r="G93" s="6" t="s">
        <v>3271</v>
      </c>
      <c r="H93" s="6">
        <v>5.0</v>
      </c>
      <c r="I93" s="6" t="s">
        <v>2568</v>
      </c>
      <c r="J93" s="147">
        <v>1387200.0</v>
      </c>
      <c r="K93" s="6"/>
      <c r="L93" s="6" t="s">
        <v>3272</v>
      </c>
      <c r="M93" s="6" t="s">
        <v>3273</v>
      </c>
      <c r="N93" s="6">
        <v>801.0</v>
      </c>
      <c r="O93" s="6" t="s">
        <v>3274</v>
      </c>
      <c r="P93" s="6" t="s">
        <v>2573</v>
      </c>
      <c r="R93" s="6">
        <v>0.14461</v>
      </c>
      <c r="S93" s="6" t="s">
        <v>476</v>
      </c>
      <c r="T93" s="6" t="s">
        <v>282</v>
      </c>
      <c r="U93" s="6" t="s">
        <v>114</v>
      </c>
      <c r="V93" s="6" t="s">
        <v>114</v>
      </c>
      <c r="W93" s="6" t="s">
        <v>192</v>
      </c>
      <c r="X93" s="6" t="s">
        <v>479</v>
      </c>
      <c r="Y93" s="42">
        <v>45345.0</v>
      </c>
      <c r="Z93" s="6" t="s">
        <v>481</v>
      </c>
      <c r="AA93" s="6"/>
      <c r="AB93" s="6" t="s">
        <v>203</v>
      </c>
      <c r="AC93" s="6"/>
      <c r="AD93" s="6"/>
      <c r="AE93" s="42"/>
      <c r="AF93" s="6"/>
      <c r="AG93" s="6">
        <v>154.0</v>
      </c>
      <c r="AH93" s="6">
        <v>154.0</v>
      </c>
      <c r="AI93" s="6">
        <f t="shared" si="1"/>
        <v>1</v>
      </c>
      <c r="AJ93" s="148">
        <f t="shared" si="2"/>
        <v>1387200</v>
      </c>
      <c r="AK93" s="6"/>
      <c r="AL93" s="6"/>
      <c r="AN93" s="6">
        <v>5.402028023E9</v>
      </c>
      <c r="AO93" s="6">
        <v>5.402028022E9</v>
      </c>
      <c r="AP93" s="6">
        <v>5.402028021E9</v>
      </c>
      <c r="AQ93" s="6"/>
      <c r="AR93" s="6"/>
      <c r="AU93" s="25">
        <v>23250.0</v>
      </c>
      <c r="AV93" s="25"/>
      <c r="AW93" s="25"/>
      <c r="BA93" s="6">
        <v>801.0</v>
      </c>
    </row>
    <row r="94">
      <c r="A94" s="6">
        <v>4.1416654E7</v>
      </c>
      <c r="B94" s="6" t="s">
        <v>3276</v>
      </c>
      <c r="C94" s="6" t="s">
        <v>1842</v>
      </c>
      <c r="D94" s="6">
        <v>300.0</v>
      </c>
      <c r="E94" s="6"/>
      <c r="F94" s="6" t="s">
        <v>3277</v>
      </c>
      <c r="G94" s="6" t="s">
        <v>3278</v>
      </c>
      <c r="H94" s="6">
        <v>110.0</v>
      </c>
      <c r="I94" s="6" t="s">
        <v>2666</v>
      </c>
      <c r="J94" s="147">
        <v>0.0</v>
      </c>
      <c r="K94" s="6"/>
      <c r="L94" s="6" t="s">
        <v>3279</v>
      </c>
      <c r="M94" s="6" t="s">
        <v>3280</v>
      </c>
      <c r="N94" s="6">
        <v>805.0</v>
      </c>
      <c r="O94" s="6" t="s">
        <v>3281</v>
      </c>
      <c r="P94" s="6" t="s">
        <v>2923</v>
      </c>
      <c r="R94" s="6">
        <v>1.36185</v>
      </c>
      <c r="S94" s="6" t="s">
        <v>2218</v>
      </c>
      <c r="T94" s="6" t="s">
        <v>2217</v>
      </c>
      <c r="U94" s="6" t="s">
        <v>210</v>
      </c>
      <c r="V94" s="6" t="s">
        <v>86</v>
      </c>
      <c r="W94" s="6"/>
      <c r="X94" s="6"/>
      <c r="Y94" s="47">
        <v>45982.0</v>
      </c>
      <c r="Z94" s="6" t="s">
        <v>2701</v>
      </c>
      <c r="AA94" s="6"/>
      <c r="AB94" s="6" t="s">
        <v>938</v>
      </c>
      <c r="AC94" s="6"/>
      <c r="AD94" s="6" t="s">
        <v>92</v>
      </c>
      <c r="AE94" s="6"/>
      <c r="AF94" s="6"/>
      <c r="AG94" s="6">
        <v>110.0</v>
      </c>
      <c r="AH94" s="6">
        <v>55.0</v>
      </c>
      <c r="AI94" s="6">
        <f t="shared" si="1"/>
        <v>0.5</v>
      </c>
      <c r="AJ94" s="148">
        <f t="shared" si="2"/>
        <v>0</v>
      </c>
      <c r="AK94" s="6"/>
      <c r="AL94" s="6"/>
      <c r="AU94" s="25">
        <v>8250.0</v>
      </c>
      <c r="AV94" s="25"/>
      <c r="AW94" s="25"/>
      <c r="BA94" s="6">
        <v>805.0</v>
      </c>
    </row>
    <row r="95">
      <c r="A95" s="6">
        <v>5.093017031E9</v>
      </c>
      <c r="B95" s="6" t="s">
        <v>3283</v>
      </c>
      <c r="C95" s="6" t="s">
        <v>3284</v>
      </c>
      <c r="D95" s="6" t="s">
        <v>1432</v>
      </c>
      <c r="E95" s="6" t="s">
        <v>2565</v>
      </c>
      <c r="F95" s="6" t="s">
        <v>3128</v>
      </c>
      <c r="G95" s="6" t="s">
        <v>2567</v>
      </c>
      <c r="H95" s="6">
        <v>49.0</v>
      </c>
      <c r="I95" s="6" t="s">
        <v>2568</v>
      </c>
      <c r="J95" s="147">
        <v>7984000.0</v>
      </c>
      <c r="K95" s="6"/>
      <c r="L95" s="6" t="s">
        <v>3285</v>
      </c>
      <c r="M95" s="6" t="s">
        <v>2649</v>
      </c>
      <c r="N95" s="6">
        <v>808.0</v>
      </c>
      <c r="O95" s="6" t="s">
        <v>3286</v>
      </c>
      <c r="P95" s="6" t="s">
        <v>2573</v>
      </c>
      <c r="R95" s="6">
        <v>0.39591</v>
      </c>
      <c r="S95" s="6" t="s">
        <v>1804</v>
      </c>
      <c r="T95" s="6" t="s">
        <v>1431</v>
      </c>
      <c r="U95" s="6" t="s">
        <v>114</v>
      </c>
      <c r="V95" s="6" t="s">
        <v>114</v>
      </c>
      <c r="W95" s="6" t="s">
        <v>1782</v>
      </c>
      <c r="X95" s="6" t="s">
        <v>1805</v>
      </c>
      <c r="Y95" s="47">
        <v>45919.0</v>
      </c>
      <c r="Z95" s="6" t="s">
        <v>1615</v>
      </c>
      <c r="AA95" s="6"/>
      <c r="AB95" s="6" t="s">
        <v>203</v>
      </c>
      <c r="AC95" s="6"/>
      <c r="AD95" s="6" t="s">
        <v>92</v>
      </c>
      <c r="AE95" s="6"/>
      <c r="AF95" s="6"/>
      <c r="AG95" s="6">
        <v>49.0</v>
      </c>
      <c r="AH95" s="6">
        <v>49.0</v>
      </c>
      <c r="AI95" s="6">
        <f t="shared" si="1"/>
        <v>1</v>
      </c>
      <c r="AJ95" s="148">
        <f t="shared" si="2"/>
        <v>7984000</v>
      </c>
      <c r="AK95" s="6"/>
      <c r="AL95" s="6"/>
      <c r="AU95" s="25">
        <v>7350.0</v>
      </c>
      <c r="AV95" s="25"/>
      <c r="AW95" s="25"/>
      <c r="BA95" s="6">
        <v>808.0</v>
      </c>
    </row>
    <row r="96">
      <c r="A96" s="6">
        <v>1295996.0</v>
      </c>
      <c r="B96" s="6" t="s">
        <v>262</v>
      </c>
      <c r="C96" s="6" t="s">
        <v>262</v>
      </c>
      <c r="D96" s="6">
        <v>8100.0</v>
      </c>
      <c r="E96" s="6"/>
      <c r="F96" s="6" t="s">
        <v>3288</v>
      </c>
      <c r="G96" s="6" t="s">
        <v>3289</v>
      </c>
      <c r="H96" s="6"/>
      <c r="I96" s="6" t="s">
        <v>2666</v>
      </c>
      <c r="J96" s="147">
        <v>0.0</v>
      </c>
      <c r="K96" s="6"/>
      <c r="L96" s="6" t="s">
        <v>3290</v>
      </c>
      <c r="M96" s="6" t="s">
        <v>3291</v>
      </c>
      <c r="N96" s="6">
        <v>820.0</v>
      </c>
      <c r="O96" s="6" t="s">
        <v>3292</v>
      </c>
      <c r="P96" s="6" t="s">
        <v>2923</v>
      </c>
      <c r="R96" s="6">
        <v>0.52176</v>
      </c>
      <c r="S96" s="6" t="s">
        <v>458</v>
      </c>
      <c r="T96" s="6" t="s">
        <v>457</v>
      </c>
      <c r="U96" s="6" t="s">
        <v>210</v>
      </c>
      <c r="V96" s="6" t="s">
        <v>86</v>
      </c>
      <c r="W96" s="6" t="s">
        <v>192</v>
      </c>
      <c r="X96" s="6" t="s">
        <v>462</v>
      </c>
      <c r="Y96" s="42">
        <v>45345.0</v>
      </c>
      <c r="Z96" s="6" t="s">
        <v>464</v>
      </c>
      <c r="AA96" s="6"/>
      <c r="AB96" s="6" t="s">
        <v>465</v>
      </c>
      <c r="AC96" s="6"/>
      <c r="AD96" s="6" t="s">
        <v>474</v>
      </c>
      <c r="AE96" s="6"/>
      <c r="AF96" s="6"/>
      <c r="AG96" s="6">
        <v>166.0</v>
      </c>
      <c r="AH96" s="6">
        <v>166.0</v>
      </c>
      <c r="AI96" s="6">
        <f t="shared" si="1"/>
        <v>1</v>
      </c>
      <c r="AJ96" s="148">
        <f t="shared" si="2"/>
        <v>0</v>
      </c>
      <c r="AK96" s="6"/>
      <c r="AL96" s="6"/>
      <c r="AN96" s="6" t="s">
        <v>261</v>
      </c>
      <c r="AO96" s="6"/>
      <c r="AP96" s="6"/>
      <c r="AS96" s="25">
        <v>1.7724726E7</v>
      </c>
      <c r="AT96" s="25"/>
      <c r="AU96" s="25">
        <v>24900.0</v>
      </c>
      <c r="AV96" s="25"/>
      <c r="AW96" s="25"/>
      <c r="AY96" s="46">
        <v>259508.74</v>
      </c>
      <c r="AZ96" s="6">
        <v>2025.0</v>
      </c>
      <c r="BA96" s="6">
        <v>820.0</v>
      </c>
    </row>
    <row r="97">
      <c r="A97" s="6">
        <v>5.3436021E9</v>
      </c>
      <c r="B97" s="6" t="s">
        <v>3294</v>
      </c>
      <c r="C97" s="6" t="s">
        <v>166</v>
      </c>
      <c r="D97" s="6">
        <v>1200.0</v>
      </c>
      <c r="E97" s="6" t="s">
        <v>2874</v>
      </c>
      <c r="F97" s="6" t="s">
        <v>3295</v>
      </c>
      <c r="G97" s="6" t="s">
        <v>3296</v>
      </c>
      <c r="H97" s="6">
        <v>122.0</v>
      </c>
      <c r="I97" s="6" t="s">
        <v>2666</v>
      </c>
      <c r="J97" s="147">
        <v>9316117.0</v>
      </c>
      <c r="K97" s="6"/>
      <c r="L97" s="6" t="s">
        <v>3297</v>
      </c>
      <c r="M97" s="6" t="s">
        <v>3298</v>
      </c>
      <c r="N97" s="6">
        <v>840.0</v>
      </c>
      <c r="O97" s="6" t="s">
        <v>3299</v>
      </c>
      <c r="P97" s="6" t="s">
        <v>2788</v>
      </c>
      <c r="Q97" s="6">
        <v>0.88</v>
      </c>
      <c r="R97" s="6">
        <v>0.69039</v>
      </c>
      <c r="S97" s="6" t="s">
        <v>319</v>
      </c>
      <c r="T97" s="6" t="s">
        <v>318</v>
      </c>
      <c r="U97" s="6" t="s">
        <v>122</v>
      </c>
      <c r="V97" s="6" t="s">
        <v>122</v>
      </c>
      <c r="W97" s="6" t="s">
        <v>192</v>
      </c>
      <c r="X97" s="6" t="s">
        <v>321</v>
      </c>
      <c r="Y97" s="42">
        <v>45163.0</v>
      </c>
      <c r="Z97" s="6" t="s">
        <v>3300</v>
      </c>
      <c r="AA97" s="6"/>
      <c r="AB97" s="6" t="s">
        <v>335</v>
      </c>
      <c r="AC97" s="6"/>
      <c r="AD97" s="6"/>
      <c r="AE97" s="42"/>
      <c r="AF97" s="6"/>
      <c r="AG97" s="6">
        <v>56.0</v>
      </c>
      <c r="AH97" s="6">
        <v>23.0</v>
      </c>
      <c r="AI97" s="6">
        <f t="shared" si="1"/>
        <v>0.4107142857</v>
      </c>
      <c r="AJ97" s="148">
        <f t="shared" si="2"/>
        <v>3826262.339</v>
      </c>
      <c r="AK97" s="6"/>
      <c r="AL97" s="6"/>
      <c r="AU97" s="25">
        <v>8400.0</v>
      </c>
      <c r="AV97" s="25"/>
      <c r="AW97" s="25"/>
      <c r="BA97" s="6">
        <v>840.0</v>
      </c>
    </row>
    <row r="98">
      <c r="A98" s="6">
        <v>5.09401702E9</v>
      </c>
      <c r="B98" s="6" t="s">
        <v>3301</v>
      </c>
      <c r="C98" s="6" t="s">
        <v>3302</v>
      </c>
      <c r="D98" s="6">
        <v>500.0</v>
      </c>
      <c r="E98" s="6" t="s">
        <v>2565</v>
      </c>
      <c r="F98" s="6" t="s">
        <v>3128</v>
      </c>
      <c r="G98" s="6" t="s">
        <v>2567</v>
      </c>
      <c r="H98" s="6">
        <v>39.0</v>
      </c>
      <c r="I98" s="6" t="s">
        <v>2568</v>
      </c>
      <c r="J98" s="147">
        <v>9710053.0</v>
      </c>
      <c r="K98" s="6"/>
      <c r="L98" s="6" t="s">
        <v>3303</v>
      </c>
      <c r="M98" s="6" t="s">
        <v>2649</v>
      </c>
      <c r="N98" s="6">
        <v>861.0</v>
      </c>
      <c r="O98" s="6" t="s">
        <v>3304</v>
      </c>
      <c r="P98" s="6" t="s">
        <v>2573</v>
      </c>
      <c r="R98" s="6">
        <v>0.27877</v>
      </c>
      <c r="S98" s="6" t="s">
        <v>2166</v>
      </c>
      <c r="T98" s="6" t="s">
        <v>1710</v>
      </c>
      <c r="U98" s="6" t="s">
        <v>114</v>
      </c>
      <c r="V98" s="6" t="s">
        <v>114</v>
      </c>
      <c r="W98" s="6" t="s">
        <v>192</v>
      </c>
      <c r="X98" s="6" t="s">
        <v>2230</v>
      </c>
      <c r="Y98" s="47">
        <v>45940.0</v>
      </c>
      <c r="Z98" s="6" t="s">
        <v>1615</v>
      </c>
      <c r="AA98" s="6"/>
      <c r="AB98" s="6" t="s">
        <v>203</v>
      </c>
      <c r="AC98" s="6"/>
      <c r="AD98" s="6" t="s">
        <v>92</v>
      </c>
      <c r="AE98" s="6"/>
      <c r="AF98" s="6"/>
      <c r="AG98" s="6">
        <v>39.0</v>
      </c>
      <c r="AH98" s="6">
        <v>39.0</v>
      </c>
      <c r="AI98" s="6">
        <f t="shared" si="1"/>
        <v>1</v>
      </c>
      <c r="AJ98" s="148">
        <f t="shared" si="2"/>
        <v>9710053</v>
      </c>
      <c r="AK98" s="6"/>
      <c r="AL98" s="6"/>
      <c r="AU98" s="25">
        <v>5850.0</v>
      </c>
      <c r="AV98" s="25"/>
      <c r="AW98" s="25"/>
      <c r="BA98" s="6">
        <v>861.0</v>
      </c>
    </row>
    <row r="99">
      <c r="A99" s="6">
        <v>5.094023025E9</v>
      </c>
      <c r="B99" s="6" t="s">
        <v>3306</v>
      </c>
      <c r="C99" s="6" t="s">
        <v>3307</v>
      </c>
      <c r="D99" s="6">
        <v>500.0</v>
      </c>
      <c r="E99" s="6" t="s">
        <v>2565</v>
      </c>
      <c r="F99" s="6" t="s">
        <v>2860</v>
      </c>
      <c r="G99" s="6" t="s">
        <v>2567</v>
      </c>
      <c r="H99" s="6">
        <v>18.0</v>
      </c>
      <c r="I99" s="6" t="s">
        <v>2568</v>
      </c>
      <c r="J99" s="147">
        <v>2950157.0</v>
      </c>
      <c r="K99" s="6"/>
      <c r="L99" s="6" t="s">
        <v>3308</v>
      </c>
      <c r="M99" s="6" t="s">
        <v>2571</v>
      </c>
      <c r="N99" s="6">
        <v>915.0</v>
      </c>
      <c r="O99" s="6" t="s">
        <v>2829</v>
      </c>
      <c r="P99" s="6" t="s">
        <v>2573</v>
      </c>
      <c r="R99" s="6">
        <v>0.14729</v>
      </c>
      <c r="S99" s="6" t="s">
        <v>2170</v>
      </c>
      <c r="T99" s="6" t="s">
        <v>1757</v>
      </c>
      <c r="U99" s="6" t="s">
        <v>114</v>
      </c>
      <c r="V99" s="6" t="s">
        <v>114</v>
      </c>
      <c r="W99" s="6" t="s">
        <v>192</v>
      </c>
      <c r="X99" s="6" t="s">
        <v>2283</v>
      </c>
      <c r="Y99" s="47">
        <v>45940.0</v>
      </c>
      <c r="Z99" s="6" t="s">
        <v>1615</v>
      </c>
      <c r="AA99" s="6"/>
      <c r="AB99" s="6" t="s">
        <v>203</v>
      </c>
      <c r="AC99" s="6"/>
      <c r="AD99" s="6" t="s">
        <v>92</v>
      </c>
      <c r="AE99" s="6"/>
      <c r="AF99" s="6"/>
      <c r="AG99" s="6">
        <v>18.0</v>
      </c>
      <c r="AH99" s="6">
        <v>18.0</v>
      </c>
      <c r="AI99" s="6">
        <f t="shared" si="1"/>
        <v>1</v>
      </c>
      <c r="AJ99" s="148">
        <f t="shared" si="2"/>
        <v>2950157</v>
      </c>
      <c r="AK99" s="6"/>
      <c r="AL99" s="6"/>
      <c r="AU99" s="25">
        <v>2700.0</v>
      </c>
      <c r="AV99" s="25"/>
      <c r="AW99" s="25"/>
      <c r="BA99" s="6">
        <v>915.0</v>
      </c>
    </row>
    <row r="100">
      <c r="A100" s="6">
        <v>5.092023021E9</v>
      </c>
      <c r="B100" s="6" t="s">
        <v>3310</v>
      </c>
      <c r="C100" s="6" t="s">
        <v>3311</v>
      </c>
      <c r="D100" s="6">
        <v>550.0</v>
      </c>
      <c r="E100" s="6" t="s">
        <v>2565</v>
      </c>
      <c r="F100" s="6" t="s">
        <v>2566</v>
      </c>
      <c r="G100" s="6" t="s">
        <v>2567</v>
      </c>
      <c r="H100" s="6">
        <v>13.0</v>
      </c>
      <c r="I100" s="6" t="s">
        <v>2568</v>
      </c>
      <c r="J100" s="147">
        <v>2756721.0</v>
      </c>
      <c r="K100" s="6"/>
      <c r="L100" s="6" t="s">
        <v>3312</v>
      </c>
      <c r="M100" s="6" t="s">
        <v>3313</v>
      </c>
      <c r="N100" s="6">
        <v>920.0</v>
      </c>
      <c r="O100" s="6" t="s">
        <v>3314</v>
      </c>
      <c r="P100" s="6" t="s">
        <v>2573</v>
      </c>
      <c r="R100" s="6">
        <v>0.17216</v>
      </c>
      <c r="S100" s="6" t="s">
        <v>1178</v>
      </c>
      <c r="T100" s="6" t="s">
        <v>1140</v>
      </c>
      <c r="U100" s="6" t="s">
        <v>114</v>
      </c>
      <c r="V100" s="6" t="s">
        <v>114</v>
      </c>
      <c r="W100" s="6" t="s">
        <v>1119</v>
      </c>
      <c r="X100" s="6" t="s">
        <v>1179</v>
      </c>
      <c r="Y100" s="47">
        <v>45730.0</v>
      </c>
      <c r="Z100" s="6" t="s">
        <v>1180</v>
      </c>
      <c r="AA100" s="6"/>
      <c r="AB100" s="6" t="s">
        <v>1181</v>
      </c>
      <c r="AC100" s="6"/>
      <c r="AD100" s="6"/>
      <c r="AE100" s="47"/>
      <c r="AF100" s="6"/>
      <c r="AG100" s="6">
        <v>13.0</v>
      </c>
      <c r="AH100" s="6">
        <v>13.0</v>
      </c>
      <c r="AI100" s="6">
        <f t="shared" si="1"/>
        <v>1</v>
      </c>
      <c r="AJ100" s="148">
        <f t="shared" si="2"/>
        <v>2756721</v>
      </c>
      <c r="AK100" s="6"/>
      <c r="AL100" s="6"/>
      <c r="AU100" s="25">
        <v>2500.0</v>
      </c>
      <c r="AV100" s="25"/>
      <c r="AW100" s="25"/>
      <c r="BA100" s="6">
        <v>920.0</v>
      </c>
    </row>
    <row r="101">
      <c r="A101" s="6">
        <v>6.048022067E9</v>
      </c>
      <c r="B101" s="6" t="s">
        <v>3315</v>
      </c>
      <c r="C101" s="6" t="s">
        <v>3316</v>
      </c>
      <c r="D101" s="6" t="s">
        <v>1115</v>
      </c>
      <c r="E101" s="6" t="s">
        <v>2614</v>
      </c>
      <c r="F101" s="6" t="s">
        <v>2566</v>
      </c>
      <c r="G101" s="6" t="s">
        <v>2567</v>
      </c>
      <c r="H101" s="6">
        <v>0.0</v>
      </c>
      <c r="I101" s="6" t="s">
        <v>2568</v>
      </c>
      <c r="J101" s="147">
        <v>595337.0</v>
      </c>
      <c r="K101" s="6"/>
      <c r="L101" s="6" t="s">
        <v>3317</v>
      </c>
      <c r="M101" s="6" t="s">
        <v>3072</v>
      </c>
      <c r="N101" s="6">
        <v>9300.0</v>
      </c>
      <c r="O101" s="6" t="s">
        <v>2606</v>
      </c>
      <c r="P101" s="6" t="s">
        <v>2573</v>
      </c>
      <c r="R101" s="6">
        <v>0.20661</v>
      </c>
      <c r="S101" s="6" t="s">
        <v>1321</v>
      </c>
      <c r="T101" s="6" t="s">
        <v>1278</v>
      </c>
      <c r="U101" s="6" t="s">
        <v>114</v>
      </c>
      <c r="V101" s="6" t="s">
        <v>114</v>
      </c>
      <c r="W101" s="6" t="s">
        <v>1119</v>
      </c>
      <c r="X101" s="6" t="s">
        <v>1322</v>
      </c>
      <c r="Y101" s="47">
        <v>45835.0</v>
      </c>
      <c r="Z101" s="6" t="s">
        <v>445</v>
      </c>
      <c r="AA101" s="6"/>
      <c r="AB101" s="6" t="s">
        <v>90</v>
      </c>
      <c r="AC101" s="6"/>
      <c r="AD101" s="6" t="s">
        <v>474</v>
      </c>
      <c r="AE101" s="6"/>
      <c r="AF101" s="6"/>
      <c r="AG101" s="6">
        <v>20.0</v>
      </c>
      <c r="AH101" s="6">
        <v>19.0</v>
      </c>
      <c r="AI101" s="6">
        <f t="shared" si="1"/>
        <v>0.95</v>
      </c>
      <c r="AJ101" s="148">
        <f t="shared" si="2"/>
        <v>565570.15</v>
      </c>
      <c r="AK101" s="6"/>
      <c r="AL101" s="6"/>
      <c r="AU101" s="25">
        <v>2850.0</v>
      </c>
      <c r="AV101" s="25"/>
      <c r="AW101" s="25"/>
      <c r="BA101" s="6">
        <v>9300.0</v>
      </c>
    </row>
    <row r="102">
      <c r="A102" s="6">
        <v>4.025014001E9</v>
      </c>
      <c r="B102" s="6" t="s">
        <v>3319</v>
      </c>
      <c r="C102" s="6" t="s">
        <v>3320</v>
      </c>
      <c r="D102" s="6">
        <v>400.0</v>
      </c>
      <c r="E102" s="6" t="s">
        <v>3321</v>
      </c>
      <c r="F102" s="6" t="s">
        <v>3322</v>
      </c>
      <c r="G102" s="6" t="s">
        <v>3323</v>
      </c>
      <c r="H102" s="6">
        <v>4.0</v>
      </c>
      <c r="I102" s="6" t="s">
        <v>2568</v>
      </c>
      <c r="J102" s="147">
        <v>1345000.0</v>
      </c>
      <c r="K102" s="6"/>
      <c r="L102" s="6" t="s">
        <v>3324</v>
      </c>
      <c r="M102" s="6" t="s">
        <v>3325</v>
      </c>
      <c r="N102" s="6">
        <v>9301.0</v>
      </c>
      <c r="O102" s="6" t="s">
        <v>3095</v>
      </c>
      <c r="P102" s="6" t="s">
        <v>2573</v>
      </c>
      <c r="R102" s="6">
        <v>0.17763</v>
      </c>
      <c r="S102" s="6" t="s">
        <v>823</v>
      </c>
      <c r="T102" s="6" t="s">
        <v>551</v>
      </c>
      <c r="U102" s="6" t="s">
        <v>824</v>
      </c>
      <c r="V102" s="6" t="s">
        <v>114</v>
      </c>
      <c r="W102" s="6" t="s">
        <v>192</v>
      </c>
      <c r="X102" s="6" t="s">
        <v>825</v>
      </c>
      <c r="Y102" s="47">
        <v>45534.0</v>
      </c>
      <c r="Z102" s="6" t="s">
        <v>826</v>
      </c>
      <c r="AA102" s="6"/>
      <c r="AB102" s="6" t="s">
        <v>826</v>
      </c>
      <c r="AC102" s="6"/>
      <c r="AD102" s="6"/>
      <c r="AE102" s="47"/>
      <c r="AF102" s="6"/>
      <c r="AG102" s="6">
        <v>80.0</v>
      </c>
      <c r="AH102" s="6">
        <v>80.0</v>
      </c>
      <c r="AI102" s="6">
        <f t="shared" si="1"/>
        <v>1</v>
      </c>
      <c r="AJ102" s="148">
        <f t="shared" si="2"/>
        <v>1345000</v>
      </c>
      <c r="AK102" s="6"/>
      <c r="AL102" s="6"/>
      <c r="AU102" s="25">
        <v>12000.0</v>
      </c>
      <c r="AV102" s="25"/>
      <c r="AW102" s="25"/>
      <c r="BA102" s="6">
        <v>9301.0</v>
      </c>
    </row>
    <row r="103">
      <c r="A103" s="6">
        <v>5.09402303E9</v>
      </c>
      <c r="B103" s="6" t="s">
        <v>3327</v>
      </c>
      <c r="C103" s="6" t="s">
        <v>3328</v>
      </c>
      <c r="D103" s="6">
        <v>500.0</v>
      </c>
      <c r="E103" s="6" t="s">
        <v>2565</v>
      </c>
      <c r="F103" s="6" t="s">
        <v>2860</v>
      </c>
      <c r="G103" s="6" t="s">
        <v>2567</v>
      </c>
      <c r="H103" s="6">
        <v>24.0</v>
      </c>
      <c r="I103" s="6" t="s">
        <v>2568</v>
      </c>
      <c r="J103" s="147">
        <v>4338468.0</v>
      </c>
      <c r="K103" s="6"/>
      <c r="L103" s="6" t="s">
        <v>3329</v>
      </c>
      <c r="M103" s="6" t="s">
        <v>2649</v>
      </c>
      <c r="N103" s="6">
        <v>941.0</v>
      </c>
      <c r="O103" s="6" t="s">
        <v>2829</v>
      </c>
      <c r="P103" s="6" t="s">
        <v>2573</v>
      </c>
      <c r="R103" s="6">
        <v>0.15319</v>
      </c>
      <c r="S103" s="6" t="s">
        <v>1848</v>
      </c>
      <c r="T103" s="6" t="s">
        <v>1471</v>
      </c>
      <c r="U103" s="6" t="s">
        <v>114</v>
      </c>
      <c r="V103" s="6" t="s">
        <v>114</v>
      </c>
      <c r="W103" s="6" t="s">
        <v>1782</v>
      </c>
      <c r="X103" s="6" t="s">
        <v>1849</v>
      </c>
      <c r="Y103" s="47">
        <v>45919.0</v>
      </c>
      <c r="Z103" s="6" t="s">
        <v>1615</v>
      </c>
      <c r="AA103" s="6"/>
      <c r="AB103" s="6" t="s">
        <v>203</v>
      </c>
      <c r="AC103" s="6"/>
      <c r="AD103" s="6" t="s">
        <v>92</v>
      </c>
      <c r="AE103" s="6"/>
      <c r="AF103" s="6"/>
      <c r="AG103" s="6">
        <v>42.0</v>
      </c>
      <c r="AH103" s="6">
        <v>42.0</v>
      </c>
      <c r="AI103" s="6">
        <f t="shared" si="1"/>
        <v>1</v>
      </c>
      <c r="AJ103" s="148">
        <f t="shared" si="2"/>
        <v>4338468</v>
      </c>
      <c r="AK103" s="6"/>
      <c r="AL103" s="6"/>
      <c r="AU103" s="25">
        <v>3600.0</v>
      </c>
      <c r="AV103" s="25"/>
      <c r="AW103" s="25"/>
      <c r="BA103" s="6">
        <v>941.0</v>
      </c>
    </row>
    <row r="104">
      <c r="A104" s="6">
        <v>6.048004025E9</v>
      </c>
      <c r="B104" s="6" t="s">
        <v>3331</v>
      </c>
      <c r="C104" s="6" t="s">
        <v>3332</v>
      </c>
      <c r="D104" s="6">
        <v>500.0</v>
      </c>
      <c r="E104" s="6" t="s">
        <v>2565</v>
      </c>
      <c r="F104" s="6" t="s">
        <v>2566</v>
      </c>
      <c r="G104" s="6" t="s">
        <v>2567</v>
      </c>
      <c r="H104" s="6">
        <v>0.0</v>
      </c>
      <c r="I104" s="6" t="s">
        <v>2568</v>
      </c>
      <c r="J104" s="147">
        <v>1352393.0</v>
      </c>
      <c r="K104" s="6"/>
      <c r="L104" s="6" t="s">
        <v>3333</v>
      </c>
      <c r="M104" s="6" t="s">
        <v>3072</v>
      </c>
      <c r="N104" s="6">
        <v>9515.0</v>
      </c>
      <c r="O104" s="6" t="s">
        <v>2606</v>
      </c>
      <c r="P104" s="6" t="s">
        <v>2573</v>
      </c>
      <c r="R104" s="6">
        <v>0.22116</v>
      </c>
      <c r="S104" s="6" t="s">
        <v>1344</v>
      </c>
      <c r="T104" s="6" t="s">
        <v>1295</v>
      </c>
      <c r="U104" s="6" t="s">
        <v>114</v>
      </c>
      <c r="V104" s="6" t="s">
        <v>114</v>
      </c>
      <c r="W104" s="6" t="s">
        <v>1119</v>
      </c>
      <c r="X104" s="6" t="s">
        <v>1345</v>
      </c>
      <c r="Y104" s="47">
        <v>45835.0</v>
      </c>
      <c r="Z104" s="6" t="s">
        <v>445</v>
      </c>
      <c r="AA104" s="6"/>
      <c r="AB104" s="6" t="s">
        <v>90</v>
      </c>
      <c r="AC104" s="6"/>
      <c r="AD104" s="6" t="s">
        <v>474</v>
      </c>
      <c r="AE104" s="6"/>
      <c r="AF104" s="6"/>
      <c r="AG104" s="6">
        <v>21.0</v>
      </c>
      <c r="AH104" s="6">
        <v>20.0</v>
      </c>
      <c r="AI104" s="6">
        <f t="shared" si="1"/>
        <v>0.9523809524</v>
      </c>
      <c r="AJ104" s="148">
        <f t="shared" si="2"/>
        <v>1287993.333</v>
      </c>
      <c r="AK104" s="6"/>
      <c r="AL104" s="6"/>
      <c r="AU104" s="25">
        <v>3000.0</v>
      </c>
      <c r="AV104" s="25"/>
      <c r="AW104" s="25"/>
      <c r="BA104" s="6">
        <v>9515.0</v>
      </c>
    </row>
    <row r="105">
      <c r="A105" s="6">
        <v>5.080015003E9</v>
      </c>
      <c r="B105" s="6" t="s">
        <v>3334</v>
      </c>
      <c r="C105" s="6" t="s">
        <v>3335</v>
      </c>
      <c r="D105" s="6">
        <v>500.0</v>
      </c>
      <c r="E105" s="6" t="s">
        <v>2565</v>
      </c>
      <c r="F105" s="6" t="s">
        <v>2860</v>
      </c>
      <c r="G105" s="6" t="s">
        <v>2567</v>
      </c>
      <c r="H105" s="6">
        <v>73.0</v>
      </c>
      <c r="I105" s="6" t="s">
        <v>2568</v>
      </c>
      <c r="J105" s="147">
        <v>1.420692E7</v>
      </c>
      <c r="K105" s="6"/>
      <c r="L105" s="6" t="s">
        <v>3336</v>
      </c>
      <c r="M105" s="6" t="s">
        <v>2729</v>
      </c>
      <c r="N105" s="6">
        <v>960.0</v>
      </c>
      <c r="O105" s="6" t="s">
        <v>2863</v>
      </c>
      <c r="P105" s="6" t="s">
        <v>2573</v>
      </c>
      <c r="R105" s="6">
        <v>0.56148</v>
      </c>
      <c r="S105" s="6" t="s">
        <v>1994</v>
      </c>
      <c r="T105" s="6" t="s">
        <v>1584</v>
      </c>
      <c r="U105" s="6" t="s">
        <v>114</v>
      </c>
      <c r="V105" s="6" t="s">
        <v>114</v>
      </c>
      <c r="W105" s="6" t="s">
        <v>1782</v>
      </c>
      <c r="X105" s="6" t="s">
        <v>1996</v>
      </c>
      <c r="Y105" s="47">
        <v>45919.0</v>
      </c>
      <c r="Z105" s="6" t="s">
        <v>1615</v>
      </c>
      <c r="AA105" s="6"/>
      <c r="AB105" s="6" t="s">
        <v>203</v>
      </c>
      <c r="AC105" s="6"/>
      <c r="AD105" s="6" t="s">
        <v>92</v>
      </c>
      <c r="AE105" s="6"/>
      <c r="AF105" s="6"/>
      <c r="AG105" s="6">
        <v>73.0</v>
      </c>
      <c r="AH105" s="6">
        <v>73.0</v>
      </c>
      <c r="AI105" s="6">
        <f t="shared" si="1"/>
        <v>1</v>
      </c>
      <c r="AJ105" s="148">
        <f t="shared" si="2"/>
        <v>14206920</v>
      </c>
      <c r="AK105" s="6"/>
      <c r="AL105" s="6"/>
      <c r="AU105" s="25">
        <v>10950.0</v>
      </c>
      <c r="AV105" s="25"/>
      <c r="AW105" s="25"/>
      <c r="BA105" s="6">
        <v>960.0</v>
      </c>
    </row>
    <row r="106">
      <c r="A106" s="6">
        <v>5.081032007E9</v>
      </c>
      <c r="B106" s="6" t="s">
        <v>3337</v>
      </c>
      <c r="C106" s="6" t="s">
        <v>3338</v>
      </c>
      <c r="D106" s="6">
        <v>500.0</v>
      </c>
      <c r="E106" s="6" t="s">
        <v>2565</v>
      </c>
      <c r="F106" s="6" t="s">
        <v>2566</v>
      </c>
      <c r="G106" s="6" t="s">
        <v>2567</v>
      </c>
      <c r="H106" s="6">
        <v>38.0</v>
      </c>
      <c r="I106" s="6" t="s">
        <v>2568</v>
      </c>
      <c r="J106" s="147">
        <v>7216214.0</v>
      </c>
      <c r="K106" s="6"/>
      <c r="L106" s="6" t="s">
        <v>3339</v>
      </c>
      <c r="M106" s="6" t="s">
        <v>2571</v>
      </c>
      <c r="N106" s="6">
        <v>974.0</v>
      </c>
      <c r="O106" s="6" t="s">
        <v>3314</v>
      </c>
      <c r="P106" s="6" t="s">
        <v>2573</v>
      </c>
      <c r="R106" s="6">
        <v>0.15762</v>
      </c>
      <c r="S106" s="6" t="s">
        <v>1832</v>
      </c>
      <c r="T106" s="6" t="s">
        <v>1454</v>
      </c>
      <c r="U106" s="6" t="s">
        <v>114</v>
      </c>
      <c r="V106" s="6" t="s">
        <v>114</v>
      </c>
      <c r="W106" s="6" t="s">
        <v>1782</v>
      </c>
      <c r="X106" s="6" t="s">
        <v>1833</v>
      </c>
      <c r="Y106" s="47">
        <v>45919.0</v>
      </c>
      <c r="Z106" s="6" t="s">
        <v>1615</v>
      </c>
      <c r="AA106" s="6"/>
      <c r="AB106" s="6" t="s">
        <v>203</v>
      </c>
      <c r="AC106" s="6"/>
      <c r="AD106" s="6" t="s">
        <v>92</v>
      </c>
      <c r="AE106" s="6"/>
      <c r="AF106" s="6"/>
      <c r="AG106" s="6">
        <v>38.0</v>
      </c>
      <c r="AH106" s="6">
        <v>38.0</v>
      </c>
      <c r="AI106" s="6">
        <f t="shared" si="1"/>
        <v>1</v>
      </c>
      <c r="AJ106" s="148">
        <f t="shared" si="2"/>
        <v>7216214</v>
      </c>
      <c r="AK106" s="6"/>
      <c r="AL106" s="6"/>
      <c r="AU106" s="25">
        <v>5700.0</v>
      </c>
      <c r="AV106" s="25"/>
      <c r="AW106" s="25"/>
      <c r="BA106" s="6">
        <v>974.0</v>
      </c>
    </row>
    <row r="107">
      <c r="A107" s="6">
        <v>5.080008006E9</v>
      </c>
      <c r="B107" s="6" t="s">
        <v>3341</v>
      </c>
      <c r="C107" s="6" t="s">
        <v>3342</v>
      </c>
      <c r="D107" s="6">
        <v>500.0</v>
      </c>
      <c r="E107" s="6" t="s">
        <v>2565</v>
      </c>
      <c r="F107" s="6" t="s">
        <v>2860</v>
      </c>
      <c r="G107" s="6" t="s">
        <v>2567</v>
      </c>
      <c r="H107" s="6">
        <v>20.0</v>
      </c>
      <c r="I107" s="6" t="s">
        <v>2568</v>
      </c>
      <c r="J107" s="147">
        <v>3420921.0</v>
      </c>
      <c r="K107" s="6"/>
      <c r="L107" s="6" t="s">
        <v>3343</v>
      </c>
      <c r="M107" s="6" t="s">
        <v>2571</v>
      </c>
      <c r="N107" s="6">
        <v>975.0</v>
      </c>
      <c r="O107" s="6" t="s">
        <v>2863</v>
      </c>
      <c r="P107" s="6" t="s">
        <v>2573</v>
      </c>
      <c r="R107" s="6">
        <v>0.15572</v>
      </c>
      <c r="S107" s="6" t="s">
        <v>1963</v>
      </c>
      <c r="T107" s="6" t="s">
        <v>1562</v>
      </c>
      <c r="U107" s="6" t="s">
        <v>114</v>
      </c>
      <c r="V107" s="6" t="s">
        <v>114</v>
      </c>
      <c r="W107" s="6" t="s">
        <v>1782</v>
      </c>
      <c r="X107" s="6" t="s">
        <v>1964</v>
      </c>
      <c r="Y107" s="47">
        <v>45919.0</v>
      </c>
      <c r="Z107" s="6" t="s">
        <v>1615</v>
      </c>
      <c r="AA107" s="6"/>
      <c r="AB107" s="6" t="s">
        <v>203</v>
      </c>
      <c r="AC107" s="6"/>
      <c r="AD107" s="6" t="s">
        <v>92</v>
      </c>
      <c r="AE107" s="6"/>
      <c r="AF107" s="6"/>
      <c r="AG107" s="6">
        <v>60.0</v>
      </c>
      <c r="AH107" s="6">
        <v>60.0</v>
      </c>
      <c r="AI107" s="6">
        <f t="shared" si="1"/>
        <v>1</v>
      </c>
      <c r="AJ107" s="148">
        <f t="shared" si="2"/>
        <v>3420921</v>
      </c>
      <c r="AK107" s="6"/>
      <c r="AL107" s="6"/>
      <c r="AU107" s="25">
        <v>9000.0</v>
      </c>
      <c r="AV107" s="25"/>
      <c r="AW107" s="25"/>
      <c r="BA107" s="6">
        <v>975.0</v>
      </c>
    </row>
    <row r="108">
      <c r="A108" s="6">
        <v>2.764001013E9</v>
      </c>
      <c r="B108" s="6" t="s">
        <v>3345</v>
      </c>
      <c r="C108" s="6" t="s">
        <v>3346</v>
      </c>
      <c r="D108" s="6">
        <v>501.0</v>
      </c>
      <c r="E108" s="6" t="s">
        <v>2565</v>
      </c>
      <c r="F108" s="6" t="s">
        <v>2566</v>
      </c>
      <c r="G108" s="6" t="s">
        <v>2567</v>
      </c>
      <c r="H108" s="6">
        <v>68.0</v>
      </c>
      <c r="I108" s="6" t="s">
        <v>2568</v>
      </c>
      <c r="J108" s="147">
        <v>1.7292725E7</v>
      </c>
      <c r="K108" s="6"/>
      <c r="L108" s="6" t="s">
        <v>3347</v>
      </c>
      <c r="M108" s="6" t="s">
        <v>3348</v>
      </c>
      <c r="N108" s="6">
        <v>9830.0</v>
      </c>
      <c r="O108" s="6" t="s">
        <v>3259</v>
      </c>
      <c r="P108" s="6" t="s">
        <v>2573</v>
      </c>
      <c r="R108" s="6">
        <v>1.13433</v>
      </c>
      <c r="S108" s="6" t="s">
        <v>1192</v>
      </c>
      <c r="T108" s="6" t="s">
        <v>990</v>
      </c>
      <c r="U108" s="6" t="s">
        <v>114</v>
      </c>
      <c r="V108" s="6" t="s">
        <v>114</v>
      </c>
      <c r="W108" s="6" t="s">
        <v>1119</v>
      </c>
      <c r="X108" s="6" t="s">
        <v>1193</v>
      </c>
      <c r="Y108" s="47">
        <v>45751.0</v>
      </c>
      <c r="Z108" s="6" t="s">
        <v>622</v>
      </c>
      <c r="AA108" s="6"/>
      <c r="AB108" s="6" t="s">
        <v>560</v>
      </c>
      <c r="AC108" s="6"/>
      <c r="AD108" s="6" t="s">
        <v>92</v>
      </c>
      <c r="AE108" s="6"/>
      <c r="AF108" s="6"/>
      <c r="AG108" s="6">
        <v>189.0</v>
      </c>
      <c r="AH108" s="6">
        <v>189.0</v>
      </c>
      <c r="AI108" s="6">
        <f t="shared" si="1"/>
        <v>1</v>
      </c>
      <c r="AJ108" s="148">
        <f t="shared" si="2"/>
        <v>17292725</v>
      </c>
      <c r="AK108" s="6">
        <v>1964.0</v>
      </c>
      <c r="AL108" s="6"/>
      <c r="AM108" s="6"/>
      <c r="AU108" s="25">
        <v>28350.0</v>
      </c>
      <c r="AV108" s="25"/>
      <c r="AW108" s="25"/>
      <c r="BA108" s="6">
        <v>9830.0</v>
      </c>
    </row>
    <row r="109">
      <c r="A109" s="6">
        <v>6954018.0</v>
      </c>
      <c r="B109" s="6" t="s">
        <v>3349</v>
      </c>
      <c r="C109" s="6" t="s">
        <v>1098</v>
      </c>
      <c r="D109" s="6"/>
      <c r="E109" s="6"/>
      <c r="F109" s="6" t="s">
        <v>3350</v>
      </c>
      <c r="G109" s="6" t="s">
        <v>3351</v>
      </c>
      <c r="H109" s="6">
        <v>0.0</v>
      </c>
      <c r="I109" s="6" t="s">
        <v>2666</v>
      </c>
      <c r="J109" s="147">
        <v>8.2453101E7</v>
      </c>
      <c r="K109" s="6"/>
      <c r="L109" s="6" t="s">
        <v>3352</v>
      </c>
      <c r="M109" s="6" t="s">
        <v>3353</v>
      </c>
      <c r="N109" s="6">
        <v>99.0</v>
      </c>
      <c r="O109" s="6" t="s">
        <v>3354</v>
      </c>
      <c r="P109" s="6" t="s">
        <v>2970</v>
      </c>
      <c r="R109" s="6">
        <v>0.91612</v>
      </c>
      <c r="S109" s="6" t="s">
        <v>1060</v>
      </c>
      <c r="T109" s="6" t="s">
        <v>819</v>
      </c>
      <c r="U109" s="6" t="s">
        <v>123</v>
      </c>
      <c r="V109" s="6" t="s">
        <v>123</v>
      </c>
      <c r="W109" s="6" t="s">
        <v>192</v>
      </c>
      <c r="X109" s="6" t="s">
        <v>1061</v>
      </c>
      <c r="Y109" s="47">
        <v>45639.0</v>
      </c>
      <c r="Z109" s="6" t="s">
        <v>1062</v>
      </c>
      <c r="AA109" s="6"/>
      <c r="AB109" s="6" t="s">
        <v>1063</v>
      </c>
      <c r="AC109" s="6"/>
      <c r="AD109" s="6" t="s">
        <v>474</v>
      </c>
      <c r="AE109" s="6"/>
      <c r="AF109" s="6"/>
      <c r="AG109" s="6">
        <v>193.0</v>
      </c>
      <c r="AH109" s="6">
        <v>100.0</v>
      </c>
      <c r="AI109" s="6">
        <f t="shared" si="1"/>
        <v>0.518134715</v>
      </c>
      <c r="AJ109" s="148">
        <f t="shared" si="2"/>
        <v>42721813.99</v>
      </c>
      <c r="AK109" s="6">
        <v>2023.0</v>
      </c>
      <c r="AL109" s="6"/>
      <c r="AM109" s="6"/>
      <c r="AN109" s="6" t="s">
        <v>3355</v>
      </c>
      <c r="AO109" s="6"/>
      <c r="AP109" s="6"/>
      <c r="AR109" s="25">
        <v>8.0836374E7</v>
      </c>
      <c r="AS109" s="25">
        <v>2.0225243E7</v>
      </c>
      <c r="AT109" s="25"/>
      <c r="AU109" s="25">
        <v>15000.0</v>
      </c>
      <c r="AV109" s="25"/>
      <c r="AW109" s="46">
        <v>965884.94</v>
      </c>
      <c r="AX109" s="6">
        <v>2024.0</v>
      </c>
      <c r="AY109" s="46">
        <v>239200.5</v>
      </c>
      <c r="AZ109" s="6">
        <v>2025.0</v>
      </c>
      <c r="BA109" s="6">
        <v>99.0</v>
      </c>
    </row>
    <row r="110">
      <c r="A110" s="164" t="s">
        <v>3357</v>
      </c>
      <c r="B110" s="164" t="s">
        <v>2979</v>
      </c>
      <c r="C110" s="164"/>
      <c r="D110" s="164"/>
      <c r="E110" s="164"/>
      <c r="F110" s="164"/>
      <c r="G110" s="164"/>
      <c r="H110" s="164"/>
      <c r="I110" s="164"/>
      <c r="J110" s="147"/>
      <c r="K110" s="164"/>
      <c r="L110" s="164"/>
      <c r="M110" s="164"/>
      <c r="N110" s="164"/>
      <c r="O110" s="164"/>
      <c r="P110" s="164"/>
      <c r="Q110" s="164"/>
      <c r="R110" s="164"/>
      <c r="S110" s="164" t="s">
        <v>557</v>
      </c>
      <c r="T110" s="164" t="s">
        <v>556</v>
      </c>
      <c r="U110" s="164" t="s">
        <v>152</v>
      </c>
      <c r="V110" s="164" t="s">
        <v>138</v>
      </c>
      <c r="W110" s="164" t="s">
        <v>192</v>
      </c>
      <c r="X110" s="164" t="s">
        <v>558</v>
      </c>
      <c r="Y110" s="165">
        <v>45429.0</v>
      </c>
      <c r="Z110" s="164" t="s">
        <v>559</v>
      </c>
      <c r="AA110" s="164"/>
      <c r="AB110" s="164" t="s">
        <v>560</v>
      </c>
      <c r="AC110" s="164"/>
      <c r="AD110" s="164"/>
      <c r="AE110" s="165"/>
      <c r="AF110" s="164"/>
      <c r="AG110" s="164">
        <v>169.0</v>
      </c>
      <c r="AH110" s="164">
        <v>58.0</v>
      </c>
      <c r="AI110" s="6">
        <f t="shared" si="1"/>
        <v>0.3431952663</v>
      </c>
      <c r="AJ110" s="148">
        <f t="shared" si="2"/>
        <v>0</v>
      </c>
      <c r="AK110" s="164"/>
      <c r="AL110" s="164"/>
      <c r="AM110" s="166"/>
      <c r="AN110" s="166"/>
      <c r="AO110" s="166"/>
      <c r="AP110" s="166"/>
      <c r="AQ110" s="166"/>
      <c r="AR110" s="166"/>
      <c r="AS110" s="166"/>
      <c r="AT110" s="166"/>
      <c r="AU110" s="167">
        <v>8700.0</v>
      </c>
      <c r="AV110" s="167"/>
      <c r="AW110" s="167"/>
      <c r="AX110" s="166"/>
      <c r="AY110" s="166"/>
      <c r="AZ110" s="166"/>
      <c r="BA110" s="164">
        <v>343.0</v>
      </c>
      <c r="BB110" s="166"/>
      <c r="BC110" s="166"/>
    </row>
    <row r="111">
      <c r="A111" s="168" t="s">
        <v>401</v>
      </c>
      <c r="B111" s="164" t="s">
        <v>3364</v>
      </c>
      <c r="C111" s="164"/>
      <c r="D111" s="164"/>
      <c r="E111" s="164"/>
      <c r="F111" s="164"/>
      <c r="G111" s="164"/>
      <c r="H111" s="164"/>
      <c r="I111" s="164"/>
      <c r="J111" s="169">
        <v>3.4540259E7</v>
      </c>
      <c r="K111" s="170">
        <v>3.1941172E7</v>
      </c>
      <c r="L111" s="164"/>
      <c r="M111" s="164"/>
      <c r="N111" s="164"/>
      <c r="O111" s="164"/>
      <c r="P111" s="164"/>
      <c r="Q111" s="166"/>
      <c r="R111" s="164"/>
      <c r="S111" s="164" t="s">
        <v>640</v>
      </c>
      <c r="T111" s="164" t="s">
        <v>406</v>
      </c>
      <c r="U111" s="164" t="s">
        <v>641</v>
      </c>
      <c r="V111" s="164" t="s">
        <v>119</v>
      </c>
      <c r="W111" s="164" t="s">
        <v>192</v>
      </c>
      <c r="X111" s="164" t="s">
        <v>3365</v>
      </c>
      <c r="Y111" s="171">
        <v>45450.0</v>
      </c>
      <c r="Z111" s="164" t="s">
        <v>586</v>
      </c>
      <c r="AA111" s="164"/>
      <c r="AB111" s="164" t="s">
        <v>587</v>
      </c>
      <c r="AC111" s="164"/>
      <c r="AD111" s="164"/>
      <c r="AE111" s="172">
        <v>33.7</v>
      </c>
      <c r="AF111" s="172"/>
      <c r="AG111" s="164">
        <v>225.0</v>
      </c>
      <c r="AH111" s="164">
        <v>225.0</v>
      </c>
      <c r="AI111" s="6">
        <f t="shared" si="1"/>
        <v>1</v>
      </c>
      <c r="AJ111" s="148">
        <f t="shared" si="2"/>
        <v>34540259</v>
      </c>
      <c r="AK111" s="164">
        <v>1989.0</v>
      </c>
      <c r="AL111" s="164"/>
      <c r="AM111" s="164"/>
      <c r="AN111" s="166"/>
      <c r="AO111" s="166"/>
      <c r="AP111" s="166"/>
      <c r="AQ111" s="166"/>
      <c r="AR111" s="166"/>
      <c r="AS111" s="166"/>
      <c r="AT111" s="166"/>
      <c r="AU111" s="167">
        <v>33750.0</v>
      </c>
      <c r="AV111" s="167"/>
      <c r="AW111" s="167"/>
      <c r="AX111" s="166"/>
      <c r="AY111" s="166"/>
      <c r="AZ111" s="166"/>
      <c r="BA111" s="164">
        <v>2701.0</v>
      </c>
      <c r="BB111" s="166"/>
      <c r="BC111" s="166"/>
    </row>
    <row r="112">
      <c r="A112" s="164" t="s">
        <v>413</v>
      </c>
      <c r="B112" s="164" t="s">
        <v>3367</v>
      </c>
      <c r="C112" s="164"/>
      <c r="D112" s="164"/>
      <c r="E112" s="164"/>
      <c r="F112" s="164"/>
      <c r="G112" s="164"/>
      <c r="H112" s="164"/>
      <c r="I112" s="164"/>
      <c r="J112" s="147">
        <v>8899678.0</v>
      </c>
      <c r="K112" s="164" t="s">
        <v>146</v>
      </c>
      <c r="L112" s="164"/>
      <c r="M112" s="164"/>
      <c r="N112" s="164"/>
      <c r="O112" s="164"/>
      <c r="P112" s="164"/>
      <c r="Q112" s="166"/>
      <c r="R112" s="164"/>
      <c r="S112" s="164" t="s">
        <v>3369</v>
      </c>
      <c r="T112" s="164" t="s">
        <v>417</v>
      </c>
      <c r="U112" s="164" t="s">
        <v>114</v>
      </c>
      <c r="V112" s="164" t="s">
        <v>114</v>
      </c>
      <c r="W112" s="164" t="s">
        <v>192</v>
      </c>
      <c r="X112" s="164" t="s">
        <v>651</v>
      </c>
      <c r="Y112" s="171">
        <v>45492.0</v>
      </c>
      <c r="Z112" s="164" t="s">
        <v>653</v>
      </c>
      <c r="AA112" s="164"/>
      <c r="AB112" s="164" t="s">
        <v>654</v>
      </c>
      <c r="AC112" s="164"/>
      <c r="AD112" s="164" t="s">
        <v>474</v>
      </c>
      <c r="AE112" s="164"/>
      <c r="AF112" s="164"/>
      <c r="AG112" s="164">
        <v>74.0</v>
      </c>
      <c r="AH112" s="164">
        <v>74.0</v>
      </c>
      <c r="AI112" s="6">
        <f t="shared" si="1"/>
        <v>1</v>
      </c>
      <c r="AJ112" s="148">
        <f t="shared" si="2"/>
        <v>8899678</v>
      </c>
      <c r="AK112" s="164"/>
      <c r="AL112" s="164"/>
      <c r="AM112" s="166"/>
      <c r="AN112" s="166"/>
      <c r="AO112" s="166"/>
      <c r="AP112" s="166"/>
      <c r="AQ112" s="166"/>
      <c r="AR112" s="166"/>
      <c r="AS112" s="166"/>
      <c r="AT112" s="166"/>
      <c r="AU112" s="167">
        <v>11100.0</v>
      </c>
      <c r="AV112" s="167"/>
      <c r="AW112" s="167"/>
      <c r="AX112" s="166"/>
      <c r="AY112" s="166"/>
      <c r="AZ112" s="166"/>
      <c r="BA112" s="164">
        <v>445.0</v>
      </c>
      <c r="BB112" s="166"/>
      <c r="BC112" s="166"/>
    </row>
    <row r="113">
      <c r="A113" s="168" t="s">
        <v>3371</v>
      </c>
      <c r="B113" s="164" t="s">
        <v>3375</v>
      </c>
      <c r="C113" s="164"/>
      <c r="D113" s="164"/>
      <c r="E113" s="164"/>
      <c r="F113" s="164"/>
      <c r="G113" s="164"/>
      <c r="H113" s="164"/>
      <c r="I113" s="164"/>
      <c r="J113" s="147">
        <v>2856000.0</v>
      </c>
      <c r="K113" s="164" t="s">
        <v>146</v>
      </c>
      <c r="L113" s="164"/>
      <c r="M113" s="164"/>
      <c r="N113" s="164"/>
      <c r="O113" s="164"/>
      <c r="P113" s="164"/>
      <c r="Q113" s="166"/>
      <c r="R113" s="164"/>
      <c r="S113" s="164" t="s">
        <v>701</v>
      </c>
      <c r="T113" s="164" t="s">
        <v>533</v>
      </c>
      <c r="U113" s="164" t="s">
        <v>114</v>
      </c>
      <c r="V113" s="164" t="s">
        <v>114</v>
      </c>
      <c r="W113" s="164" t="s">
        <v>192</v>
      </c>
      <c r="X113" s="164" t="s">
        <v>702</v>
      </c>
      <c r="Y113" s="171">
        <v>45513.0</v>
      </c>
      <c r="Z113" s="164" t="s">
        <v>445</v>
      </c>
      <c r="AA113" s="164"/>
      <c r="AB113" s="164" t="s">
        <v>90</v>
      </c>
      <c r="AC113" s="164"/>
      <c r="AD113" s="164" t="s">
        <v>474</v>
      </c>
      <c r="AE113" s="164"/>
      <c r="AF113" s="164"/>
      <c r="AG113" s="164">
        <v>79.0</v>
      </c>
      <c r="AH113" s="164">
        <v>48.0</v>
      </c>
      <c r="AI113" s="6">
        <f t="shared" si="1"/>
        <v>0.6075949367</v>
      </c>
      <c r="AJ113" s="148">
        <f t="shared" si="2"/>
        <v>1735291.139</v>
      </c>
      <c r="AK113" s="164"/>
      <c r="AL113" s="164"/>
      <c r="AM113" s="166"/>
      <c r="AN113" s="166"/>
      <c r="AO113" s="166"/>
      <c r="AP113" s="166"/>
      <c r="AQ113" s="166"/>
      <c r="AR113" s="166"/>
      <c r="AS113" s="166"/>
      <c r="AT113" s="166"/>
      <c r="AU113" s="167">
        <v>11850.0</v>
      </c>
      <c r="AV113" s="167"/>
      <c r="AW113" s="167"/>
      <c r="AX113" s="166"/>
      <c r="AY113" s="166"/>
      <c r="AZ113" s="166"/>
      <c r="BA113" s="164">
        <v>7518.0</v>
      </c>
      <c r="BB113" s="166"/>
      <c r="BC113" s="166"/>
    </row>
    <row r="114">
      <c r="A114" s="164"/>
      <c r="B114" s="164" t="s">
        <v>545</v>
      </c>
      <c r="C114" s="164"/>
      <c r="D114" s="164"/>
      <c r="E114" s="164"/>
      <c r="F114" s="164"/>
      <c r="G114" s="164"/>
      <c r="H114" s="164"/>
      <c r="I114" s="164"/>
      <c r="J114" s="147"/>
      <c r="K114" s="164"/>
      <c r="L114" s="164"/>
      <c r="M114" s="164"/>
      <c r="N114" s="164"/>
      <c r="O114" s="164"/>
      <c r="P114" s="164"/>
      <c r="Q114" s="166"/>
      <c r="R114" s="164"/>
      <c r="S114" s="164" t="s">
        <v>693</v>
      </c>
      <c r="T114" s="164" t="s">
        <v>692</v>
      </c>
      <c r="U114" s="164" t="s">
        <v>694</v>
      </c>
      <c r="V114" s="164" t="s">
        <v>120</v>
      </c>
      <c r="W114" s="164" t="s">
        <v>192</v>
      </c>
      <c r="X114" s="164" t="s">
        <v>695</v>
      </c>
      <c r="Y114" s="171">
        <v>45513.0</v>
      </c>
      <c r="Z114" s="164" t="s">
        <v>682</v>
      </c>
      <c r="AA114" s="164"/>
      <c r="AB114" s="164" t="s">
        <v>90</v>
      </c>
      <c r="AC114" s="164"/>
      <c r="AD114" s="164"/>
      <c r="AE114" s="171"/>
      <c r="AF114" s="164"/>
      <c r="AG114" s="164">
        <v>104.0</v>
      </c>
      <c r="AH114" s="164">
        <v>104.0</v>
      </c>
      <c r="AI114" s="6">
        <f t="shared" si="1"/>
        <v>1</v>
      </c>
      <c r="AJ114" s="148">
        <f t="shared" si="2"/>
        <v>0</v>
      </c>
      <c r="AK114" s="164"/>
      <c r="AL114" s="164"/>
      <c r="AM114" s="166"/>
      <c r="AN114" s="166"/>
      <c r="AO114" s="166"/>
      <c r="AP114" s="166"/>
      <c r="AQ114" s="166"/>
      <c r="AR114" s="166"/>
      <c r="AS114" s="166"/>
      <c r="AT114" s="166"/>
      <c r="AU114" s="167">
        <v>15600.0</v>
      </c>
      <c r="AV114" s="167"/>
      <c r="AW114" s="167"/>
      <c r="AX114" s="166"/>
      <c r="AY114" s="166"/>
      <c r="AZ114" s="166"/>
      <c r="BA114" s="164">
        <v>4930.0</v>
      </c>
      <c r="BB114" s="166"/>
      <c r="BC114" s="166"/>
    </row>
    <row r="115">
      <c r="A115" s="168" t="s">
        <v>741</v>
      </c>
      <c r="B115" s="164" t="s">
        <v>3379</v>
      </c>
      <c r="C115" s="164"/>
      <c r="D115" s="164"/>
      <c r="E115" s="164"/>
      <c r="F115" s="164"/>
      <c r="G115" s="164"/>
      <c r="H115" s="164"/>
      <c r="I115" s="164"/>
      <c r="J115" s="147">
        <v>3719558.0</v>
      </c>
      <c r="K115" s="164" t="s">
        <v>146</v>
      </c>
      <c r="L115" s="164"/>
      <c r="M115" s="164"/>
      <c r="N115" s="164"/>
      <c r="O115" s="164"/>
      <c r="P115" s="164"/>
      <c r="Q115" s="166"/>
      <c r="R115" s="164"/>
      <c r="S115" s="164" t="s">
        <v>868</v>
      </c>
      <c r="T115" s="164" t="s">
        <v>746</v>
      </c>
      <c r="U115" s="164" t="s">
        <v>114</v>
      </c>
      <c r="V115" s="164" t="s">
        <v>114</v>
      </c>
      <c r="W115" s="164" t="s">
        <v>192</v>
      </c>
      <c r="X115" s="164" t="s">
        <v>869</v>
      </c>
      <c r="Y115" s="171">
        <v>45555.0</v>
      </c>
      <c r="Z115" s="164" t="s">
        <v>445</v>
      </c>
      <c r="AA115" s="164"/>
      <c r="AB115" s="164" t="s">
        <v>90</v>
      </c>
      <c r="AC115" s="164"/>
      <c r="AD115" s="164" t="s">
        <v>474</v>
      </c>
      <c r="AE115" s="164"/>
      <c r="AF115" s="164"/>
      <c r="AG115" s="164">
        <v>188.0</v>
      </c>
      <c r="AH115" s="164">
        <v>111.0</v>
      </c>
      <c r="AI115" s="6">
        <f t="shared" si="1"/>
        <v>0.5904255319</v>
      </c>
      <c r="AJ115" s="148">
        <f t="shared" si="2"/>
        <v>2196122.011</v>
      </c>
      <c r="AK115" s="164"/>
      <c r="AL115" s="164"/>
      <c r="AM115" s="166"/>
      <c r="AN115" s="166"/>
      <c r="AO115" s="166"/>
      <c r="AP115" s="166"/>
      <c r="AQ115" s="166"/>
      <c r="AR115" s="166"/>
      <c r="AS115" s="166"/>
      <c r="AT115" s="166"/>
      <c r="AU115" s="167">
        <v>16650.0</v>
      </c>
      <c r="AV115" s="167"/>
      <c r="AW115" s="167"/>
      <c r="AX115" s="166"/>
      <c r="AY115" s="166"/>
      <c r="AZ115" s="166"/>
      <c r="BA115" s="164">
        <v>4327.0</v>
      </c>
      <c r="BB115" s="166"/>
      <c r="BC115" s="166"/>
    </row>
    <row r="116">
      <c r="A116" s="164"/>
      <c r="B116" s="164" t="s">
        <v>3382</v>
      </c>
      <c r="C116" s="164"/>
      <c r="D116" s="164"/>
      <c r="E116" s="164"/>
      <c r="F116" s="164"/>
      <c r="G116" s="164"/>
      <c r="H116" s="164"/>
      <c r="I116" s="164"/>
      <c r="J116" s="147"/>
      <c r="K116" s="164"/>
      <c r="L116" s="164"/>
      <c r="M116" s="164"/>
      <c r="N116" s="164"/>
      <c r="O116" s="164"/>
      <c r="P116" s="164"/>
      <c r="Q116" s="166"/>
      <c r="R116" s="164"/>
      <c r="S116" s="164" t="s">
        <v>935</v>
      </c>
      <c r="T116" s="164" t="s">
        <v>791</v>
      </c>
      <c r="U116" s="164" t="s">
        <v>124</v>
      </c>
      <c r="V116" s="164" t="s">
        <v>124</v>
      </c>
      <c r="W116" s="164" t="s">
        <v>192</v>
      </c>
      <c r="X116" s="164" t="s">
        <v>936</v>
      </c>
      <c r="Y116" s="171">
        <v>45576.0</v>
      </c>
      <c r="Z116" s="164" t="s">
        <v>937</v>
      </c>
      <c r="AA116" s="164" t="s">
        <v>623</v>
      </c>
      <c r="AB116" s="164" t="s">
        <v>938</v>
      </c>
      <c r="AC116" s="164"/>
      <c r="AD116" s="164" t="s">
        <v>92</v>
      </c>
      <c r="AE116" s="164"/>
      <c r="AF116" s="164"/>
      <c r="AG116" s="164">
        <v>697.0</v>
      </c>
      <c r="AH116" s="164">
        <v>697.0</v>
      </c>
      <c r="AI116" s="6">
        <f t="shared" si="1"/>
        <v>1</v>
      </c>
      <c r="AJ116" s="148">
        <f t="shared" si="2"/>
        <v>0</v>
      </c>
      <c r="AK116" s="164"/>
      <c r="AL116" s="164"/>
      <c r="AM116" s="166"/>
      <c r="AN116" s="164" t="s">
        <v>802</v>
      </c>
      <c r="AO116" s="164"/>
      <c r="AP116" s="164"/>
      <c r="AQ116" s="166"/>
      <c r="AR116" s="166"/>
      <c r="AS116" s="166"/>
      <c r="AT116" s="166"/>
      <c r="AU116" s="167">
        <v>74775.0</v>
      </c>
      <c r="AV116" s="167"/>
      <c r="AW116" s="172">
        <v>573184.17</v>
      </c>
      <c r="AX116" s="164">
        <v>2024.0</v>
      </c>
      <c r="AY116" s="172">
        <v>501947.98</v>
      </c>
      <c r="AZ116" s="164">
        <v>2025.0</v>
      </c>
      <c r="BA116" s="164">
        <v>3500.0</v>
      </c>
      <c r="BB116" s="166"/>
      <c r="BC116" s="166"/>
    </row>
    <row r="117">
      <c r="A117" s="164" t="s">
        <v>3385</v>
      </c>
      <c r="B117" s="164" t="s">
        <v>3386</v>
      </c>
      <c r="C117" s="164"/>
      <c r="D117" s="164"/>
      <c r="E117" s="164"/>
      <c r="F117" s="164"/>
      <c r="G117" s="164"/>
      <c r="H117" s="164"/>
      <c r="I117" s="164"/>
      <c r="J117" s="147"/>
      <c r="K117" s="164"/>
      <c r="L117" s="164"/>
      <c r="M117" s="164"/>
      <c r="N117" s="164"/>
      <c r="O117" s="164"/>
      <c r="P117" s="164"/>
      <c r="Q117" s="166"/>
      <c r="R117" s="164"/>
      <c r="S117" s="164" t="s">
        <v>1018</v>
      </c>
      <c r="T117" s="164" t="s">
        <v>849</v>
      </c>
      <c r="U117" s="164" t="s">
        <v>1019</v>
      </c>
      <c r="V117" s="164" t="s">
        <v>114</v>
      </c>
      <c r="W117" s="164" t="s">
        <v>192</v>
      </c>
      <c r="X117" s="164" t="s">
        <v>1020</v>
      </c>
      <c r="Y117" s="171">
        <v>45618.0</v>
      </c>
      <c r="Z117" s="164" t="s">
        <v>1022</v>
      </c>
      <c r="AA117" s="164"/>
      <c r="AB117" s="164" t="s">
        <v>938</v>
      </c>
      <c r="AC117" s="164"/>
      <c r="AD117" s="164" t="s">
        <v>92</v>
      </c>
      <c r="AE117" s="164"/>
      <c r="AF117" s="164"/>
      <c r="AG117" s="164">
        <v>356.0</v>
      </c>
      <c r="AH117" s="164">
        <v>144.0</v>
      </c>
      <c r="AI117" s="6">
        <f t="shared" si="1"/>
        <v>0.404494382</v>
      </c>
      <c r="AJ117" s="148">
        <f t="shared" si="2"/>
        <v>0</v>
      </c>
      <c r="AK117" s="164"/>
      <c r="AL117" s="164" t="s">
        <v>474</v>
      </c>
      <c r="AM117" s="164"/>
      <c r="AN117" s="164"/>
      <c r="AO117" s="166"/>
      <c r="AP117" s="166"/>
      <c r="AQ117" s="166"/>
      <c r="AR117" s="166"/>
      <c r="AS117" s="166"/>
      <c r="AT117" s="166"/>
      <c r="AU117" s="167">
        <v>21600.0</v>
      </c>
      <c r="AV117" s="167"/>
      <c r="AW117" s="167"/>
      <c r="AX117" s="166"/>
      <c r="AY117" s="166"/>
      <c r="AZ117" s="166"/>
      <c r="BA117" s="164">
        <v>5601.0</v>
      </c>
      <c r="BB117" s="166"/>
      <c r="BC117" s="166"/>
    </row>
    <row r="118">
      <c r="A118" s="164"/>
      <c r="B118" s="164" t="s">
        <v>3386</v>
      </c>
      <c r="C118" s="164"/>
      <c r="D118" s="164"/>
      <c r="E118" s="164"/>
      <c r="F118" s="164"/>
      <c r="G118" s="164"/>
      <c r="H118" s="164"/>
      <c r="I118" s="164"/>
      <c r="J118" s="147"/>
      <c r="K118" s="164"/>
      <c r="L118" s="164"/>
      <c r="M118" s="164"/>
      <c r="N118" s="164"/>
      <c r="O118" s="164"/>
      <c r="P118" s="164"/>
      <c r="Q118" s="166"/>
      <c r="R118" s="164"/>
      <c r="S118" s="164"/>
      <c r="T118" s="164"/>
      <c r="U118" s="164"/>
      <c r="V118" s="164"/>
      <c r="W118" s="164"/>
      <c r="X118" s="164"/>
      <c r="Y118" s="171"/>
      <c r="Z118" s="164"/>
      <c r="AA118" s="164"/>
      <c r="AB118" s="164"/>
      <c r="AC118" s="164"/>
      <c r="AD118" s="164"/>
      <c r="AE118" s="164"/>
      <c r="AF118" s="164"/>
      <c r="AG118" s="164"/>
      <c r="AH118" s="164"/>
      <c r="AI118" s="6"/>
      <c r="AJ118" s="6"/>
      <c r="AK118" s="164"/>
      <c r="AL118" s="164"/>
      <c r="AM118" s="164"/>
      <c r="AN118" s="164"/>
      <c r="AO118" s="166"/>
      <c r="AP118" s="166"/>
      <c r="AQ118" s="166"/>
      <c r="AR118" s="166"/>
      <c r="AS118" s="166"/>
      <c r="AT118" s="166"/>
      <c r="AU118" s="167"/>
      <c r="AV118" s="167"/>
      <c r="AW118" s="167"/>
      <c r="AX118" s="166"/>
      <c r="AY118" s="166"/>
      <c r="AZ118" s="166"/>
      <c r="BA118" s="164"/>
      <c r="BB118" s="166"/>
      <c r="BC118" s="166"/>
    </row>
    <row r="119">
      <c r="A119" s="164"/>
      <c r="B119" s="164" t="s">
        <v>3390</v>
      </c>
      <c r="C119" s="164"/>
      <c r="D119" s="164"/>
      <c r="E119" s="164"/>
      <c r="F119" s="164"/>
      <c r="G119" s="164"/>
      <c r="H119" s="164"/>
      <c r="I119" s="164"/>
      <c r="J119" s="147"/>
      <c r="K119" s="164"/>
      <c r="L119" s="164"/>
      <c r="M119" s="164"/>
      <c r="N119" s="164"/>
      <c r="O119" s="164"/>
      <c r="P119" s="164"/>
      <c r="Q119" s="166"/>
      <c r="R119" s="164"/>
      <c r="S119" s="164" t="s">
        <v>1044</v>
      </c>
      <c r="T119" s="164" t="s">
        <v>1043</v>
      </c>
      <c r="U119" s="164" t="s">
        <v>211</v>
      </c>
      <c r="V119" s="164" t="s">
        <v>86</v>
      </c>
      <c r="W119" s="164" t="s">
        <v>192</v>
      </c>
      <c r="X119" s="164" t="s">
        <v>1045</v>
      </c>
      <c r="Y119" s="171">
        <v>45639.0</v>
      </c>
      <c r="Z119" s="164" t="s">
        <v>1047</v>
      </c>
      <c r="AA119" s="164"/>
      <c r="AB119" s="164" t="s">
        <v>1047</v>
      </c>
      <c r="AC119" s="164"/>
      <c r="AD119" s="164"/>
      <c r="AE119" s="171"/>
      <c r="AF119" s="164"/>
      <c r="AG119" s="164">
        <v>94.0</v>
      </c>
      <c r="AH119" s="164">
        <v>71.0</v>
      </c>
      <c r="AI119" s="6">
        <f t="shared" ref="AI119:AI135" si="3">AH119/AG119</f>
        <v>0.7553191489</v>
      </c>
      <c r="AJ119" s="148">
        <f t="shared" ref="AJ119:AJ135" si="4">AI119*J119</f>
        <v>0</v>
      </c>
      <c r="AK119" s="164"/>
      <c r="AL119" s="164"/>
      <c r="AM119" s="173" t="s">
        <v>1054</v>
      </c>
      <c r="AN119" s="164" t="s">
        <v>1085</v>
      </c>
      <c r="AO119" s="164"/>
      <c r="AP119" s="164"/>
      <c r="AQ119" s="173" t="s">
        <v>3394</v>
      </c>
      <c r="AR119" s="164"/>
      <c r="AS119" s="164"/>
      <c r="AT119" s="166"/>
      <c r="AU119" s="167">
        <v>10650.0</v>
      </c>
      <c r="AV119" s="167"/>
      <c r="AW119" s="172">
        <v>581275.14</v>
      </c>
      <c r="AX119" s="164">
        <v>2025.0</v>
      </c>
      <c r="AY119" s="164"/>
      <c r="AZ119" s="164"/>
      <c r="BA119" s="164">
        <v>651.0</v>
      </c>
      <c r="BB119" s="166"/>
      <c r="BC119" s="166"/>
    </row>
    <row r="120">
      <c r="A120" s="164"/>
      <c r="B120" s="164" t="s">
        <v>3399</v>
      </c>
      <c r="C120" s="164"/>
      <c r="D120" s="164"/>
      <c r="E120" s="164"/>
      <c r="F120" s="164"/>
      <c r="G120" s="164"/>
      <c r="H120" s="164"/>
      <c r="I120" s="164"/>
      <c r="J120" s="147"/>
      <c r="K120" s="164"/>
      <c r="L120" s="164"/>
      <c r="M120" s="164"/>
      <c r="N120" s="164"/>
      <c r="O120" s="164"/>
      <c r="P120" s="164"/>
      <c r="Q120" s="164"/>
      <c r="R120" s="164"/>
      <c r="S120" s="164" t="s">
        <v>1074</v>
      </c>
      <c r="T120" s="164" t="s">
        <v>1073</v>
      </c>
      <c r="U120" s="164" t="s">
        <v>155</v>
      </c>
      <c r="V120" s="164" t="s">
        <v>129</v>
      </c>
      <c r="W120" s="164" t="s">
        <v>192</v>
      </c>
      <c r="X120" s="164" t="s">
        <v>1075</v>
      </c>
      <c r="Y120" s="171">
        <v>45639.0</v>
      </c>
      <c r="Z120" s="164" t="s">
        <v>623</v>
      </c>
      <c r="AA120" s="164" t="s">
        <v>925</v>
      </c>
      <c r="AB120" s="164" t="s">
        <v>1076</v>
      </c>
      <c r="AC120" s="173" t="s">
        <v>1083</v>
      </c>
      <c r="AD120" s="164" t="s">
        <v>92</v>
      </c>
      <c r="AE120" s="164">
        <v>61.1</v>
      </c>
      <c r="AF120" s="171">
        <v>45657.0</v>
      </c>
      <c r="AG120" s="164">
        <v>193.0</v>
      </c>
      <c r="AH120" s="164">
        <v>193.0</v>
      </c>
      <c r="AI120" s="6">
        <f t="shared" si="3"/>
        <v>1</v>
      </c>
      <c r="AJ120" s="148">
        <f t="shared" si="4"/>
        <v>0</v>
      </c>
      <c r="AK120" s="164">
        <v>1969.0</v>
      </c>
      <c r="AL120" s="164"/>
      <c r="AM120" s="173" t="s">
        <v>1084</v>
      </c>
      <c r="AN120" s="164" t="s">
        <v>2778</v>
      </c>
      <c r="AO120" s="164"/>
      <c r="AP120" s="164"/>
      <c r="AQ120" s="173" t="s">
        <v>3405</v>
      </c>
      <c r="AR120" s="167">
        <v>3.8088016E7</v>
      </c>
      <c r="AS120" s="167">
        <v>1.7709486E7</v>
      </c>
      <c r="AT120" s="167"/>
      <c r="AU120" s="167">
        <v>28950.0</v>
      </c>
      <c r="AV120" s="167"/>
      <c r="AW120" s="172">
        <v>397013.56</v>
      </c>
      <c r="AX120" s="164">
        <v>2024.0</v>
      </c>
      <c r="AY120" s="164">
        <v>272122.5</v>
      </c>
      <c r="AZ120" s="164">
        <v>2025.0</v>
      </c>
      <c r="BA120" s="164">
        <v>2130.0</v>
      </c>
      <c r="BB120" s="166"/>
      <c r="BC120" s="166"/>
    </row>
    <row r="121">
      <c r="A121" s="168" t="s">
        <v>1111</v>
      </c>
      <c r="B121" s="164" t="s">
        <v>3411</v>
      </c>
      <c r="C121" s="164"/>
      <c r="D121" s="164"/>
      <c r="E121" s="164"/>
      <c r="F121" s="164"/>
      <c r="G121" s="164"/>
      <c r="H121" s="164"/>
      <c r="I121" s="164"/>
      <c r="J121" s="147">
        <v>2065837.0</v>
      </c>
      <c r="K121" s="164" t="s">
        <v>146</v>
      </c>
      <c r="L121" s="164"/>
      <c r="M121" s="164"/>
      <c r="N121" s="164"/>
      <c r="O121" s="164"/>
      <c r="P121" s="164"/>
      <c r="Q121" s="166"/>
      <c r="R121" s="164"/>
      <c r="S121" s="164" t="s">
        <v>1145</v>
      </c>
      <c r="T121" s="164" t="s">
        <v>1113</v>
      </c>
      <c r="U121" s="164" t="s">
        <v>114</v>
      </c>
      <c r="V121" s="164" t="s">
        <v>114</v>
      </c>
      <c r="W121" s="164" t="s">
        <v>1119</v>
      </c>
      <c r="X121" s="164" t="s">
        <v>1146</v>
      </c>
      <c r="Y121" s="171">
        <v>45709.0</v>
      </c>
      <c r="Z121" s="164" t="s">
        <v>1147</v>
      </c>
      <c r="AA121" s="164"/>
      <c r="AB121" s="164" t="s">
        <v>938</v>
      </c>
      <c r="AC121" s="164"/>
      <c r="AD121" s="164" t="s">
        <v>474</v>
      </c>
      <c r="AE121" s="164"/>
      <c r="AF121" s="164"/>
      <c r="AG121" s="164">
        <v>116.0</v>
      </c>
      <c r="AH121" s="164">
        <v>115.0</v>
      </c>
      <c r="AI121" s="6">
        <f t="shared" si="3"/>
        <v>0.9913793103</v>
      </c>
      <c r="AJ121" s="148">
        <f t="shared" si="4"/>
        <v>2048028.06</v>
      </c>
      <c r="AK121" s="164"/>
      <c r="AL121" s="164"/>
      <c r="AM121" s="166"/>
      <c r="AN121" s="166"/>
      <c r="AO121" s="166"/>
      <c r="AP121" s="166"/>
      <c r="AQ121" s="166"/>
      <c r="AR121" s="166"/>
      <c r="AS121" s="166"/>
      <c r="AT121" s="166"/>
      <c r="AU121" s="167">
        <v>17250.0</v>
      </c>
      <c r="AV121" s="167"/>
      <c r="AW121" s="167"/>
      <c r="AX121" s="166"/>
      <c r="AY121" s="166"/>
      <c r="AZ121" s="166"/>
      <c r="BA121" s="164">
        <v>2533.0</v>
      </c>
      <c r="BB121" s="166"/>
      <c r="BC121" s="166"/>
    </row>
    <row r="122">
      <c r="A122" s="164" t="s">
        <v>1131</v>
      </c>
      <c r="B122" s="164" t="s">
        <v>3415</v>
      </c>
      <c r="C122" s="164"/>
      <c r="D122" s="164"/>
      <c r="E122" s="164"/>
      <c r="F122" s="164"/>
      <c r="G122" s="164"/>
      <c r="H122" s="164"/>
      <c r="I122" s="164"/>
      <c r="J122" s="147"/>
      <c r="K122" s="164"/>
      <c r="L122" s="164"/>
      <c r="M122" s="164"/>
      <c r="N122" s="164"/>
      <c r="O122" s="164"/>
      <c r="P122" s="164"/>
      <c r="Q122" s="166"/>
      <c r="R122" s="164"/>
      <c r="S122" s="164" t="s">
        <v>1169</v>
      </c>
      <c r="T122" s="164" t="s">
        <v>1168</v>
      </c>
      <c r="U122" s="164" t="s">
        <v>273</v>
      </c>
      <c r="V122" s="164" t="s">
        <v>119</v>
      </c>
      <c r="W122" s="164" t="s">
        <v>1119</v>
      </c>
      <c r="X122" s="164" t="s">
        <v>1170</v>
      </c>
      <c r="Y122" s="171">
        <v>45730.0</v>
      </c>
      <c r="Z122" s="164" t="s">
        <v>1171</v>
      </c>
      <c r="AA122" s="164"/>
      <c r="AB122" s="164" t="s">
        <v>1172</v>
      </c>
      <c r="AC122" s="164"/>
      <c r="AD122" s="164" t="s">
        <v>92</v>
      </c>
      <c r="AE122" s="164"/>
      <c r="AF122" s="164"/>
      <c r="AG122" s="164">
        <v>272.0</v>
      </c>
      <c r="AH122" s="164">
        <v>270.0</v>
      </c>
      <c r="AI122" s="6">
        <f t="shared" si="3"/>
        <v>0.9926470588</v>
      </c>
      <c r="AJ122" s="148">
        <f t="shared" si="4"/>
        <v>0</v>
      </c>
      <c r="AK122" s="164">
        <v>1978.0</v>
      </c>
      <c r="AL122" s="164"/>
      <c r="AM122" s="164"/>
      <c r="AN122" s="166"/>
      <c r="AO122" s="166"/>
      <c r="AP122" s="166"/>
      <c r="AQ122" s="166"/>
      <c r="AR122" s="166"/>
      <c r="AS122" s="166"/>
      <c r="AT122" s="166"/>
      <c r="AU122" s="167">
        <v>40500.0</v>
      </c>
      <c r="AV122" s="167"/>
      <c r="AW122" s="167"/>
      <c r="AX122" s="166"/>
      <c r="AY122" s="166"/>
      <c r="AZ122" s="166"/>
      <c r="BA122" s="164">
        <v>7777.0</v>
      </c>
      <c r="BB122" s="166"/>
      <c r="BC122" s="166"/>
    </row>
    <row r="123">
      <c r="A123" s="168" t="s">
        <v>1153</v>
      </c>
      <c r="B123" s="164" t="s">
        <v>3419</v>
      </c>
      <c r="C123" s="164"/>
      <c r="D123" s="164"/>
      <c r="E123" s="164"/>
      <c r="F123" s="164"/>
      <c r="G123" s="164"/>
      <c r="H123" s="164"/>
      <c r="I123" s="164"/>
      <c r="J123" s="147">
        <v>1.4893295E7</v>
      </c>
      <c r="K123" s="164" t="s">
        <v>146</v>
      </c>
      <c r="L123" s="164"/>
      <c r="M123" s="164"/>
      <c r="N123" s="164"/>
      <c r="O123" s="164"/>
      <c r="P123" s="164"/>
      <c r="Q123" s="166"/>
      <c r="R123" s="164"/>
      <c r="S123" s="164" t="s">
        <v>1186</v>
      </c>
      <c r="T123" s="164" t="s">
        <v>1157</v>
      </c>
      <c r="U123" s="164" t="s">
        <v>114</v>
      </c>
      <c r="V123" s="164" t="s">
        <v>114</v>
      </c>
      <c r="W123" s="164" t="s">
        <v>1119</v>
      </c>
      <c r="X123" s="164" t="s">
        <v>1187</v>
      </c>
      <c r="Y123" s="171">
        <v>45751.0</v>
      </c>
      <c r="Z123" s="164" t="s">
        <v>201</v>
      </c>
      <c r="AA123" s="164"/>
      <c r="AB123" s="164" t="s">
        <v>90</v>
      </c>
      <c r="AC123" s="164"/>
      <c r="AD123" s="164"/>
      <c r="AE123" s="171"/>
      <c r="AF123" s="164"/>
      <c r="AG123" s="164">
        <v>50.0</v>
      </c>
      <c r="AH123" s="164">
        <v>50.0</v>
      </c>
      <c r="AI123" s="6">
        <f t="shared" si="3"/>
        <v>1</v>
      </c>
      <c r="AJ123" s="148">
        <f t="shared" si="4"/>
        <v>14893295</v>
      </c>
      <c r="AK123" s="164"/>
      <c r="AL123" s="164"/>
      <c r="AM123" s="166"/>
      <c r="AN123" s="166"/>
      <c r="AO123" s="166"/>
      <c r="AP123" s="166"/>
      <c r="AQ123" s="166"/>
      <c r="AR123" s="166"/>
      <c r="AS123" s="166"/>
      <c r="AT123" s="166"/>
      <c r="AU123" s="167">
        <v>4800.0</v>
      </c>
      <c r="AV123" s="167"/>
      <c r="AW123" s="167"/>
      <c r="AX123" s="166"/>
      <c r="AY123" s="166"/>
      <c r="AZ123" s="166"/>
      <c r="BA123" s="164">
        <v>10535.0</v>
      </c>
      <c r="BB123" s="166"/>
      <c r="BC123" s="166"/>
    </row>
    <row r="124">
      <c r="A124" s="164"/>
      <c r="B124" s="164" t="s">
        <v>3421</v>
      </c>
      <c r="C124" s="164"/>
      <c r="D124" s="164"/>
      <c r="E124" s="164"/>
      <c r="F124" s="164"/>
      <c r="G124" s="164"/>
      <c r="H124" s="164"/>
      <c r="I124" s="164"/>
      <c r="J124" s="147"/>
      <c r="K124" s="164"/>
      <c r="L124" s="164"/>
      <c r="M124" s="164"/>
      <c r="N124" s="164"/>
      <c r="O124" s="164"/>
      <c r="P124" s="164"/>
      <c r="Q124" s="166"/>
      <c r="R124" s="164"/>
      <c r="S124" s="164" t="s">
        <v>1199</v>
      </c>
      <c r="T124" s="164" t="s">
        <v>1198</v>
      </c>
      <c r="U124" s="164" t="s">
        <v>224</v>
      </c>
      <c r="V124" s="164" t="s">
        <v>124</v>
      </c>
      <c r="W124" s="164" t="s">
        <v>1119</v>
      </c>
      <c r="X124" s="164" t="s">
        <v>1200</v>
      </c>
      <c r="Y124" s="171">
        <v>45772.0</v>
      </c>
      <c r="Z124" s="164" t="s">
        <v>391</v>
      </c>
      <c r="AA124" s="164"/>
      <c r="AB124" s="164" t="s">
        <v>938</v>
      </c>
      <c r="AC124" s="164"/>
      <c r="AD124" s="164"/>
      <c r="AE124" s="171"/>
      <c r="AF124" s="164"/>
      <c r="AG124" s="164">
        <v>122.0</v>
      </c>
      <c r="AH124" s="164"/>
      <c r="AI124" s="6">
        <f t="shared" si="3"/>
        <v>0</v>
      </c>
      <c r="AJ124" s="148">
        <f t="shared" si="4"/>
        <v>0</v>
      </c>
      <c r="AK124" s="164"/>
      <c r="AL124" s="164"/>
      <c r="AM124" s="166"/>
      <c r="AN124" s="164">
        <v>6312820.0</v>
      </c>
      <c r="AO124" s="164">
        <v>6312830.0</v>
      </c>
      <c r="AP124" s="164">
        <v>6312840.0</v>
      </c>
      <c r="AQ124" s="164"/>
      <c r="AR124" s="164"/>
      <c r="AS124" s="166"/>
      <c r="AT124" s="166"/>
      <c r="AU124" s="167">
        <v>18300.0</v>
      </c>
      <c r="AV124" s="167"/>
      <c r="AW124" s="167"/>
      <c r="AX124" s="166"/>
      <c r="AY124" s="166"/>
      <c r="AZ124" s="166"/>
      <c r="BA124" s="164">
        <v>26.0</v>
      </c>
      <c r="BB124" s="166"/>
      <c r="BC124" s="166"/>
    </row>
    <row r="125">
      <c r="A125" s="168" t="s">
        <v>1232</v>
      </c>
      <c r="B125" s="164" t="s">
        <v>3427</v>
      </c>
      <c r="C125" s="164"/>
      <c r="D125" s="164"/>
      <c r="E125" s="164"/>
      <c r="F125" s="164"/>
      <c r="G125" s="164"/>
      <c r="H125" s="164"/>
      <c r="I125" s="164"/>
      <c r="J125" s="147">
        <v>1569525.0</v>
      </c>
      <c r="K125" s="164" t="s">
        <v>146</v>
      </c>
      <c r="L125" s="164"/>
      <c r="M125" s="164"/>
      <c r="N125" s="164"/>
      <c r="O125" s="164"/>
      <c r="P125" s="164"/>
      <c r="Q125" s="166"/>
      <c r="R125" s="164"/>
      <c r="S125" s="164" t="s">
        <v>1237</v>
      </c>
      <c r="T125" s="164" t="s">
        <v>1237</v>
      </c>
      <c r="U125" s="164" t="s">
        <v>114</v>
      </c>
      <c r="V125" s="164" t="s">
        <v>114</v>
      </c>
      <c r="W125" s="164"/>
      <c r="X125" s="164" t="s">
        <v>3393</v>
      </c>
      <c r="Y125" s="171">
        <v>45814.0</v>
      </c>
      <c r="Z125" s="164" t="s">
        <v>445</v>
      </c>
      <c r="AA125" s="164"/>
      <c r="AB125" s="164" t="s">
        <v>90</v>
      </c>
      <c r="AC125" s="164"/>
      <c r="AD125" s="164" t="s">
        <v>474</v>
      </c>
      <c r="AE125" s="164"/>
      <c r="AF125" s="164"/>
      <c r="AG125" s="164">
        <v>50.0</v>
      </c>
      <c r="AH125" s="164">
        <v>49.0</v>
      </c>
      <c r="AI125" s="6">
        <f t="shared" si="3"/>
        <v>0.98</v>
      </c>
      <c r="AJ125" s="148">
        <f t="shared" si="4"/>
        <v>1538134.5</v>
      </c>
      <c r="AK125" s="164"/>
      <c r="AL125" s="164"/>
      <c r="AM125" s="166"/>
      <c r="AN125" s="166"/>
      <c r="AO125" s="166"/>
      <c r="AP125" s="166"/>
      <c r="AQ125" s="166"/>
      <c r="AR125" s="166"/>
      <c r="AS125" s="166"/>
      <c r="AT125" s="166"/>
      <c r="AU125" s="167">
        <v>7350.0</v>
      </c>
      <c r="AV125" s="167"/>
      <c r="AW125" s="167"/>
      <c r="AX125" s="166"/>
      <c r="AY125" s="166"/>
      <c r="AZ125" s="166"/>
      <c r="BA125" s="164">
        <v>1451.0</v>
      </c>
      <c r="BB125" s="166"/>
      <c r="BC125" s="166"/>
    </row>
    <row r="126">
      <c r="A126" s="168" t="s">
        <v>1268</v>
      </c>
      <c r="B126" s="164" t="s">
        <v>3431</v>
      </c>
      <c r="C126" s="164"/>
      <c r="D126" s="164"/>
      <c r="E126" s="164"/>
      <c r="F126" s="164"/>
      <c r="G126" s="164"/>
      <c r="H126" s="164"/>
      <c r="I126" s="164"/>
      <c r="J126" s="147">
        <v>5960901.0</v>
      </c>
      <c r="K126" s="164" t="s">
        <v>146</v>
      </c>
      <c r="L126" s="164"/>
      <c r="M126" s="164"/>
      <c r="N126" s="164"/>
      <c r="O126" s="164"/>
      <c r="P126" s="164"/>
      <c r="Q126" s="166"/>
      <c r="R126" s="164"/>
      <c r="S126" s="164" t="s">
        <v>1314</v>
      </c>
      <c r="T126" s="164" t="s">
        <v>1272</v>
      </c>
      <c r="U126" s="164" t="s">
        <v>114</v>
      </c>
      <c r="V126" s="164" t="s">
        <v>114</v>
      </c>
      <c r="W126" s="164" t="s">
        <v>1119</v>
      </c>
      <c r="X126" s="164" t="s">
        <v>1315</v>
      </c>
      <c r="Y126" s="171">
        <v>45835.0</v>
      </c>
      <c r="Z126" s="164" t="s">
        <v>445</v>
      </c>
      <c r="AA126" s="164"/>
      <c r="AB126" s="164" t="s">
        <v>90</v>
      </c>
      <c r="AC126" s="164"/>
      <c r="AD126" s="164" t="s">
        <v>474</v>
      </c>
      <c r="AE126" s="164"/>
      <c r="AF126" s="164"/>
      <c r="AG126" s="164">
        <v>31.0</v>
      </c>
      <c r="AH126" s="164">
        <v>30.0</v>
      </c>
      <c r="AI126" s="6">
        <f t="shared" si="3"/>
        <v>0.9677419355</v>
      </c>
      <c r="AJ126" s="148">
        <f t="shared" si="4"/>
        <v>5768613.871</v>
      </c>
      <c r="AK126" s="164"/>
      <c r="AL126" s="164"/>
      <c r="AM126" s="166"/>
      <c r="AN126" s="166"/>
      <c r="AO126" s="166"/>
      <c r="AP126" s="166"/>
      <c r="AQ126" s="166"/>
      <c r="AR126" s="166"/>
      <c r="AS126" s="166"/>
      <c r="AT126" s="166"/>
      <c r="AU126" s="167">
        <v>4500.0</v>
      </c>
      <c r="AV126" s="167"/>
      <c r="AW126" s="167"/>
      <c r="AX126" s="166"/>
      <c r="AY126" s="166"/>
      <c r="AZ126" s="166"/>
      <c r="BA126" s="164">
        <v>321.0</v>
      </c>
      <c r="BB126" s="166"/>
      <c r="BC126" s="166"/>
    </row>
    <row r="127">
      <c r="A127" s="168" t="s">
        <v>1300</v>
      </c>
      <c r="B127" s="164" t="s">
        <v>3433</v>
      </c>
      <c r="C127" s="164"/>
      <c r="D127" s="164"/>
      <c r="E127" s="164"/>
      <c r="F127" s="164"/>
      <c r="G127" s="164"/>
      <c r="H127" s="164"/>
      <c r="I127" s="164"/>
      <c r="J127" s="147">
        <v>1363864.0</v>
      </c>
      <c r="K127" s="164" t="s">
        <v>146</v>
      </c>
      <c r="L127" s="164"/>
      <c r="M127" s="164"/>
      <c r="N127" s="164"/>
      <c r="O127" s="164"/>
      <c r="P127" s="164"/>
      <c r="Q127" s="166"/>
      <c r="R127" s="164"/>
      <c r="S127" s="164" t="s">
        <v>1359</v>
      </c>
      <c r="T127" s="164" t="s">
        <v>1305</v>
      </c>
      <c r="U127" s="164" t="s">
        <v>114</v>
      </c>
      <c r="V127" s="164" t="s">
        <v>114</v>
      </c>
      <c r="W127" s="164" t="s">
        <v>1119</v>
      </c>
      <c r="X127" s="164" t="s">
        <v>1360</v>
      </c>
      <c r="Y127" s="171">
        <v>45835.0</v>
      </c>
      <c r="Z127" s="164" t="s">
        <v>445</v>
      </c>
      <c r="AA127" s="164"/>
      <c r="AB127" s="164" t="s">
        <v>90</v>
      </c>
      <c r="AC127" s="164"/>
      <c r="AD127" s="164" t="s">
        <v>474</v>
      </c>
      <c r="AE127" s="164"/>
      <c r="AF127" s="164"/>
      <c r="AG127" s="164">
        <v>48.0</v>
      </c>
      <c r="AH127" s="164">
        <v>47.0</v>
      </c>
      <c r="AI127" s="6">
        <f t="shared" si="3"/>
        <v>0.9791666667</v>
      </c>
      <c r="AJ127" s="148">
        <f t="shared" si="4"/>
        <v>1335450.167</v>
      </c>
      <c r="AK127" s="164"/>
      <c r="AL127" s="164"/>
      <c r="AM127" s="166"/>
      <c r="AN127" s="166"/>
      <c r="AO127" s="166"/>
      <c r="AP127" s="166"/>
      <c r="AQ127" s="166"/>
      <c r="AR127" s="166"/>
      <c r="AS127" s="166"/>
      <c r="AT127" s="166"/>
      <c r="AU127" s="167">
        <v>7050.0</v>
      </c>
      <c r="AV127" s="167"/>
      <c r="AW127" s="167"/>
      <c r="AX127" s="166"/>
      <c r="AY127" s="166"/>
      <c r="AZ127" s="166"/>
      <c r="BA127" s="164">
        <v>569.0</v>
      </c>
      <c r="BB127" s="166"/>
      <c r="BC127" s="166"/>
    </row>
    <row r="128">
      <c r="A128" s="168" t="s">
        <v>3434</v>
      </c>
      <c r="B128" s="164" t="s">
        <v>3436</v>
      </c>
      <c r="C128" s="164"/>
      <c r="D128" s="164"/>
      <c r="E128" s="164"/>
      <c r="F128" s="164"/>
      <c r="G128" s="164"/>
      <c r="H128" s="164"/>
      <c r="I128" s="164"/>
      <c r="J128" s="147">
        <v>647700.0</v>
      </c>
      <c r="K128" s="164" t="s">
        <v>146</v>
      </c>
      <c r="L128" s="164"/>
      <c r="M128" s="164"/>
      <c r="N128" s="164"/>
      <c r="O128" s="164"/>
      <c r="P128" s="164"/>
      <c r="Q128" s="166"/>
      <c r="R128" s="164"/>
      <c r="S128" s="164" t="s">
        <v>1456</v>
      </c>
      <c r="T128" s="164" t="s">
        <v>1326</v>
      </c>
      <c r="U128" s="164" t="s">
        <v>114</v>
      </c>
      <c r="V128" s="164" t="s">
        <v>114</v>
      </c>
      <c r="W128" s="164" t="s">
        <v>1119</v>
      </c>
      <c r="X128" s="164" t="s">
        <v>1457</v>
      </c>
      <c r="Y128" s="171">
        <v>45856.0</v>
      </c>
      <c r="Z128" s="164" t="s">
        <v>1458</v>
      </c>
      <c r="AA128" s="164"/>
      <c r="AB128" s="164" t="s">
        <v>203</v>
      </c>
      <c r="AC128" s="164"/>
      <c r="AD128" s="164" t="s">
        <v>474</v>
      </c>
      <c r="AE128" s="164"/>
      <c r="AF128" s="164"/>
      <c r="AG128" s="164">
        <v>69.0</v>
      </c>
      <c r="AH128" s="164">
        <v>68.0</v>
      </c>
      <c r="AI128" s="6">
        <f t="shared" si="3"/>
        <v>0.9855072464</v>
      </c>
      <c r="AJ128" s="148">
        <f t="shared" si="4"/>
        <v>638313.0435</v>
      </c>
      <c r="AK128" s="164"/>
      <c r="AL128" s="164"/>
      <c r="AM128" s="166"/>
      <c r="AN128" s="166"/>
      <c r="AO128" s="166"/>
      <c r="AP128" s="166"/>
      <c r="AQ128" s="166"/>
      <c r="AR128" s="166"/>
      <c r="AS128" s="166"/>
      <c r="AT128" s="166"/>
      <c r="AU128" s="167">
        <v>10200.0</v>
      </c>
      <c r="AV128" s="167"/>
      <c r="AW128" s="167"/>
      <c r="AX128" s="166"/>
      <c r="AY128" s="166"/>
      <c r="AZ128" s="166"/>
      <c r="BA128" s="164">
        <v>17188.0</v>
      </c>
      <c r="BB128" s="166"/>
      <c r="BC128" s="166"/>
    </row>
    <row r="129">
      <c r="A129" s="168" t="s">
        <v>1346</v>
      </c>
      <c r="B129" s="164" t="s">
        <v>3437</v>
      </c>
      <c r="C129" s="164"/>
      <c r="D129" s="164"/>
      <c r="E129" s="164"/>
      <c r="F129" s="164"/>
      <c r="G129" s="164"/>
      <c r="H129" s="164"/>
      <c r="I129" s="164"/>
      <c r="J129" s="147">
        <v>4.5150518E7</v>
      </c>
      <c r="K129" s="164" t="s">
        <v>146</v>
      </c>
      <c r="L129" s="164"/>
      <c r="M129" s="164"/>
      <c r="N129" s="164"/>
      <c r="O129" s="164"/>
      <c r="P129" s="164"/>
      <c r="Q129" s="166"/>
      <c r="R129" s="164"/>
      <c r="S129" s="164" t="s">
        <v>1555</v>
      </c>
      <c r="T129" s="164" t="s">
        <v>1351</v>
      </c>
      <c r="U129" s="164" t="s">
        <v>1556</v>
      </c>
      <c r="V129" s="164" t="s">
        <v>114</v>
      </c>
      <c r="W129" s="164" t="s">
        <v>1119</v>
      </c>
      <c r="X129" s="164" t="s">
        <v>1557</v>
      </c>
      <c r="Y129" s="171">
        <v>45877.0</v>
      </c>
      <c r="Z129" s="164" t="s">
        <v>1533</v>
      </c>
      <c r="AA129" s="164"/>
      <c r="AB129" s="164" t="s">
        <v>951</v>
      </c>
      <c r="AC129" s="164"/>
      <c r="AD129" s="164" t="s">
        <v>92</v>
      </c>
      <c r="AE129" s="164"/>
      <c r="AF129" s="164"/>
      <c r="AG129" s="164">
        <v>177.0</v>
      </c>
      <c r="AH129" s="164">
        <v>177.0</v>
      </c>
      <c r="AI129" s="6">
        <f t="shared" si="3"/>
        <v>1</v>
      </c>
      <c r="AJ129" s="148">
        <f t="shared" si="4"/>
        <v>45150518</v>
      </c>
      <c r="AK129" s="164"/>
      <c r="AL129" s="164"/>
      <c r="AM129" s="166"/>
      <c r="AN129" s="166"/>
      <c r="AO129" s="166"/>
      <c r="AP129" s="166"/>
      <c r="AQ129" s="166"/>
      <c r="AR129" s="166"/>
      <c r="AS129" s="166"/>
      <c r="AT129" s="166"/>
      <c r="AU129" s="167">
        <v>26550.0</v>
      </c>
      <c r="AV129" s="167"/>
      <c r="AW129" s="167"/>
      <c r="AX129" s="166"/>
      <c r="AY129" s="166"/>
      <c r="AZ129" s="166"/>
      <c r="BA129" s="164">
        <v>4640.0</v>
      </c>
      <c r="BB129" s="166"/>
      <c r="BC129" s="166"/>
    </row>
    <row r="130">
      <c r="A130" s="164"/>
      <c r="B130" s="164" t="s">
        <v>3438</v>
      </c>
      <c r="C130" s="164"/>
      <c r="D130" s="164"/>
      <c r="E130" s="164"/>
      <c r="F130" s="164"/>
      <c r="G130" s="164"/>
      <c r="H130" s="164"/>
      <c r="I130" s="164"/>
      <c r="J130" s="147"/>
      <c r="K130" s="164"/>
      <c r="L130" s="164"/>
      <c r="M130" s="164"/>
      <c r="N130" s="164"/>
      <c r="O130" s="164"/>
      <c r="P130" s="164"/>
      <c r="Q130" s="164"/>
      <c r="R130" s="164"/>
      <c r="S130" s="164" t="s">
        <v>1530</v>
      </c>
      <c r="T130" s="164" t="s">
        <v>1529</v>
      </c>
      <c r="U130" s="164" t="s">
        <v>155</v>
      </c>
      <c r="V130" s="164" t="s">
        <v>129</v>
      </c>
      <c r="W130" s="164" t="s">
        <v>1119</v>
      </c>
      <c r="X130" s="164" t="s">
        <v>1531</v>
      </c>
      <c r="Y130" s="171">
        <v>45877.0</v>
      </c>
      <c r="Z130" s="164" t="s">
        <v>1532</v>
      </c>
      <c r="AA130" s="164" t="s">
        <v>1533</v>
      </c>
      <c r="AB130" s="164" t="s">
        <v>1534</v>
      </c>
      <c r="AC130" s="173" t="s">
        <v>1537</v>
      </c>
      <c r="AD130" s="164"/>
      <c r="AE130" s="164"/>
      <c r="AF130" s="171">
        <v>45898.0</v>
      </c>
      <c r="AG130" s="164">
        <v>164.0</v>
      </c>
      <c r="AH130" s="164">
        <v>164.0</v>
      </c>
      <c r="AI130" s="6">
        <f t="shared" si="3"/>
        <v>1</v>
      </c>
      <c r="AJ130" s="148">
        <f t="shared" si="4"/>
        <v>0</v>
      </c>
      <c r="AK130" s="164"/>
      <c r="AL130" s="164"/>
      <c r="AM130" s="166"/>
      <c r="AN130" s="164" t="s">
        <v>2830</v>
      </c>
      <c r="AO130" s="164"/>
      <c r="AP130" s="164"/>
      <c r="AQ130" s="166"/>
      <c r="AR130" s="167">
        <v>4692739.0</v>
      </c>
      <c r="AS130" s="167"/>
      <c r="AT130" s="167"/>
      <c r="AU130" s="167">
        <v>24600.0</v>
      </c>
      <c r="AV130" s="167"/>
      <c r="AW130" s="167"/>
      <c r="AX130" s="166"/>
      <c r="AY130" s="166"/>
      <c r="AZ130" s="166"/>
      <c r="BA130" s="164">
        <v>1026.0</v>
      </c>
      <c r="BB130" s="166"/>
      <c r="BC130" s="166"/>
    </row>
    <row r="131">
      <c r="A131" s="164"/>
      <c r="B131" s="164" t="s">
        <v>3441</v>
      </c>
      <c r="C131" s="164"/>
      <c r="D131" s="164"/>
      <c r="E131" s="164"/>
      <c r="F131" s="164"/>
      <c r="G131" s="164"/>
      <c r="H131" s="164"/>
      <c r="I131" s="164"/>
      <c r="J131" s="147"/>
      <c r="K131" s="164"/>
      <c r="L131" s="164"/>
      <c r="M131" s="164"/>
      <c r="N131" s="164"/>
      <c r="O131" s="164"/>
      <c r="P131" s="164"/>
      <c r="Q131" s="164"/>
      <c r="R131" s="164"/>
      <c r="S131" s="164" t="s">
        <v>1493</v>
      </c>
      <c r="T131" s="164" t="s">
        <v>1492</v>
      </c>
      <c r="U131" s="164" t="s">
        <v>155</v>
      </c>
      <c r="V131" s="164" t="s">
        <v>129</v>
      </c>
      <c r="W131" s="164" t="s">
        <v>1119</v>
      </c>
      <c r="X131" s="164" t="s">
        <v>1495</v>
      </c>
      <c r="Y131" s="171">
        <v>45877.0</v>
      </c>
      <c r="Z131" s="164" t="s">
        <v>89</v>
      </c>
      <c r="AA131" s="164" t="s">
        <v>1507</v>
      </c>
      <c r="AB131" s="164" t="s">
        <v>90</v>
      </c>
      <c r="AC131" s="164"/>
      <c r="AD131" s="164"/>
      <c r="AE131" s="164">
        <v>410.0</v>
      </c>
      <c r="AF131" s="171">
        <v>45896.0</v>
      </c>
      <c r="AG131" s="164">
        <v>948.0</v>
      </c>
      <c r="AH131" s="164">
        <v>948.0</v>
      </c>
      <c r="AI131" s="6">
        <f t="shared" si="3"/>
        <v>1</v>
      </c>
      <c r="AJ131" s="148">
        <f t="shared" si="4"/>
        <v>0</v>
      </c>
      <c r="AK131" s="164">
        <v>1972.0</v>
      </c>
      <c r="AL131" s="164"/>
      <c r="AM131" s="164"/>
      <c r="AN131" s="164" t="s">
        <v>2840</v>
      </c>
      <c r="AO131" s="164" t="s">
        <v>2856</v>
      </c>
      <c r="AP131" s="164" t="s">
        <v>2867</v>
      </c>
      <c r="AQ131" s="173" t="s">
        <v>3442</v>
      </c>
      <c r="AR131" s="167">
        <v>1.24454061E8</v>
      </c>
      <c r="AS131" s="167"/>
      <c r="AT131" s="167"/>
      <c r="AU131" s="167">
        <v>93600.0</v>
      </c>
      <c r="AV131" s="167"/>
      <c r="AW131" s="164">
        <v>1669100.64</v>
      </c>
      <c r="AX131" s="164">
        <v>2024.0</v>
      </c>
      <c r="AY131" s="164">
        <v>1719040.04</v>
      </c>
      <c r="AZ131" s="164">
        <v>2025.0</v>
      </c>
      <c r="BA131" s="164">
        <v>355.0</v>
      </c>
      <c r="BB131" s="166"/>
      <c r="BC131" s="166"/>
    </row>
    <row r="132">
      <c r="A132" s="164"/>
      <c r="B132" s="164" t="s">
        <v>3443</v>
      </c>
      <c r="C132" s="164"/>
      <c r="D132" s="164"/>
      <c r="E132" s="164"/>
      <c r="F132" s="164"/>
      <c r="G132" s="164"/>
      <c r="H132" s="164"/>
      <c r="I132" s="164"/>
      <c r="J132" s="147"/>
      <c r="K132" s="164"/>
      <c r="L132" s="164"/>
      <c r="M132" s="164"/>
      <c r="N132" s="164"/>
      <c r="O132" s="164"/>
      <c r="P132" s="164"/>
      <c r="Q132" s="166"/>
      <c r="R132" s="164"/>
      <c r="S132" s="164" t="s">
        <v>1843</v>
      </c>
      <c r="T132" s="164" t="s">
        <v>1463</v>
      </c>
      <c r="U132" s="164" t="s">
        <v>114</v>
      </c>
      <c r="V132" s="164" t="s">
        <v>114</v>
      </c>
      <c r="W132" s="164" t="s">
        <v>1782</v>
      </c>
      <c r="X132" s="164" t="s">
        <v>1844</v>
      </c>
      <c r="Y132" s="171">
        <v>45919.0</v>
      </c>
      <c r="Z132" s="164" t="s">
        <v>1615</v>
      </c>
      <c r="AA132" s="164"/>
      <c r="AB132" s="164" t="s">
        <v>203</v>
      </c>
      <c r="AC132" s="164"/>
      <c r="AD132" s="164" t="s">
        <v>92</v>
      </c>
      <c r="AE132" s="164"/>
      <c r="AF132" s="164"/>
      <c r="AG132" s="164">
        <v>32.0</v>
      </c>
      <c r="AH132" s="164">
        <v>32.0</v>
      </c>
      <c r="AI132" s="6">
        <f t="shared" si="3"/>
        <v>1</v>
      </c>
      <c r="AJ132" s="148">
        <f t="shared" si="4"/>
        <v>0</v>
      </c>
      <c r="AK132" s="164"/>
      <c r="AL132" s="164"/>
      <c r="AM132" s="166"/>
      <c r="AN132" s="166"/>
      <c r="AO132" s="166"/>
      <c r="AP132" s="166"/>
      <c r="AQ132" s="166"/>
      <c r="AR132" s="166"/>
      <c r="AS132" s="166"/>
      <c r="AT132" s="166"/>
      <c r="AU132" s="167">
        <v>4800.0</v>
      </c>
      <c r="AV132" s="167"/>
      <c r="AW132" s="167"/>
      <c r="AX132" s="166"/>
      <c r="AY132" s="166"/>
      <c r="AZ132" s="166"/>
      <c r="BA132" s="164">
        <v>832.0</v>
      </c>
      <c r="BB132" s="166"/>
      <c r="BC132" s="166"/>
    </row>
    <row r="133">
      <c r="A133" s="164"/>
      <c r="B133" s="164" t="s">
        <v>3447</v>
      </c>
      <c r="C133" s="164"/>
      <c r="D133" s="164"/>
      <c r="E133" s="164"/>
      <c r="F133" s="164"/>
      <c r="G133" s="164"/>
      <c r="H133" s="164"/>
      <c r="I133" s="164"/>
      <c r="J133" s="147"/>
      <c r="K133" s="164"/>
      <c r="L133" s="164"/>
      <c r="M133" s="164"/>
      <c r="N133" s="164"/>
      <c r="O133" s="164"/>
      <c r="P133" s="164"/>
      <c r="Q133" s="164"/>
      <c r="R133" s="164"/>
      <c r="S133" s="164" t="s">
        <v>2205</v>
      </c>
      <c r="T133" s="164" t="s">
        <v>2204</v>
      </c>
      <c r="U133" s="164" t="s">
        <v>155</v>
      </c>
      <c r="V133" s="164" t="s">
        <v>129</v>
      </c>
      <c r="W133" s="164"/>
      <c r="X133" s="164"/>
      <c r="Y133" s="171">
        <v>45982.0</v>
      </c>
      <c r="Z133" s="164" t="s">
        <v>826</v>
      </c>
      <c r="AA133" s="164"/>
      <c r="AB133" s="164" t="s">
        <v>826</v>
      </c>
      <c r="AC133" s="164"/>
      <c r="AD133" s="164" t="s">
        <v>92</v>
      </c>
      <c r="AE133" s="164"/>
      <c r="AF133" s="164"/>
      <c r="AG133" s="164">
        <v>286.0</v>
      </c>
      <c r="AH133" s="164">
        <v>286.0</v>
      </c>
      <c r="AI133" s="6">
        <f t="shared" si="3"/>
        <v>1</v>
      </c>
      <c r="AJ133" s="148">
        <f t="shared" si="4"/>
        <v>0</v>
      </c>
      <c r="AK133" s="164"/>
      <c r="AL133" s="164"/>
      <c r="AM133" s="166"/>
      <c r="AN133" s="166"/>
      <c r="AO133" s="166"/>
      <c r="AP133" s="166"/>
      <c r="AQ133" s="166"/>
      <c r="AR133" s="166"/>
      <c r="AS133" s="166"/>
      <c r="AT133" s="166"/>
      <c r="AU133" s="167">
        <v>42900.0</v>
      </c>
      <c r="AV133" s="167"/>
      <c r="AW133" s="167"/>
      <c r="AX133" s="166"/>
      <c r="AY133" s="166"/>
      <c r="AZ133" s="166"/>
      <c r="BA133" s="164">
        <v>5210.0</v>
      </c>
      <c r="BB133" s="166"/>
      <c r="BC133" s="166"/>
    </row>
    <row r="134">
      <c r="A134" s="164">
        <v>4.180506E7</v>
      </c>
      <c r="B134" s="164" t="s">
        <v>1831</v>
      </c>
      <c r="C134" s="164"/>
      <c r="D134" s="164"/>
      <c r="E134" s="164"/>
      <c r="F134" s="164"/>
      <c r="G134" s="164"/>
      <c r="H134" s="164"/>
      <c r="I134" s="164"/>
      <c r="J134" s="147">
        <v>3.0330305E7</v>
      </c>
      <c r="K134" s="170"/>
      <c r="L134" s="164"/>
      <c r="M134" s="164"/>
      <c r="N134" s="164"/>
      <c r="O134" s="164"/>
      <c r="P134" s="164"/>
      <c r="Q134" s="164"/>
      <c r="R134" s="164"/>
      <c r="S134" s="164" t="s">
        <v>2210</v>
      </c>
      <c r="T134" s="164" t="s">
        <v>2209</v>
      </c>
      <c r="U134" s="164" t="s">
        <v>113</v>
      </c>
      <c r="V134" s="164" t="s">
        <v>113</v>
      </c>
      <c r="W134" s="164"/>
      <c r="X134" s="164"/>
      <c r="Y134" s="171">
        <v>45982.0</v>
      </c>
      <c r="Z134" s="164" t="s">
        <v>622</v>
      </c>
      <c r="AA134" s="164"/>
      <c r="AB134" s="164" t="s">
        <v>587</v>
      </c>
      <c r="AC134" s="164"/>
      <c r="AD134" s="164" t="s">
        <v>92</v>
      </c>
      <c r="AE134" s="164"/>
      <c r="AF134" s="164"/>
      <c r="AG134" s="164">
        <v>278.0</v>
      </c>
      <c r="AH134" s="164">
        <v>278.0</v>
      </c>
      <c r="AI134" s="6">
        <f t="shared" si="3"/>
        <v>1</v>
      </c>
      <c r="AJ134" s="148">
        <f t="shared" si="4"/>
        <v>30330305</v>
      </c>
      <c r="AK134" s="164">
        <v>1984.0</v>
      </c>
      <c r="AL134" s="164"/>
      <c r="AM134" s="164"/>
      <c r="AN134" s="166"/>
      <c r="AO134" s="166"/>
      <c r="AP134" s="166"/>
      <c r="AQ134" s="166"/>
      <c r="AR134" s="166"/>
      <c r="AS134" s="166"/>
      <c r="AT134" s="166"/>
      <c r="AU134" s="167">
        <v>41700.0</v>
      </c>
      <c r="AV134" s="167"/>
      <c r="AW134" s="167"/>
      <c r="AX134" s="166"/>
      <c r="AY134" s="166"/>
      <c r="AZ134" s="166"/>
      <c r="BA134" s="164">
        <v>5669.0</v>
      </c>
      <c r="BB134" s="166"/>
      <c r="BC134" s="166"/>
    </row>
    <row r="135">
      <c r="A135" s="164" t="s">
        <v>3450</v>
      </c>
      <c r="B135" s="164" t="s">
        <v>3451</v>
      </c>
      <c r="C135" s="164"/>
      <c r="D135" s="164"/>
      <c r="E135" s="164"/>
      <c r="F135" s="164"/>
      <c r="G135" s="164"/>
      <c r="H135" s="164"/>
      <c r="I135" s="164"/>
      <c r="J135" s="147">
        <v>1206999.0</v>
      </c>
      <c r="K135" s="164" t="s">
        <v>146</v>
      </c>
      <c r="L135" s="164"/>
      <c r="M135" s="164"/>
      <c r="N135" s="164"/>
      <c r="O135" s="164"/>
      <c r="P135" s="164"/>
      <c r="Q135" s="166"/>
      <c r="R135" s="164"/>
      <c r="S135" s="164" t="s">
        <v>2213</v>
      </c>
      <c r="T135" s="164" t="s">
        <v>1838</v>
      </c>
      <c r="U135" s="164" t="s">
        <v>114</v>
      </c>
      <c r="V135" s="164" t="s">
        <v>114</v>
      </c>
      <c r="W135" s="164"/>
      <c r="X135" s="164"/>
      <c r="Y135" s="171">
        <v>45982.0</v>
      </c>
      <c r="Z135" s="164" t="s">
        <v>2675</v>
      </c>
      <c r="AA135" s="164"/>
      <c r="AB135" s="164" t="s">
        <v>90</v>
      </c>
      <c r="AC135" s="164"/>
      <c r="AD135" s="164"/>
      <c r="AE135" s="171"/>
      <c r="AF135" s="164"/>
      <c r="AG135" s="164">
        <v>116.0</v>
      </c>
      <c r="AH135" s="164">
        <v>116.0</v>
      </c>
      <c r="AI135" s="6">
        <f t="shared" si="3"/>
        <v>1</v>
      </c>
      <c r="AJ135" s="148">
        <f t="shared" si="4"/>
        <v>1206999</v>
      </c>
      <c r="AK135" s="164"/>
      <c r="AL135" s="164"/>
      <c r="AM135" s="166"/>
      <c r="AN135" s="166"/>
      <c r="AO135" s="166"/>
      <c r="AP135" s="166"/>
      <c r="AQ135" s="166"/>
      <c r="AR135" s="166"/>
      <c r="AS135" s="166"/>
      <c r="AT135" s="166"/>
      <c r="AU135" s="167">
        <v>17400.0</v>
      </c>
      <c r="AV135" s="164" t="s">
        <v>474</v>
      </c>
      <c r="AW135" s="164"/>
      <c r="AX135" s="164"/>
      <c r="AY135" s="166"/>
      <c r="AZ135" s="166"/>
      <c r="BA135" s="164">
        <v>9033.0</v>
      </c>
      <c r="BB135" s="166"/>
      <c r="BC135" s="166"/>
    </row>
    <row r="136">
      <c r="J136" s="177"/>
    </row>
    <row r="137">
      <c r="J137" s="177"/>
    </row>
  </sheetData>
  <autoFilter ref="$B$1:$BA$137"/>
  <conditionalFormatting sqref="AL1:AL137">
    <cfRule type="notContainsBlanks" dxfId="6" priority="1">
      <formula>LEN(TRIM(AL1))&gt;0</formula>
    </cfRule>
  </conditionalFormatting>
  <hyperlinks>
    <hyperlink r:id="rId4" ref="AM13"/>
    <hyperlink r:id="rId5" ref="AQ13"/>
    <hyperlink r:id="rId6" ref="AC18"/>
    <hyperlink r:id="rId7" ref="AM42"/>
    <hyperlink r:id="rId8" ref="AQ42"/>
    <hyperlink r:id="rId9" ref="AM45"/>
    <hyperlink r:id="rId10" ref="AC49"/>
    <hyperlink r:id="rId11" ref="AQ49"/>
    <hyperlink r:id="rId12" ref="AM53"/>
    <hyperlink r:id="rId13" ref="A111"/>
    <hyperlink r:id="rId14" ref="A113"/>
    <hyperlink r:id="rId15" ref="A115"/>
    <hyperlink r:id="rId16" ref="AM119"/>
    <hyperlink r:id="rId17" ref="AQ119"/>
    <hyperlink r:id="rId18" ref="AC120"/>
    <hyperlink r:id="rId19" ref="AM120"/>
    <hyperlink r:id="rId20" ref="AQ120"/>
    <hyperlink r:id="rId21" ref="A121"/>
    <hyperlink r:id="rId22" ref="A123"/>
    <hyperlink r:id="rId23" ref="A125"/>
    <hyperlink r:id="rId24" ref="A126"/>
    <hyperlink r:id="rId25" ref="A127"/>
    <hyperlink r:id="rId26" ref="A128"/>
    <hyperlink r:id="rId27" ref="A129"/>
    <hyperlink r:id="rId28" ref="AC130"/>
    <hyperlink r:id="rId29" ref="AQ131"/>
  </hyperlinks>
  <drawing r:id="rId30"/>
  <legacyDrawing r:id="rId3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63"/>
    <col customWidth="1" min="2" max="2" width="33.63"/>
    <col customWidth="1" min="3" max="4" width="38.88"/>
    <col customWidth="1" min="6" max="6" width="17.0"/>
    <col customWidth="1" min="8" max="8" width="20.38"/>
    <col customWidth="1" min="10" max="10" width="19.5"/>
    <col customWidth="1" min="11" max="11" width="14.63"/>
    <col customWidth="1" min="12" max="12" width="19.88"/>
    <col customWidth="1" min="13" max="19" width="24.5"/>
    <col customWidth="1" min="21" max="21" width="34.88"/>
  </cols>
  <sheetData>
    <row r="1">
      <c r="A1" s="151" t="s">
        <v>2507</v>
      </c>
      <c r="B1" s="6" t="s">
        <v>2508</v>
      </c>
      <c r="C1" s="6" t="s">
        <v>2509</v>
      </c>
      <c r="D1" s="6" t="s">
        <v>2780</v>
      </c>
      <c r="E1" s="6" t="s">
        <v>2510</v>
      </c>
      <c r="F1" s="6" t="s">
        <v>2511</v>
      </c>
      <c r="G1" s="6" t="s">
        <v>2512</v>
      </c>
      <c r="H1" s="6" t="s">
        <v>2513</v>
      </c>
      <c r="I1" s="6" t="s">
        <v>2514</v>
      </c>
      <c r="J1" s="6" t="s">
        <v>2515</v>
      </c>
      <c r="K1" s="152" t="s">
        <v>2516</v>
      </c>
      <c r="L1" s="25" t="s">
        <v>2519</v>
      </c>
      <c r="M1" s="6" t="s">
        <v>2520</v>
      </c>
      <c r="N1" s="6" t="s">
        <v>2521</v>
      </c>
      <c r="O1" s="6" t="s">
        <v>2522</v>
      </c>
      <c r="P1" s="6" t="s">
        <v>2523</v>
      </c>
      <c r="Q1" s="6" t="s">
        <v>2524</v>
      </c>
      <c r="R1" s="6" t="s">
        <v>2525</v>
      </c>
      <c r="S1" s="6" t="s">
        <v>2526</v>
      </c>
      <c r="T1" s="6" t="s">
        <v>2527</v>
      </c>
      <c r="U1" s="6" t="s">
        <v>2528</v>
      </c>
      <c r="V1" s="6" t="s">
        <v>2529</v>
      </c>
      <c r="W1" s="6" t="s">
        <v>2530</v>
      </c>
      <c r="X1" s="6" t="s">
        <v>1</v>
      </c>
    </row>
    <row r="2" hidden="1">
      <c r="A2" s="151" t="s">
        <v>2790</v>
      </c>
      <c r="B2" s="6" t="s">
        <v>2563</v>
      </c>
      <c r="C2" s="6" t="s">
        <v>2564</v>
      </c>
      <c r="D2" s="6"/>
      <c r="E2" s="6">
        <v>500.0</v>
      </c>
      <c r="F2" s="6" t="s">
        <v>2565</v>
      </c>
      <c r="G2" s="6" t="s">
        <v>2566</v>
      </c>
      <c r="H2" s="6" t="s">
        <v>2567</v>
      </c>
      <c r="I2" s="6">
        <v>40.0</v>
      </c>
      <c r="J2" s="6" t="s">
        <v>2568</v>
      </c>
      <c r="K2" s="152">
        <v>1.0674504E7</v>
      </c>
      <c r="L2" s="25"/>
      <c r="M2" s="6" t="s">
        <v>2570</v>
      </c>
      <c r="N2" s="6" t="s">
        <v>2571</v>
      </c>
      <c r="O2" s="6">
        <v>103.0</v>
      </c>
      <c r="P2" s="6" t="s">
        <v>2572</v>
      </c>
      <c r="Q2" s="6" t="s">
        <v>2573</v>
      </c>
      <c r="S2" s="6">
        <v>0.27005</v>
      </c>
      <c r="T2" s="6" t="s">
        <v>1824</v>
      </c>
      <c r="U2" s="6" t="s">
        <v>889</v>
      </c>
      <c r="V2" s="6" t="s">
        <v>114</v>
      </c>
      <c r="W2" s="6" t="s">
        <v>114</v>
      </c>
      <c r="X2" s="16">
        <f t="array" ref="X2">_xlfn.XLOOKUP(U2, 'CMFA-CSCDA Grants'!B:B, 'CMFA-CSCDA Grants'!A:A)
</f>
        <v>107</v>
      </c>
    </row>
    <row r="3" hidden="1">
      <c r="A3" s="151" t="s">
        <v>2798</v>
      </c>
      <c r="B3" s="6" t="s">
        <v>2579</v>
      </c>
      <c r="C3" s="6" t="s">
        <v>2580</v>
      </c>
      <c r="D3" s="6"/>
      <c r="E3" s="6">
        <v>500.0</v>
      </c>
      <c r="F3" s="6" t="s">
        <v>2565</v>
      </c>
      <c r="G3" s="6" t="s">
        <v>2581</v>
      </c>
      <c r="H3" s="6" t="s">
        <v>419</v>
      </c>
      <c r="I3" s="6">
        <v>76.0</v>
      </c>
      <c r="J3" s="6" t="s">
        <v>2568</v>
      </c>
      <c r="K3" s="152">
        <v>1.4010916E7</v>
      </c>
      <c r="L3" s="25"/>
      <c r="M3" s="6" t="s">
        <v>2582</v>
      </c>
      <c r="N3" s="6" t="s">
        <v>2571</v>
      </c>
      <c r="O3" s="6">
        <v>1057.0</v>
      </c>
      <c r="P3" s="6" t="s">
        <v>2583</v>
      </c>
      <c r="Q3" s="6" t="s">
        <v>2573</v>
      </c>
      <c r="S3" s="6">
        <v>0.367</v>
      </c>
      <c r="T3" s="6" t="s">
        <v>2180</v>
      </c>
      <c r="U3" s="6" t="s">
        <v>1802</v>
      </c>
      <c r="V3" s="6" t="s">
        <v>114</v>
      </c>
      <c r="W3" s="6" t="s">
        <v>114</v>
      </c>
      <c r="X3" s="16">
        <f t="array" ref="X3">_xlfn.XLOOKUP(U3, 'CMFA-CSCDA Grants'!B:B, 'CMFA-CSCDA Grants'!A:A)
</f>
        <v>130</v>
      </c>
    </row>
    <row r="4" hidden="1">
      <c r="A4" s="151" t="s">
        <v>2806</v>
      </c>
      <c r="B4" s="6" t="s">
        <v>2588</v>
      </c>
      <c r="C4" s="6" t="s">
        <v>2589</v>
      </c>
      <c r="D4" s="6"/>
      <c r="E4" s="6">
        <v>1100.0</v>
      </c>
      <c r="F4" s="6" t="s">
        <v>2590</v>
      </c>
      <c r="G4" s="6" t="s">
        <v>2591</v>
      </c>
      <c r="H4" s="6" t="s">
        <v>2592</v>
      </c>
      <c r="I4" s="6">
        <v>0.0</v>
      </c>
      <c r="J4" s="6" t="s">
        <v>2568</v>
      </c>
      <c r="K4" s="152">
        <v>936360.0</v>
      </c>
      <c r="L4" s="25"/>
      <c r="M4" s="6" t="s">
        <v>2593</v>
      </c>
      <c r="N4" s="6" t="s">
        <v>2595</v>
      </c>
      <c r="O4" s="6">
        <v>10705.0</v>
      </c>
      <c r="P4" s="6" t="s">
        <v>2596</v>
      </c>
      <c r="Q4" s="6" t="s">
        <v>2573</v>
      </c>
      <c r="S4" s="6">
        <v>0.25721</v>
      </c>
      <c r="T4" s="6" t="s">
        <v>2189</v>
      </c>
      <c r="U4" s="6" t="s">
        <v>1812</v>
      </c>
      <c r="V4" s="6" t="s">
        <v>114</v>
      </c>
      <c r="W4" s="6" t="s">
        <v>114</v>
      </c>
      <c r="X4" s="16">
        <f t="array" ref="X4">_xlfn.XLOOKUP(U4, 'CMFA-CSCDA Grants'!B:B, 'CMFA-CSCDA Grants'!A:A)
</f>
        <v>134</v>
      </c>
    </row>
    <row r="5" hidden="1">
      <c r="A5" s="151" t="s">
        <v>2815</v>
      </c>
      <c r="B5" s="6" t="s">
        <v>2601</v>
      </c>
      <c r="C5" s="6" t="s">
        <v>2816</v>
      </c>
      <c r="D5" s="6"/>
      <c r="E5" s="6"/>
      <c r="F5" s="6"/>
      <c r="G5" s="6" t="s">
        <v>2603</v>
      </c>
      <c r="H5" s="6" t="s">
        <v>2604</v>
      </c>
      <c r="I5" s="6">
        <v>2.0</v>
      </c>
      <c r="K5" s="153"/>
      <c r="L5" s="14"/>
      <c r="O5" s="6">
        <v>10811.0</v>
      </c>
      <c r="P5" s="6" t="s">
        <v>2606</v>
      </c>
      <c r="Q5" s="6" t="s">
        <v>2573</v>
      </c>
      <c r="S5" s="6">
        <v>0.16215</v>
      </c>
      <c r="T5" s="6" t="s">
        <v>1254</v>
      </c>
      <c r="U5" s="6" t="s">
        <v>1254</v>
      </c>
      <c r="V5" s="6" t="s">
        <v>114</v>
      </c>
      <c r="W5" s="6" t="s">
        <v>114</v>
      </c>
      <c r="X5" s="16">
        <f t="array" ref="X5">_xlfn.XLOOKUP(U5, 'CMFA-CSCDA Grants'!B:B, 'CMFA-CSCDA Grants'!A:A)
</f>
        <v>79</v>
      </c>
    </row>
    <row r="6" hidden="1">
      <c r="A6" s="151" t="s">
        <v>2825</v>
      </c>
      <c r="B6" s="6" t="s">
        <v>2611</v>
      </c>
      <c r="C6" s="6" t="s">
        <v>2613</v>
      </c>
      <c r="D6" s="6"/>
      <c r="E6" s="6">
        <v>100.0</v>
      </c>
      <c r="F6" s="6" t="s">
        <v>2614</v>
      </c>
      <c r="G6" s="6" t="s">
        <v>2615</v>
      </c>
      <c r="H6" s="6" t="s">
        <v>2592</v>
      </c>
      <c r="I6" s="6">
        <v>1.0</v>
      </c>
      <c r="J6" s="6" t="s">
        <v>2568</v>
      </c>
      <c r="K6" s="152">
        <v>1417800.0</v>
      </c>
      <c r="L6" s="25"/>
      <c r="M6" s="6" t="s">
        <v>2617</v>
      </c>
      <c r="N6" s="6" t="s">
        <v>2618</v>
      </c>
      <c r="O6" s="6">
        <v>10910.0</v>
      </c>
      <c r="P6" s="6" t="s">
        <v>2619</v>
      </c>
      <c r="Q6" s="6" t="s">
        <v>2573</v>
      </c>
      <c r="S6" s="6">
        <v>0.1926</v>
      </c>
      <c r="T6" s="6" t="s">
        <v>1586</v>
      </c>
      <c r="U6" s="6" t="s">
        <v>1342</v>
      </c>
      <c r="V6" s="6" t="s">
        <v>114</v>
      </c>
      <c r="W6" s="6" t="s">
        <v>114</v>
      </c>
      <c r="X6" s="16">
        <f t="array" ref="X6">_xlfn.XLOOKUP(U6, 'CMFA-CSCDA Grants'!B:B, 'CMFA-CSCDA Grants'!A:A)
</f>
        <v>91</v>
      </c>
    </row>
    <row r="7" hidden="1">
      <c r="A7" s="151" t="s">
        <v>2832</v>
      </c>
      <c r="B7" s="6" t="s">
        <v>2625</v>
      </c>
      <c r="C7" s="6" t="s">
        <v>2626</v>
      </c>
      <c r="D7" s="6"/>
      <c r="E7" s="6">
        <v>3100.0</v>
      </c>
      <c r="F7" s="6" t="s">
        <v>2627</v>
      </c>
      <c r="G7" s="6" t="s">
        <v>2628</v>
      </c>
      <c r="H7" s="6" t="s">
        <v>2629</v>
      </c>
      <c r="I7" s="6">
        <v>0.0</v>
      </c>
      <c r="J7" s="6" t="s">
        <v>2568</v>
      </c>
      <c r="K7" s="152">
        <v>429364.0</v>
      </c>
      <c r="L7" s="25"/>
      <c r="M7" s="6" t="s">
        <v>2631</v>
      </c>
      <c r="N7" s="6" t="s">
        <v>2633</v>
      </c>
      <c r="O7" s="6">
        <v>110.0</v>
      </c>
      <c r="P7" s="6" t="s">
        <v>1974</v>
      </c>
      <c r="Q7" s="6" t="s">
        <v>2573</v>
      </c>
      <c r="S7" s="6">
        <v>0.2368</v>
      </c>
      <c r="T7" s="6" t="s">
        <v>876</v>
      </c>
      <c r="U7" s="6" t="s">
        <v>763</v>
      </c>
      <c r="V7" s="6" t="s">
        <v>114</v>
      </c>
      <c r="W7" s="6" t="s">
        <v>114</v>
      </c>
      <c r="X7" s="16">
        <f t="array" ref="X7">_xlfn.XLOOKUP(U7, 'CMFA-CSCDA Grants'!B:B, 'CMFA-CSCDA Grants'!A:A)
</f>
        <v>42</v>
      </c>
    </row>
    <row r="8">
      <c r="A8" s="151" t="s">
        <v>369</v>
      </c>
      <c r="B8" s="6" t="s">
        <v>2634</v>
      </c>
      <c r="C8" s="6" t="s">
        <v>370</v>
      </c>
      <c r="D8" s="6" t="str">
        <f t="shared" ref="D8:D9" si="1">IF(ISBLANK(C8),B8,C8)</f>
        <v>1100.0 FAIRHAVEN AVE SANTA ANA CA 92705-6754</v>
      </c>
      <c r="E8" s="6">
        <v>2.0</v>
      </c>
      <c r="F8" s="6"/>
      <c r="G8" s="6" t="s">
        <v>2635</v>
      </c>
      <c r="H8" s="6" t="s">
        <v>2636</v>
      </c>
      <c r="I8" s="6"/>
      <c r="J8" s="6" t="s">
        <v>2568</v>
      </c>
      <c r="K8" s="152">
        <v>1.834E7</v>
      </c>
      <c r="L8" s="25" t="s">
        <v>146</v>
      </c>
      <c r="M8" s="6" t="s">
        <v>2637</v>
      </c>
      <c r="N8" s="6" t="s">
        <v>2638</v>
      </c>
      <c r="O8" s="6">
        <v>1100.0</v>
      </c>
      <c r="P8" s="6" t="s">
        <v>2639</v>
      </c>
      <c r="Q8" s="6" t="s">
        <v>2640</v>
      </c>
      <c r="S8" s="6">
        <v>2.62481</v>
      </c>
      <c r="T8" s="6" t="s">
        <v>618</v>
      </c>
      <c r="U8" s="6" t="s">
        <v>617</v>
      </c>
      <c r="V8" s="6" t="s">
        <v>268</v>
      </c>
      <c r="W8" s="6" t="s">
        <v>119</v>
      </c>
      <c r="X8" s="16">
        <f t="array" ref="X8">_xlfn.XLOOKUP(U8, 'CMFA-CSCDA Grants'!B:B, 'CMFA-CSCDA Grants'!A:A)
</f>
        <v>19</v>
      </c>
    </row>
    <row r="9">
      <c r="A9" s="151" t="s">
        <v>380</v>
      </c>
      <c r="B9" s="6" t="s">
        <v>2634</v>
      </c>
      <c r="C9" s="6" t="s">
        <v>381</v>
      </c>
      <c r="D9" s="6" t="str">
        <f t="shared" si="1"/>
        <v>1200 FAIRHAVEN AVE SANTA ANA CA 92705-6754</v>
      </c>
      <c r="E9" s="6"/>
      <c r="F9" s="6"/>
      <c r="G9" s="6"/>
      <c r="H9" s="6"/>
      <c r="I9" s="6"/>
      <c r="J9" s="6"/>
      <c r="K9" s="152">
        <v>2.241E7</v>
      </c>
      <c r="L9" s="25" t="s">
        <v>146</v>
      </c>
      <c r="M9" s="6"/>
      <c r="N9" s="6"/>
      <c r="O9" s="6"/>
      <c r="P9" s="6"/>
      <c r="Q9" s="6"/>
      <c r="S9" s="6"/>
      <c r="T9" s="6" t="s">
        <v>618</v>
      </c>
      <c r="U9" s="6" t="s">
        <v>617</v>
      </c>
      <c r="V9" s="6" t="s">
        <v>268</v>
      </c>
      <c r="W9" s="6" t="s">
        <v>119</v>
      </c>
      <c r="X9" s="16">
        <f t="array" ref="X9">_xlfn.XLOOKUP(U9, 'CMFA-CSCDA Grants'!B:B, 'CMFA-CSCDA Grants'!A:A)
</f>
        <v>19</v>
      </c>
    </row>
    <row r="10" hidden="1">
      <c r="A10" s="151" t="s">
        <v>2861</v>
      </c>
      <c r="B10" s="6" t="s">
        <v>2643</v>
      </c>
      <c r="C10" s="6" t="s">
        <v>2644</v>
      </c>
      <c r="D10" s="6"/>
      <c r="E10" s="6">
        <v>500.0</v>
      </c>
      <c r="F10" s="6" t="s">
        <v>2565</v>
      </c>
      <c r="G10" s="6" t="s">
        <v>2645</v>
      </c>
      <c r="H10" s="6" t="s">
        <v>2646</v>
      </c>
      <c r="I10" s="6">
        <v>20.0</v>
      </c>
      <c r="J10" s="6" t="s">
        <v>2568</v>
      </c>
      <c r="K10" s="152">
        <v>3121200.0</v>
      </c>
      <c r="L10" s="25"/>
      <c r="M10" s="6" t="s">
        <v>2648</v>
      </c>
      <c r="N10" s="6" t="s">
        <v>2649</v>
      </c>
      <c r="O10" s="6">
        <v>1111.0</v>
      </c>
      <c r="P10" s="6" t="s">
        <v>2650</v>
      </c>
      <c r="Q10" s="6" t="s">
        <v>2573</v>
      </c>
      <c r="S10" s="6">
        <v>0.16144</v>
      </c>
      <c r="T10" s="6" t="s">
        <v>1934</v>
      </c>
      <c r="U10" s="6" t="s">
        <v>1544</v>
      </c>
      <c r="V10" s="6" t="s">
        <v>114</v>
      </c>
      <c r="W10" s="6" t="s">
        <v>114</v>
      </c>
      <c r="X10" s="16">
        <f t="array" ref="X10">_xlfn.XLOOKUP(U10, 'CMFA-CSCDA Grants'!B:B, 'CMFA-CSCDA Grants'!A:A)
</f>
        <v>114</v>
      </c>
    </row>
    <row r="11" hidden="1">
      <c r="A11" s="151" t="s">
        <v>2869</v>
      </c>
      <c r="B11" s="6" t="s">
        <v>2652</v>
      </c>
      <c r="C11" s="6" t="s">
        <v>2653</v>
      </c>
      <c r="D11" s="6"/>
      <c r="E11" s="6">
        <v>2600.0</v>
      </c>
      <c r="F11" s="6" t="s">
        <v>2654</v>
      </c>
      <c r="G11" s="6" t="s">
        <v>2655</v>
      </c>
      <c r="H11" s="6" t="s">
        <v>2656</v>
      </c>
      <c r="I11" s="6">
        <v>0.0</v>
      </c>
      <c r="J11" s="6" t="s">
        <v>2568</v>
      </c>
      <c r="K11" s="154">
        <v>4447710.0</v>
      </c>
      <c r="L11" s="155">
        <v>4262686.0</v>
      </c>
      <c r="M11" s="6" t="s">
        <v>2657</v>
      </c>
      <c r="N11" s="6" t="s">
        <v>2658</v>
      </c>
      <c r="O11" s="6">
        <v>1136.0</v>
      </c>
      <c r="P11" s="6" t="s">
        <v>2659</v>
      </c>
      <c r="Q11" s="6" t="s">
        <v>2573</v>
      </c>
      <c r="S11" s="6">
        <v>0.21521</v>
      </c>
      <c r="T11" s="6" t="s">
        <v>1867</v>
      </c>
      <c r="U11" s="6" t="s">
        <v>108</v>
      </c>
      <c r="V11" s="6" t="s">
        <v>114</v>
      </c>
      <c r="W11" s="6" t="s">
        <v>114</v>
      </c>
      <c r="X11" s="16">
        <f t="array" ref="X11">_xlfn.XLOOKUP(U11, 'CMFA-CSCDA Grants'!B:B, 'CMFA-CSCDA Grants'!A:A)
</f>
        <v>1</v>
      </c>
    </row>
    <row r="12">
      <c r="A12" s="151" t="s">
        <v>2880</v>
      </c>
      <c r="B12" s="6" t="s">
        <v>2661</v>
      </c>
      <c r="C12" s="6" t="s">
        <v>2662</v>
      </c>
      <c r="D12" s="6" t="str">
        <f t="shared" ref="D12:D14" si="2">IF(ISBLANK(C12),B12,C12)</f>
        <v>1180 LOCHINVAR AVE SUNNYVALE CA 94087-5100</v>
      </c>
      <c r="E12" s="6">
        <v>4.0</v>
      </c>
      <c r="F12" s="6" t="s">
        <v>2663</v>
      </c>
      <c r="G12" s="6" t="s">
        <v>2635</v>
      </c>
      <c r="H12" s="6" t="s">
        <v>2665</v>
      </c>
      <c r="I12" s="6">
        <v>148.0</v>
      </c>
      <c r="J12" s="6" t="s">
        <v>2666</v>
      </c>
      <c r="K12" s="152">
        <v>7.0919811E7</v>
      </c>
      <c r="L12" s="25" t="s">
        <v>146</v>
      </c>
      <c r="M12" s="6" t="s">
        <v>2667</v>
      </c>
      <c r="N12" s="6" t="s">
        <v>2669</v>
      </c>
      <c r="O12" s="6">
        <v>1180.0</v>
      </c>
      <c r="P12" s="6" t="s">
        <v>2671</v>
      </c>
      <c r="Q12" s="6" t="s">
        <v>2672</v>
      </c>
      <c r="R12" s="6">
        <v>4.91</v>
      </c>
      <c r="S12" s="6">
        <v>5.23451</v>
      </c>
      <c r="T12" s="6" t="s">
        <v>2673</v>
      </c>
      <c r="U12" s="6" t="s">
        <v>2224</v>
      </c>
      <c r="V12" s="6" t="s">
        <v>158</v>
      </c>
      <c r="W12" s="6" t="s">
        <v>129</v>
      </c>
      <c r="X12" s="16">
        <f t="array" ref="X12">_xlfn.XLOOKUP(U12, 'CMFA-CSCDA Grants'!B:B, 'CMFA-CSCDA Grants'!A:A)
</f>
        <v>140</v>
      </c>
    </row>
    <row r="13">
      <c r="A13" s="151" t="s">
        <v>836</v>
      </c>
      <c r="B13" s="6" t="s">
        <v>2676</v>
      </c>
      <c r="C13" s="6" t="s">
        <v>838</v>
      </c>
      <c r="D13" s="6" t="str">
        <f t="shared" si="2"/>
        <v>1201.0 FULTON AVE SACRAMENTO CA 95825-7386</v>
      </c>
      <c r="E13" s="6" t="s">
        <v>2677</v>
      </c>
      <c r="F13" s="6"/>
      <c r="G13" s="6" t="s">
        <v>2678</v>
      </c>
      <c r="H13" s="6" t="s">
        <v>2679</v>
      </c>
      <c r="I13" s="6">
        <v>63.0</v>
      </c>
      <c r="J13" s="6" t="s">
        <v>2680</v>
      </c>
      <c r="K13" s="152">
        <v>1.511181E7</v>
      </c>
      <c r="L13" s="25"/>
      <c r="M13" s="6" t="s">
        <v>2681</v>
      </c>
      <c r="N13" s="6" t="s">
        <v>2682</v>
      </c>
      <c r="O13" s="6">
        <v>1201.0</v>
      </c>
      <c r="P13" s="6" t="s">
        <v>2683</v>
      </c>
      <c r="Q13" s="6" t="s">
        <v>2684</v>
      </c>
      <c r="S13" s="6">
        <v>2.95695</v>
      </c>
      <c r="T13" s="6" t="s">
        <v>981</v>
      </c>
      <c r="U13" s="6" t="s">
        <v>980</v>
      </c>
      <c r="V13" s="6" t="s">
        <v>694</v>
      </c>
      <c r="W13" s="6" t="s">
        <v>120</v>
      </c>
      <c r="X13" s="16">
        <f t="array" ref="X13">_xlfn.XLOOKUP(U13, 'CMFA-CSCDA Grants'!B:B, 'CMFA-CSCDA Grants'!A:A)
</f>
        <v>52</v>
      </c>
    </row>
    <row r="14">
      <c r="A14" s="151" t="s">
        <v>1194</v>
      </c>
      <c r="B14" s="6" t="s">
        <v>2688</v>
      </c>
      <c r="C14" s="6" t="s">
        <v>1195</v>
      </c>
      <c r="D14" s="6" t="str">
        <f t="shared" si="2"/>
        <v>1212 WHIPPLE AVE REDWOOD CITY CA 94062-1556</v>
      </c>
      <c r="E14" s="6" t="s">
        <v>2689</v>
      </c>
      <c r="F14" s="6"/>
      <c r="G14" s="6" t="s">
        <v>2691</v>
      </c>
      <c r="H14" s="6" t="s">
        <v>2692</v>
      </c>
      <c r="I14" s="6">
        <v>66.0</v>
      </c>
      <c r="J14" s="6" t="s">
        <v>2694</v>
      </c>
      <c r="K14" s="152">
        <v>2.524E7</v>
      </c>
      <c r="L14" s="25" t="s">
        <v>146</v>
      </c>
      <c r="M14" s="6" t="s">
        <v>2695</v>
      </c>
      <c r="N14" s="6" t="s">
        <v>2696</v>
      </c>
      <c r="O14" s="6">
        <v>1212.0</v>
      </c>
      <c r="P14" s="6" t="s">
        <v>2697</v>
      </c>
      <c r="Q14" s="6" t="s">
        <v>2698</v>
      </c>
      <c r="S14" s="6">
        <v>1.05333</v>
      </c>
      <c r="T14" s="6" t="s">
        <v>1213</v>
      </c>
      <c r="U14" s="6" t="s">
        <v>1212</v>
      </c>
      <c r="V14" s="6" t="s">
        <v>240</v>
      </c>
      <c r="W14" s="6" t="s">
        <v>124</v>
      </c>
      <c r="X14" s="16">
        <f t="array" ref="X14">_xlfn.XLOOKUP(U14, 'CMFA-CSCDA Grants'!B:B, 'CMFA-CSCDA Grants'!A:A)
</f>
        <v>71</v>
      </c>
    </row>
    <row r="15" hidden="1">
      <c r="A15" s="151" t="s">
        <v>2901</v>
      </c>
      <c r="B15" s="6" t="s">
        <v>2704</v>
      </c>
      <c r="C15" s="6" t="s">
        <v>2705</v>
      </c>
      <c r="D15" s="6"/>
      <c r="E15" s="6">
        <v>501.0</v>
      </c>
      <c r="F15" s="6" t="s">
        <v>2565</v>
      </c>
      <c r="G15" s="6" t="s">
        <v>2566</v>
      </c>
      <c r="H15" s="6" t="s">
        <v>2567</v>
      </c>
      <c r="I15" s="6">
        <v>236.0</v>
      </c>
      <c r="J15" s="6" t="s">
        <v>2568</v>
      </c>
      <c r="K15" s="152">
        <v>3.3410613E7</v>
      </c>
      <c r="L15" s="25"/>
      <c r="M15" s="6" t="s">
        <v>2706</v>
      </c>
      <c r="N15" s="6" t="s">
        <v>2707</v>
      </c>
      <c r="O15" s="6">
        <v>12300.0</v>
      </c>
      <c r="P15" s="6" t="s">
        <v>2708</v>
      </c>
      <c r="Q15" s="6" t="s">
        <v>2573</v>
      </c>
      <c r="S15" s="6">
        <v>4.49406</v>
      </c>
      <c r="T15" s="6" t="s">
        <v>886</v>
      </c>
      <c r="U15" s="6" t="s">
        <v>714</v>
      </c>
      <c r="V15" s="6" t="s">
        <v>114</v>
      </c>
      <c r="W15" s="6" t="s">
        <v>114</v>
      </c>
      <c r="X15" s="16">
        <f t="array" ref="X15">_xlfn.XLOOKUP(U15, 'CMFA-CSCDA Grants'!B:B, 'CMFA-CSCDA Grants'!A:A)
</f>
        <v>38</v>
      </c>
    </row>
    <row r="16">
      <c r="A16" s="156" t="s">
        <v>1143</v>
      </c>
      <c r="B16" s="6" t="s">
        <v>2709</v>
      </c>
      <c r="C16" s="6" t="s">
        <v>1144</v>
      </c>
      <c r="D16" s="6" t="str">
        <f t="shared" ref="D16:D17" si="3">IF(ISBLANK(C16),B16,C16)</f>
        <v>1250.0 S EUCLID ST ANAHEIM CA 92802-1907</v>
      </c>
      <c r="E16" s="6">
        <v>2.0</v>
      </c>
      <c r="F16" s="6"/>
      <c r="G16" s="6" t="s">
        <v>2710</v>
      </c>
      <c r="H16" s="6" t="s">
        <v>2711</v>
      </c>
      <c r="I16" s="6">
        <v>168.0</v>
      </c>
      <c r="J16" s="6" t="s">
        <v>2568</v>
      </c>
      <c r="K16" s="152">
        <v>6.069E7</v>
      </c>
      <c r="L16" s="25" t="s">
        <v>146</v>
      </c>
      <c r="M16" s="6" t="s">
        <v>2712</v>
      </c>
      <c r="N16" s="6" t="s">
        <v>2713</v>
      </c>
      <c r="O16" s="6">
        <v>1250.0</v>
      </c>
      <c r="P16" s="6" t="s">
        <v>2715</v>
      </c>
      <c r="Q16" s="6" t="s">
        <v>2640</v>
      </c>
      <c r="S16" s="6">
        <v>5.21546</v>
      </c>
      <c r="T16" s="6" t="s">
        <v>1159</v>
      </c>
      <c r="U16" s="6" t="s">
        <v>1158</v>
      </c>
      <c r="V16" s="6" t="s">
        <v>128</v>
      </c>
      <c r="W16" s="6" t="s">
        <v>119</v>
      </c>
      <c r="X16" s="16">
        <f t="array" ref="X16">_xlfn.XLOOKUP(U16, 'CMFA-CSCDA Grants'!B:B, 'CMFA-CSCDA Grants'!A:A)
</f>
        <v>67</v>
      </c>
    </row>
    <row r="17">
      <c r="A17" s="151" t="s">
        <v>2925</v>
      </c>
      <c r="B17" s="6" t="s">
        <v>2716</v>
      </c>
      <c r="C17" s="6" t="s">
        <v>2717</v>
      </c>
      <c r="D17" s="6" t="str">
        <f t="shared" si="3"/>
        <v>1260 GROVE ST HEALDSBURG CA 95448-4784</v>
      </c>
      <c r="E17" s="6">
        <v>49.0</v>
      </c>
      <c r="F17" s="6" t="s">
        <v>2718</v>
      </c>
      <c r="G17" s="6" t="s">
        <v>2719</v>
      </c>
      <c r="H17" s="6" t="s">
        <v>2720</v>
      </c>
      <c r="I17" s="6">
        <v>37.0</v>
      </c>
      <c r="J17" s="6" t="s">
        <v>2721</v>
      </c>
      <c r="K17" s="152">
        <v>1.0140095E7</v>
      </c>
      <c r="L17" s="25"/>
      <c r="M17" s="6" t="s">
        <v>2722</v>
      </c>
      <c r="N17" s="6" t="s">
        <v>2723</v>
      </c>
      <c r="O17" s="6">
        <v>1260.0</v>
      </c>
      <c r="P17" s="6" t="s">
        <v>2724</v>
      </c>
      <c r="Q17" s="6" t="s">
        <v>2725</v>
      </c>
      <c r="R17" s="6">
        <v>2.0</v>
      </c>
      <c r="S17" s="6">
        <v>1.97197</v>
      </c>
      <c r="T17" s="6" t="s">
        <v>2134</v>
      </c>
      <c r="U17" s="6" t="s">
        <v>2133</v>
      </c>
      <c r="V17" s="6" t="s">
        <v>132</v>
      </c>
      <c r="W17" s="6" t="s">
        <v>140</v>
      </c>
      <c r="X17" s="16">
        <f t="array" ref="X17">_xlfn.XLOOKUP(U17, 'CMFA-CSCDA Grants'!B:B, 'CMFA-CSCDA Grants'!A:A)
</f>
        <v>131</v>
      </c>
    </row>
    <row r="18" hidden="1">
      <c r="A18" s="151" t="s">
        <v>2930</v>
      </c>
      <c r="B18" s="6" t="s">
        <v>2726</v>
      </c>
      <c r="C18" s="6" t="s">
        <v>2727</v>
      </c>
      <c r="D18" s="6"/>
      <c r="E18" s="6">
        <v>500.0</v>
      </c>
      <c r="F18" s="6" t="s">
        <v>2565</v>
      </c>
      <c r="G18" s="6" t="s">
        <v>2566</v>
      </c>
      <c r="H18" s="6" t="s">
        <v>2567</v>
      </c>
      <c r="I18" s="6">
        <v>30.0</v>
      </c>
      <c r="J18" s="6" t="s">
        <v>2568</v>
      </c>
      <c r="K18" s="152">
        <v>1.3742642E7</v>
      </c>
      <c r="L18" s="25"/>
      <c r="M18" s="6" t="s">
        <v>2728</v>
      </c>
      <c r="N18" s="6" t="s">
        <v>2729</v>
      </c>
      <c r="O18" s="6">
        <v>130.0</v>
      </c>
      <c r="P18" s="6" t="s">
        <v>2730</v>
      </c>
      <c r="Q18" s="6" t="s">
        <v>2573</v>
      </c>
      <c r="S18" s="6">
        <v>0.55033</v>
      </c>
      <c r="T18" s="6" t="s">
        <v>2164</v>
      </c>
      <c r="U18" s="6" t="s">
        <v>1686</v>
      </c>
      <c r="V18" s="6" t="s">
        <v>114</v>
      </c>
      <c r="W18" s="6" t="s">
        <v>114</v>
      </c>
      <c r="X18" s="16">
        <f t="array" ref="X18">_xlfn.XLOOKUP(U18, 'CMFA-CSCDA Grants'!B:B, 'CMFA-CSCDA Grants'!A:A)
</f>
        <v>121</v>
      </c>
    </row>
    <row r="19" hidden="1">
      <c r="A19" s="157">
        <v>4.291019007E9</v>
      </c>
      <c r="B19" s="6" t="s">
        <v>2733</v>
      </c>
      <c r="C19" s="158" t="s">
        <v>2934</v>
      </c>
      <c r="D19" s="158"/>
      <c r="E19" s="6"/>
      <c r="F19" s="6"/>
      <c r="G19" s="6"/>
      <c r="H19" s="6"/>
      <c r="I19" s="6"/>
      <c r="J19" s="6"/>
      <c r="K19" s="154">
        <v>8520000.0</v>
      </c>
      <c r="L19" s="154">
        <v>1937646.0</v>
      </c>
      <c r="M19" s="6"/>
      <c r="N19" s="6"/>
      <c r="O19" s="6"/>
      <c r="P19" s="6"/>
      <c r="Q19" s="6"/>
      <c r="S19" s="6"/>
      <c r="T19" s="6" t="s">
        <v>716</v>
      </c>
      <c r="U19" s="6" t="s">
        <v>452</v>
      </c>
      <c r="V19" s="6" t="s">
        <v>717</v>
      </c>
      <c r="W19" s="6" t="s">
        <v>114</v>
      </c>
      <c r="X19" s="16">
        <f t="array" ref="X19">_xlfn.XLOOKUP(U19, 'CMFA-CSCDA Grants'!B:B, 'CMFA-CSCDA Grants'!A:A)
</f>
        <v>27</v>
      </c>
    </row>
    <row r="20" hidden="1">
      <c r="A20" s="151" t="s">
        <v>2939</v>
      </c>
      <c r="B20" s="6" t="s">
        <v>2733</v>
      </c>
      <c r="C20" s="6" t="s">
        <v>2734</v>
      </c>
      <c r="D20" s="6"/>
      <c r="E20" s="6">
        <v>1210.0</v>
      </c>
      <c r="F20" s="6" t="s">
        <v>2735</v>
      </c>
      <c r="G20" s="6" t="s">
        <v>2736</v>
      </c>
      <c r="H20" s="6" t="s">
        <v>2737</v>
      </c>
      <c r="I20" s="6">
        <v>28.0</v>
      </c>
      <c r="J20" s="6" t="s">
        <v>2568</v>
      </c>
      <c r="K20" s="152">
        <v>5022833.0</v>
      </c>
      <c r="L20" s="25"/>
      <c r="M20" s="6" t="s">
        <v>2738</v>
      </c>
      <c r="N20" s="6" t="s">
        <v>2739</v>
      </c>
      <c r="O20" s="6">
        <v>1422.0</v>
      </c>
      <c r="P20" s="6" t="s">
        <v>2740</v>
      </c>
      <c r="Q20" s="6" t="s">
        <v>2573</v>
      </c>
      <c r="S20" s="6">
        <v>0.17217</v>
      </c>
      <c r="T20" s="6" t="s">
        <v>716</v>
      </c>
      <c r="U20" s="6" t="s">
        <v>452</v>
      </c>
      <c r="V20" s="6" t="s">
        <v>717</v>
      </c>
      <c r="W20" s="6" t="s">
        <v>114</v>
      </c>
      <c r="X20" s="16">
        <f t="array" ref="X20">_xlfn.XLOOKUP(U20, 'CMFA-CSCDA Grants'!B:B, 'CMFA-CSCDA Grants'!A:A)
</f>
        <v>27</v>
      </c>
    </row>
    <row r="21" hidden="1">
      <c r="A21" s="151" t="s">
        <v>2947</v>
      </c>
      <c r="B21" s="6" t="s">
        <v>2743</v>
      </c>
      <c r="C21" s="6" t="s">
        <v>2744</v>
      </c>
      <c r="D21" s="6"/>
      <c r="E21" s="6">
        <v>500.0</v>
      </c>
      <c r="F21" s="6" t="s">
        <v>2565</v>
      </c>
      <c r="G21" s="6" t="s">
        <v>2745</v>
      </c>
      <c r="H21" s="6" t="s">
        <v>2746</v>
      </c>
      <c r="I21" s="6">
        <v>28.0</v>
      </c>
      <c r="J21" s="6" t="s">
        <v>2568</v>
      </c>
      <c r="K21" s="154">
        <v>7650000.0</v>
      </c>
      <c r="L21" s="154">
        <v>3491875.0</v>
      </c>
      <c r="M21" s="6" t="s">
        <v>2747</v>
      </c>
      <c r="N21" s="6" t="s">
        <v>2748</v>
      </c>
      <c r="O21" s="6">
        <v>1422.0</v>
      </c>
      <c r="P21" s="6" t="s">
        <v>2749</v>
      </c>
      <c r="Q21" s="6" t="s">
        <v>2573</v>
      </c>
      <c r="S21" s="6">
        <v>0.17165</v>
      </c>
      <c r="T21" s="6" t="s">
        <v>739</v>
      </c>
      <c r="U21" s="6" t="s">
        <v>471</v>
      </c>
      <c r="V21" s="6" t="s">
        <v>717</v>
      </c>
      <c r="W21" s="6" t="s">
        <v>114</v>
      </c>
      <c r="X21" s="16">
        <f t="array" ref="X21">_xlfn.XLOOKUP(U21, 'CMFA-CSCDA Grants'!B:B, 'CMFA-CSCDA Grants'!A:A)
</f>
        <v>28</v>
      </c>
    </row>
    <row r="22" hidden="1">
      <c r="A22" s="159">
        <v>4.291020006E9</v>
      </c>
      <c r="B22" s="6" t="s">
        <v>2743</v>
      </c>
      <c r="C22" s="160" t="s">
        <v>2958</v>
      </c>
      <c r="D22" s="160"/>
      <c r="E22" s="6"/>
      <c r="F22" s="6"/>
      <c r="G22" s="6"/>
      <c r="H22" s="6"/>
      <c r="I22" s="6"/>
      <c r="J22" s="6"/>
      <c r="K22" s="161">
        <v>7650000.0</v>
      </c>
      <c r="L22" s="161">
        <v>3491875.0</v>
      </c>
      <c r="M22" s="6"/>
      <c r="N22" s="6"/>
      <c r="O22" s="6"/>
      <c r="P22" s="6"/>
      <c r="Q22" s="6"/>
      <c r="S22" s="6"/>
      <c r="T22" s="6" t="s">
        <v>739</v>
      </c>
      <c r="U22" s="6" t="s">
        <v>471</v>
      </c>
      <c r="V22" s="6" t="s">
        <v>717</v>
      </c>
      <c r="W22" s="6" t="s">
        <v>114</v>
      </c>
      <c r="X22" s="16">
        <f t="array" ref="X22">_xlfn.XLOOKUP(U22, 'CMFA-CSCDA Grants'!B:B, 'CMFA-CSCDA Grants'!A:A)
</f>
        <v>28</v>
      </c>
    </row>
    <row r="23" hidden="1">
      <c r="A23" s="159">
        <v>4.291020007E9</v>
      </c>
      <c r="B23" s="6" t="s">
        <v>2743</v>
      </c>
      <c r="C23" s="160" t="s">
        <v>2961</v>
      </c>
      <c r="D23" s="160"/>
      <c r="E23" s="6"/>
      <c r="F23" s="6"/>
      <c r="G23" s="6"/>
      <c r="H23" s="6"/>
      <c r="I23" s="6"/>
      <c r="J23" s="6"/>
      <c r="K23" s="161">
        <v>7770000.0</v>
      </c>
      <c r="L23" s="161">
        <v>3594576.0</v>
      </c>
      <c r="M23" s="6"/>
      <c r="N23" s="6"/>
      <c r="O23" s="6"/>
      <c r="P23" s="6"/>
      <c r="Q23" s="6"/>
      <c r="S23" s="6"/>
      <c r="T23" s="6" t="s">
        <v>739</v>
      </c>
      <c r="U23" s="6" t="s">
        <v>471</v>
      </c>
      <c r="V23" s="6" t="s">
        <v>717</v>
      </c>
      <c r="W23" s="6" t="s">
        <v>114</v>
      </c>
      <c r="X23" s="16">
        <f t="array" ref="X23">_xlfn.XLOOKUP(U23, 'CMFA-CSCDA Grants'!B:B, 'CMFA-CSCDA Grants'!A:A)
</f>
        <v>28</v>
      </c>
    </row>
    <row r="24" hidden="1">
      <c r="A24" s="159">
        <v>4.291020018E9</v>
      </c>
      <c r="B24" s="6" t="s">
        <v>2752</v>
      </c>
      <c r="C24" s="160" t="s">
        <v>2962</v>
      </c>
      <c r="D24" s="160"/>
      <c r="E24" s="6"/>
      <c r="F24" s="6"/>
      <c r="G24" s="6"/>
      <c r="H24" s="6"/>
      <c r="I24" s="6"/>
      <c r="J24" s="6"/>
      <c r="K24" s="161">
        <v>1.045E7</v>
      </c>
      <c r="L24" s="161">
        <v>5443405.0</v>
      </c>
      <c r="M24" s="6"/>
      <c r="N24" s="6"/>
      <c r="O24" s="6"/>
      <c r="P24" s="6"/>
      <c r="Q24" s="6"/>
      <c r="S24" s="6"/>
      <c r="T24" s="6" t="s">
        <v>771</v>
      </c>
      <c r="U24" s="6" t="s">
        <v>493</v>
      </c>
      <c r="V24" s="6" t="s">
        <v>717</v>
      </c>
      <c r="W24" s="6" t="s">
        <v>114</v>
      </c>
      <c r="X24" s="16">
        <f t="array" ref="X24">_xlfn.XLOOKUP(U24, 'CMFA-CSCDA Grants'!B:B, 'CMFA-CSCDA Grants'!A:A)
</f>
        <v>29</v>
      </c>
    </row>
    <row r="25" hidden="1">
      <c r="A25" s="151" t="s">
        <v>2971</v>
      </c>
      <c r="B25" s="6" t="s">
        <v>2752</v>
      </c>
      <c r="C25" s="6" t="s">
        <v>2753</v>
      </c>
      <c r="D25" s="6"/>
      <c r="E25" s="6">
        <v>500.0</v>
      </c>
      <c r="F25" s="6" t="s">
        <v>2565</v>
      </c>
      <c r="G25" s="6" t="s">
        <v>2745</v>
      </c>
      <c r="H25" s="6" t="s">
        <v>2746</v>
      </c>
      <c r="I25" s="6">
        <v>24.0</v>
      </c>
      <c r="J25" s="6" t="s">
        <v>2568</v>
      </c>
      <c r="K25" s="161">
        <v>1.045E7</v>
      </c>
      <c r="L25" s="161">
        <v>5443405.0</v>
      </c>
      <c r="M25" s="6" t="s">
        <v>2754</v>
      </c>
      <c r="N25" s="6" t="s">
        <v>2748</v>
      </c>
      <c r="O25" s="6">
        <v>1423.0</v>
      </c>
      <c r="P25" s="6" t="s">
        <v>2740</v>
      </c>
      <c r="Q25" s="6" t="s">
        <v>2573</v>
      </c>
      <c r="S25" s="6">
        <v>0.17268</v>
      </c>
      <c r="T25" s="6" t="s">
        <v>771</v>
      </c>
      <c r="U25" s="6" t="s">
        <v>493</v>
      </c>
      <c r="V25" s="6" t="s">
        <v>717</v>
      </c>
      <c r="W25" s="6" t="s">
        <v>114</v>
      </c>
      <c r="X25" s="16">
        <f t="array" ref="X25">_xlfn.XLOOKUP(U25, 'CMFA-CSCDA Grants'!B:B, 'CMFA-CSCDA Grants'!A:A)
</f>
        <v>29</v>
      </c>
    </row>
    <row r="26" hidden="1">
      <c r="A26" s="151" t="s">
        <v>2975</v>
      </c>
      <c r="B26" s="6" t="s">
        <v>2755</v>
      </c>
      <c r="C26" s="6" t="s">
        <v>2756</v>
      </c>
      <c r="D26" s="6"/>
      <c r="E26" s="6">
        <v>550.0</v>
      </c>
      <c r="F26" s="6" t="s">
        <v>2565</v>
      </c>
      <c r="G26" s="6" t="s">
        <v>2736</v>
      </c>
      <c r="H26" s="6" t="s">
        <v>2737</v>
      </c>
      <c r="I26" s="6">
        <v>26.0</v>
      </c>
      <c r="J26" s="6" t="s">
        <v>2568</v>
      </c>
      <c r="K26" s="152">
        <v>4530218.0</v>
      </c>
      <c r="L26" s="25"/>
      <c r="M26" s="6" t="s">
        <v>2757</v>
      </c>
      <c r="N26" s="6" t="s">
        <v>2748</v>
      </c>
      <c r="O26" s="6">
        <v>1522.0</v>
      </c>
      <c r="P26" s="6" t="s">
        <v>2740</v>
      </c>
      <c r="Q26" s="6" t="s">
        <v>2573</v>
      </c>
      <c r="S26" s="6">
        <v>0.17185</v>
      </c>
      <c r="T26" s="6" t="s">
        <v>792</v>
      </c>
      <c r="U26" s="6" t="s">
        <v>507</v>
      </c>
      <c r="V26" s="6" t="s">
        <v>717</v>
      </c>
      <c r="W26" s="6" t="s">
        <v>114</v>
      </c>
      <c r="X26" s="16">
        <f t="array" ref="X26">_xlfn.XLOOKUP(U26, 'CMFA-CSCDA Grants'!B:B, 'CMFA-CSCDA Grants'!A:A)
</f>
        <v>30</v>
      </c>
    </row>
    <row r="27" hidden="1">
      <c r="A27" s="151" t="s">
        <v>2982</v>
      </c>
      <c r="B27" s="6" t="s">
        <v>2758</v>
      </c>
      <c r="C27" s="6" t="s">
        <v>2759</v>
      </c>
      <c r="D27" s="6"/>
      <c r="E27" s="6">
        <v>540.0</v>
      </c>
      <c r="F27" s="6" t="s">
        <v>2565</v>
      </c>
      <c r="G27" s="6" t="s">
        <v>2736</v>
      </c>
      <c r="H27" s="6" t="s">
        <v>2737</v>
      </c>
      <c r="I27" s="6">
        <v>36.0</v>
      </c>
      <c r="J27" s="6" t="s">
        <v>2568</v>
      </c>
      <c r="K27" s="152">
        <v>4620825.0</v>
      </c>
      <c r="L27" s="25"/>
      <c r="M27" s="6" t="s">
        <v>2760</v>
      </c>
      <c r="N27" s="6" t="s">
        <v>2748</v>
      </c>
      <c r="O27" s="6">
        <v>1537.0</v>
      </c>
      <c r="P27" s="6" t="s">
        <v>2749</v>
      </c>
      <c r="Q27" s="6" t="s">
        <v>2573</v>
      </c>
      <c r="S27" s="6">
        <v>0.17212</v>
      </c>
      <c r="T27" s="6" t="s">
        <v>800</v>
      </c>
      <c r="U27" s="6" t="s">
        <v>516</v>
      </c>
      <c r="V27" s="6" t="s">
        <v>717</v>
      </c>
      <c r="W27" s="6" t="s">
        <v>114</v>
      </c>
      <c r="X27" s="16">
        <f t="array" ref="X27">_xlfn.XLOOKUP(U27, 'CMFA-CSCDA Grants'!B:B, 'CMFA-CSCDA Grants'!A:A)
</f>
        <v>31</v>
      </c>
    </row>
    <row r="28">
      <c r="A28" s="151" t="s">
        <v>2817</v>
      </c>
      <c r="B28" s="6" t="s">
        <v>2763</v>
      </c>
      <c r="C28" s="6" t="s">
        <v>2764</v>
      </c>
      <c r="D28" s="6" t="str">
        <f>IF(ISBLANK(C28),B28,C28)</f>
        <v>1700 NEWBURY PARK DR SAN JOSE CA 95133-1771</v>
      </c>
      <c r="E28" s="6">
        <v>4.0</v>
      </c>
      <c r="F28" s="6" t="s">
        <v>2663</v>
      </c>
      <c r="G28" s="6" t="s">
        <v>2765</v>
      </c>
      <c r="H28" s="6" t="s">
        <v>2766</v>
      </c>
      <c r="I28" s="6">
        <v>230.0</v>
      </c>
      <c r="J28" s="6" t="s">
        <v>2666</v>
      </c>
      <c r="K28" s="152">
        <v>1.13197044E8</v>
      </c>
      <c r="L28" s="25"/>
      <c r="M28" s="6" t="s">
        <v>2767</v>
      </c>
      <c r="N28" s="6" t="s">
        <v>2768</v>
      </c>
      <c r="O28" s="6">
        <v>1700.0</v>
      </c>
      <c r="P28" s="6" t="s">
        <v>2769</v>
      </c>
      <c r="Q28" s="6" t="s">
        <v>2672</v>
      </c>
      <c r="R28" s="6">
        <v>2.86</v>
      </c>
      <c r="S28" s="6">
        <v>2.81564</v>
      </c>
      <c r="T28" s="6" t="s">
        <v>1425</v>
      </c>
      <c r="U28" s="6" t="s">
        <v>766</v>
      </c>
      <c r="V28" s="6" t="s">
        <v>155</v>
      </c>
      <c r="W28" s="6" t="s">
        <v>129</v>
      </c>
      <c r="X28" s="16">
        <f t="array" ref="X28">_xlfn.XLOOKUP(U28, 'CMFA-CSCDA Grants'!B:B, 'CMFA-CSCDA Grants'!A:A)
</f>
        <v>89</v>
      </c>
    </row>
    <row r="29" hidden="1">
      <c r="A29" s="151" t="s">
        <v>3001</v>
      </c>
      <c r="B29" s="6" t="s">
        <v>1373</v>
      </c>
      <c r="C29" s="6" t="s">
        <v>2771</v>
      </c>
      <c r="D29" s="6"/>
      <c r="E29" s="6">
        <v>300.0</v>
      </c>
      <c r="F29" s="6" t="s">
        <v>2772</v>
      </c>
      <c r="G29" s="6" t="s">
        <v>2773</v>
      </c>
      <c r="H29" s="6" t="s">
        <v>2774</v>
      </c>
      <c r="I29" s="6">
        <v>3.0</v>
      </c>
      <c r="J29" s="6" t="s">
        <v>2568</v>
      </c>
      <c r="K29" s="152">
        <v>1883105.0</v>
      </c>
      <c r="L29" s="25"/>
      <c r="M29" s="6" t="s">
        <v>2775</v>
      </c>
      <c r="N29" s="6" t="s">
        <v>2776</v>
      </c>
      <c r="O29" s="6">
        <v>1734.0</v>
      </c>
      <c r="P29" s="6" t="s">
        <v>2777</v>
      </c>
      <c r="Q29" s="6" t="s">
        <v>2573</v>
      </c>
      <c r="S29" s="6">
        <v>0.16967</v>
      </c>
      <c r="T29" s="6" t="s">
        <v>1683</v>
      </c>
      <c r="U29" s="6" t="s">
        <v>1376</v>
      </c>
      <c r="V29" s="6" t="s">
        <v>114</v>
      </c>
      <c r="W29" s="6" t="s">
        <v>114</v>
      </c>
      <c r="X29" s="16">
        <f t="array" ref="X29">_xlfn.XLOOKUP(U29, 'CMFA-CSCDA Grants'!B:B, 'CMFA-CSCDA Grants'!A:A)
</f>
        <v>99</v>
      </c>
    </row>
    <row r="30">
      <c r="A30" s="151" t="s">
        <v>353</v>
      </c>
      <c r="B30" s="6" t="s">
        <v>2781</v>
      </c>
      <c r="C30" s="6" t="s">
        <v>354</v>
      </c>
      <c r="D30" s="6" t="str">
        <f>IF(ISBLANK(C30),B30,C30)</f>
        <v>1735.0 S MISSION RD FALLBROOK CA 92028-4548</v>
      </c>
      <c r="E30" s="6">
        <v>9101.0</v>
      </c>
      <c r="F30" s="6" t="s">
        <v>2782</v>
      </c>
      <c r="G30" s="6" t="s">
        <v>2783</v>
      </c>
      <c r="H30" s="6" t="s">
        <v>2784</v>
      </c>
      <c r="I30" s="6">
        <v>107.0</v>
      </c>
      <c r="J30" s="6" t="s">
        <v>2666</v>
      </c>
      <c r="K30" s="152">
        <v>3.246048E7</v>
      </c>
      <c r="L30" s="25"/>
      <c r="M30" s="6" t="s">
        <v>2785</v>
      </c>
      <c r="N30" s="6" t="s">
        <v>2786</v>
      </c>
      <c r="O30" s="6">
        <v>1735.0</v>
      </c>
      <c r="P30" s="6" t="s">
        <v>2787</v>
      </c>
      <c r="Q30" s="6" t="s">
        <v>2788</v>
      </c>
      <c r="R30" s="6">
        <v>2.71</v>
      </c>
      <c r="S30" s="6">
        <v>2.79466</v>
      </c>
      <c r="T30" s="6" t="s">
        <v>570</v>
      </c>
      <c r="U30" s="6" t="s">
        <v>569</v>
      </c>
      <c r="V30" s="6" t="s">
        <v>122</v>
      </c>
      <c r="W30" s="6" t="s">
        <v>122</v>
      </c>
      <c r="X30" s="16">
        <f t="array" ref="X30">_xlfn.XLOOKUP(U30, 'CMFA-CSCDA Grants'!B:B, 'CMFA-CSCDA Grants'!A:A)
</f>
        <v>18</v>
      </c>
    </row>
    <row r="31" hidden="1">
      <c r="A31" s="151" t="s">
        <v>3006</v>
      </c>
      <c r="B31" s="6" t="s">
        <v>2792</v>
      </c>
      <c r="C31" s="6" t="s">
        <v>2793</v>
      </c>
      <c r="D31" s="6"/>
      <c r="E31" s="6">
        <v>300.0</v>
      </c>
      <c r="F31" s="6" t="s">
        <v>2772</v>
      </c>
      <c r="G31" s="6" t="s">
        <v>2615</v>
      </c>
      <c r="H31" s="6" t="s">
        <v>2592</v>
      </c>
      <c r="I31" s="6">
        <v>3.0</v>
      </c>
      <c r="J31" s="6" t="s">
        <v>2568</v>
      </c>
      <c r="K31" s="152">
        <v>2175258.0</v>
      </c>
      <c r="L31" s="25"/>
      <c r="M31" s="6" t="s">
        <v>2794</v>
      </c>
      <c r="N31" s="6" t="s">
        <v>2776</v>
      </c>
      <c r="O31" s="6">
        <v>1747.0</v>
      </c>
      <c r="P31" s="6" t="s">
        <v>2796</v>
      </c>
      <c r="Q31" s="6" t="s">
        <v>2573</v>
      </c>
      <c r="S31" s="6">
        <v>0.16902</v>
      </c>
      <c r="T31" s="6" t="s">
        <v>1769</v>
      </c>
      <c r="U31" s="6" t="s">
        <v>1399</v>
      </c>
      <c r="V31" s="6" t="s">
        <v>114</v>
      </c>
      <c r="W31" s="6" t="s">
        <v>114</v>
      </c>
      <c r="X31" s="16">
        <f t="array" ref="X31">_xlfn.XLOOKUP(U31, 'CMFA-CSCDA Grants'!B:B, 'CMFA-CSCDA Grants'!A:A)
</f>
        <v>102</v>
      </c>
    </row>
    <row r="32" hidden="1">
      <c r="A32" s="151" t="s">
        <v>3016</v>
      </c>
      <c r="B32" s="6" t="s">
        <v>2799</v>
      </c>
      <c r="C32" s="6" t="s">
        <v>2800</v>
      </c>
      <c r="D32" s="6"/>
      <c r="E32" s="6">
        <v>501.0</v>
      </c>
      <c r="F32" s="6" t="s">
        <v>2565</v>
      </c>
      <c r="G32" s="6" t="s">
        <v>2801</v>
      </c>
      <c r="H32" s="6" t="s">
        <v>2592</v>
      </c>
      <c r="I32" s="6">
        <v>52.0</v>
      </c>
      <c r="J32" s="6" t="s">
        <v>2568</v>
      </c>
      <c r="K32" s="152">
        <v>1.6626E7</v>
      </c>
      <c r="L32" s="25"/>
      <c r="M32" s="6" t="s">
        <v>2802</v>
      </c>
      <c r="N32" s="6" t="s">
        <v>2803</v>
      </c>
      <c r="O32" s="6">
        <v>18325.0</v>
      </c>
      <c r="P32" s="6" t="s">
        <v>2804</v>
      </c>
      <c r="Q32" s="6" t="s">
        <v>2573</v>
      </c>
      <c r="S32" s="6">
        <v>1.39432</v>
      </c>
      <c r="T32" s="6" t="s">
        <v>583</v>
      </c>
      <c r="U32" s="6" t="s">
        <v>398</v>
      </c>
      <c r="V32" s="6" t="s">
        <v>114</v>
      </c>
      <c r="W32" s="6" t="s">
        <v>114</v>
      </c>
      <c r="X32" s="16">
        <f t="array" ref="X32">_xlfn.XLOOKUP(U32, 'CMFA-CSCDA Grants'!B:B, 'CMFA-CSCDA Grants'!A:A)
</f>
        <v>21</v>
      </c>
    </row>
    <row r="33" hidden="1">
      <c r="A33" s="151" t="s">
        <v>3021</v>
      </c>
      <c r="B33" s="6" t="s">
        <v>2807</v>
      </c>
      <c r="C33" s="6" t="s">
        <v>2808</v>
      </c>
      <c r="D33" s="6"/>
      <c r="E33" s="6">
        <v>100.0</v>
      </c>
      <c r="F33" s="6" t="s">
        <v>2614</v>
      </c>
      <c r="G33" s="6" t="s">
        <v>2809</v>
      </c>
      <c r="H33" s="6" t="s">
        <v>2810</v>
      </c>
      <c r="I33" s="6">
        <v>1.0</v>
      </c>
      <c r="J33" s="6" t="s">
        <v>2568</v>
      </c>
      <c r="K33" s="152">
        <v>943500.0</v>
      </c>
      <c r="L33" s="25"/>
      <c r="M33" s="6" t="s">
        <v>2811</v>
      </c>
      <c r="N33" s="6" t="s">
        <v>2812</v>
      </c>
      <c r="O33" s="6">
        <v>18337.0</v>
      </c>
      <c r="P33" s="6" t="s">
        <v>2813</v>
      </c>
      <c r="Q33" s="6" t="s">
        <v>2573</v>
      </c>
      <c r="S33" s="6">
        <v>0.21164</v>
      </c>
      <c r="T33" s="6" t="s">
        <v>2198</v>
      </c>
      <c r="U33" s="6" t="s">
        <v>1827</v>
      </c>
      <c r="V33" s="6" t="s">
        <v>114</v>
      </c>
      <c r="W33" s="6" t="s">
        <v>114</v>
      </c>
      <c r="X33" s="16">
        <f t="array" ref="X33">_xlfn.XLOOKUP(U33, 'CMFA-CSCDA Grants'!B:B, 'CMFA-CSCDA Grants'!A:A)
</f>
        <v>137</v>
      </c>
    </row>
    <row r="34" hidden="1">
      <c r="A34" s="151" t="s">
        <v>3024</v>
      </c>
      <c r="B34" s="6" t="s">
        <v>2818</v>
      </c>
      <c r="C34" s="6" t="s">
        <v>2819</v>
      </c>
      <c r="D34" s="6"/>
      <c r="E34" s="6">
        <v>501.0</v>
      </c>
      <c r="F34" s="6" t="s">
        <v>2565</v>
      </c>
      <c r="G34" s="6" t="s">
        <v>2820</v>
      </c>
      <c r="H34" s="6" t="s">
        <v>2821</v>
      </c>
      <c r="I34" s="6">
        <v>82.0</v>
      </c>
      <c r="J34" s="6" t="s">
        <v>2568</v>
      </c>
      <c r="K34" s="152">
        <v>2.1864168E7</v>
      </c>
      <c r="L34" s="25"/>
      <c r="M34" s="6" t="s">
        <v>2822</v>
      </c>
      <c r="N34" s="6" t="s">
        <v>2823</v>
      </c>
      <c r="O34" s="6">
        <v>18615.0</v>
      </c>
      <c r="P34" s="6" t="s">
        <v>2824</v>
      </c>
      <c r="Q34" s="6" t="s">
        <v>2573</v>
      </c>
      <c r="S34" s="6">
        <v>3.21037</v>
      </c>
      <c r="T34" s="6" t="s">
        <v>1401</v>
      </c>
      <c r="U34" s="6" t="s">
        <v>871</v>
      </c>
      <c r="V34" s="6" t="s">
        <v>1402</v>
      </c>
      <c r="W34" s="6" t="s">
        <v>114</v>
      </c>
      <c r="X34" s="16">
        <f t="array" ref="X34">_xlfn.XLOOKUP(U34, 'CMFA-CSCDA Grants'!B:B, 'CMFA-CSCDA Grants'!A:A)
</f>
        <v>90</v>
      </c>
    </row>
    <row r="35" hidden="1">
      <c r="A35" s="151" t="s">
        <v>3032</v>
      </c>
      <c r="B35" s="6" t="s">
        <v>2826</v>
      </c>
      <c r="C35" s="6" t="s">
        <v>2827</v>
      </c>
      <c r="D35" s="6"/>
      <c r="E35" s="6">
        <v>500.0</v>
      </c>
      <c r="F35" s="6" t="s">
        <v>2565</v>
      </c>
      <c r="G35" s="6" t="s">
        <v>2566</v>
      </c>
      <c r="H35" s="6" t="s">
        <v>2567</v>
      </c>
      <c r="I35" s="6">
        <v>48.0</v>
      </c>
      <c r="J35" s="6" t="s">
        <v>2568</v>
      </c>
      <c r="K35" s="152">
        <v>9200673.0</v>
      </c>
      <c r="L35" s="25"/>
      <c r="M35" s="6" t="s">
        <v>2828</v>
      </c>
      <c r="N35" s="6" t="s">
        <v>2571</v>
      </c>
      <c r="O35" s="6">
        <v>200.0</v>
      </c>
      <c r="P35" s="6" t="s">
        <v>2829</v>
      </c>
      <c r="Q35" s="6" t="s">
        <v>2573</v>
      </c>
      <c r="S35" s="6">
        <v>0.19015</v>
      </c>
      <c r="T35" s="6" t="s">
        <v>2169</v>
      </c>
      <c r="U35" s="6" t="s">
        <v>857</v>
      </c>
      <c r="V35" s="6" t="s">
        <v>114</v>
      </c>
      <c r="W35" s="6" t="s">
        <v>114</v>
      </c>
      <c r="X35" s="16">
        <f t="array" ref="X35">_xlfn.XLOOKUP(U35, 'CMFA-CSCDA Grants'!B:B, 'CMFA-CSCDA Grants'!A:A)
</f>
        <v>123</v>
      </c>
    </row>
    <row r="36" hidden="1">
      <c r="A36" s="151" t="s">
        <v>3038</v>
      </c>
      <c r="B36" s="6" t="s">
        <v>2833</v>
      </c>
      <c r="C36" s="6" t="s">
        <v>2834</v>
      </c>
      <c r="D36" s="6"/>
      <c r="E36" s="6">
        <v>500.0</v>
      </c>
      <c r="F36" s="6" t="s">
        <v>2565</v>
      </c>
      <c r="G36" s="6" t="s">
        <v>2835</v>
      </c>
      <c r="H36" s="6" t="s">
        <v>2836</v>
      </c>
      <c r="I36" s="6">
        <v>100.0</v>
      </c>
      <c r="J36" s="6" t="s">
        <v>2568</v>
      </c>
      <c r="K36" s="152">
        <v>8990000.0</v>
      </c>
      <c r="L36" s="25">
        <v>8990000.0</v>
      </c>
      <c r="M36" s="6" t="s">
        <v>2837</v>
      </c>
      <c r="N36" s="6" t="s">
        <v>2748</v>
      </c>
      <c r="O36" s="6">
        <v>2001.0</v>
      </c>
      <c r="P36" s="6" t="s">
        <v>2838</v>
      </c>
      <c r="Q36" s="6" t="s">
        <v>2573</v>
      </c>
      <c r="S36" s="6">
        <v>0.16334</v>
      </c>
      <c r="T36" s="6" t="s">
        <v>806</v>
      </c>
      <c r="U36" s="6" t="s">
        <v>524</v>
      </c>
      <c r="V36" s="6" t="s">
        <v>717</v>
      </c>
      <c r="W36" s="6" t="s">
        <v>114</v>
      </c>
      <c r="X36" s="16">
        <f t="array" ref="X36">_xlfn.XLOOKUP(U36, 'CMFA-CSCDA Grants'!B:B, 'CMFA-CSCDA Grants'!A:A)
</f>
        <v>32</v>
      </c>
    </row>
    <row r="37" hidden="1">
      <c r="A37" s="159">
        <v>4.275024015E9</v>
      </c>
      <c r="B37" s="6" t="s">
        <v>2833</v>
      </c>
      <c r="C37" s="160" t="s">
        <v>3040</v>
      </c>
      <c r="D37" s="160"/>
      <c r="E37" s="6"/>
      <c r="F37" s="6"/>
      <c r="G37" s="6"/>
      <c r="H37" s="6"/>
      <c r="I37" s="6"/>
      <c r="J37" s="6"/>
      <c r="K37" s="152">
        <v>2.036E7</v>
      </c>
      <c r="L37" s="25">
        <v>1.3362409E7</v>
      </c>
      <c r="M37" s="6"/>
      <c r="N37" s="6"/>
      <c r="O37" s="6"/>
      <c r="P37" s="6"/>
      <c r="Q37" s="6"/>
      <c r="S37" s="6"/>
      <c r="T37" s="6" t="s">
        <v>806</v>
      </c>
      <c r="U37" s="6" t="s">
        <v>524</v>
      </c>
      <c r="V37" s="6" t="s">
        <v>717</v>
      </c>
      <c r="W37" s="6" t="s">
        <v>114</v>
      </c>
      <c r="X37" s="16">
        <f t="array" ref="X37">_xlfn.XLOOKUP(U37, 'CMFA-CSCDA Grants'!B:B, 'CMFA-CSCDA Grants'!A:A)
</f>
        <v>32</v>
      </c>
    </row>
    <row r="38" hidden="1">
      <c r="A38" s="151" t="s">
        <v>3046</v>
      </c>
      <c r="B38" s="6" t="s">
        <v>2841</v>
      </c>
      <c r="C38" s="6" t="s">
        <v>2843</v>
      </c>
      <c r="D38" s="6"/>
      <c r="E38" s="6">
        <v>500.0</v>
      </c>
      <c r="F38" s="6" t="s">
        <v>2565</v>
      </c>
      <c r="G38" s="6" t="s">
        <v>2844</v>
      </c>
      <c r="H38" s="6" t="s">
        <v>2845</v>
      </c>
      <c r="I38" s="6">
        <v>24.0</v>
      </c>
      <c r="J38" s="6" t="s">
        <v>2568</v>
      </c>
      <c r="K38" s="152">
        <v>4166030.0</v>
      </c>
      <c r="L38" s="25"/>
      <c r="M38" s="6" t="s">
        <v>2846</v>
      </c>
      <c r="N38" s="6" t="s">
        <v>2571</v>
      </c>
      <c r="O38" s="6">
        <v>2025.0</v>
      </c>
      <c r="P38" s="6" t="s">
        <v>2847</v>
      </c>
      <c r="Q38" s="6" t="s">
        <v>2573</v>
      </c>
      <c r="S38" s="6">
        <v>0.15456</v>
      </c>
      <c r="T38" s="6" t="s">
        <v>1781</v>
      </c>
      <c r="U38" s="6" t="s">
        <v>1408</v>
      </c>
      <c r="V38" s="6" t="s">
        <v>114</v>
      </c>
      <c r="W38" s="6" t="s">
        <v>114</v>
      </c>
      <c r="X38" s="16">
        <f t="array" ref="X38">_xlfn.XLOOKUP(U38, 'CMFA-CSCDA Grants'!B:B, 'CMFA-CSCDA Grants'!A:A)
</f>
        <v>103</v>
      </c>
    </row>
    <row r="39" hidden="1">
      <c r="A39" s="151" t="s">
        <v>3051</v>
      </c>
      <c r="B39" s="6" t="s">
        <v>2848</v>
      </c>
      <c r="C39" s="6" t="s">
        <v>2849</v>
      </c>
      <c r="D39" s="6"/>
      <c r="E39" s="6" t="s">
        <v>137</v>
      </c>
      <c r="F39" s="6" t="s">
        <v>2565</v>
      </c>
      <c r="G39" s="6" t="s">
        <v>2850</v>
      </c>
      <c r="H39" s="6" t="s">
        <v>2851</v>
      </c>
      <c r="I39" s="6">
        <v>0.0</v>
      </c>
      <c r="J39" s="6" t="s">
        <v>2568</v>
      </c>
      <c r="K39" s="152">
        <v>527950.0</v>
      </c>
      <c r="L39" s="25"/>
      <c r="M39" s="6" t="s">
        <v>2852</v>
      </c>
      <c r="N39" s="6" t="s">
        <v>2853</v>
      </c>
      <c r="O39" s="6">
        <v>2025.0</v>
      </c>
      <c r="P39" s="6" t="s">
        <v>2854</v>
      </c>
      <c r="Q39" s="6" t="s">
        <v>2573</v>
      </c>
      <c r="S39" s="6">
        <v>0.13646</v>
      </c>
      <c r="T39" s="6" t="s">
        <v>257</v>
      </c>
      <c r="U39" s="6" t="s">
        <v>136</v>
      </c>
      <c r="V39" s="6" t="s">
        <v>114</v>
      </c>
      <c r="W39" s="6" t="s">
        <v>114</v>
      </c>
      <c r="X39" s="16">
        <f t="array" ref="X39">_xlfn.XLOOKUP(U39, 'CMFA-CSCDA Grants'!B:B, 'CMFA-CSCDA Grants'!A:A)
</f>
        <v>2</v>
      </c>
    </row>
    <row r="40" hidden="1">
      <c r="A40" s="151" t="s">
        <v>3055</v>
      </c>
      <c r="B40" s="6" t="s">
        <v>2858</v>
      </c>
      <c r="C40" s="6" t="s">
        <v>2859</v>
      </c>
      <c r="D40" s="6"/>
      <c r="E40" s="6">
        <v>500.0</v>
      </c>
      <c r="F40" s="6" t="s">
        <v>2565</v>
      </c>
      <c r="G40" s="6" t="s">
        <v>2860</v>
      </c>
      <c r="H40" s="6" t="s">
        <v>2567</v>
      </c>
      <c r="I40" s="6">
        <v>32.0</v>
      </c>
      <c r="J40" s="6" t="s">
        <v>2568</v>
      </c>
      <c r="K40" s="152">
        <v>6452506.0</v>
      </c>
      <c r="L40" s="25"/>
      <c r="M40" s="6" t="s">
        <v>2862</v>
      </c>
      <c r="N40" s="6" t="s">
        <v>2571</v>
      </c>
      <c r="O40" s="6">
        <v>207.0</v>
      </c>
      <c r="P40" s="6" t="s">
        <v>2863</v>
      </c>
      <c r="Q40" s="6" t="s">
        <v>2573</v>
      </c>
      <c r="S40" s="6">
        <v>0.16373</v>
      </c>
      <c r="T40" s="6" t="s">
        <v>2179</v>
      </c>
      <c r="U40" s="6" t="s">
        <v>1794</v>
      </c>
      <c r="V40" s="6" t="s">
        <v>114</v>
      </c>
      <c r="W40" s="6" t="s">
        <v>114</v>
      </c>
      <c r="X40" s="16">
        <f t="array" ref="X40">_xlfn.XLOOKUP(U40, 'CMFA-CSCDA Grants'!B:B, 'CMFA-CSCDA Grants'!A:A)
</f>
        <v>129</v>
      </c>
    </row>
    <row r="41" hidden="1">
      <c r="A41" s="151" t="s">
        <v>3064</v>
      </c>
      <c r="B41" s="6" t="s">
        <v>2865</v>
      </c>
      <c r="C41" s="6" t="s">
        <v>2866</v>
      </c>
      <c r="D41" s="6"/>
      <c r="E41" s="6">
        <v>501.0</v>
      </c>
      <c r="F41" s="6" t="s">
        <v>2565</v>
      </c>
      <c r="G41" s="6" t="s">
        <v>2860</v>
      </c>
      <c r="H41" s="6" t="s">
        <v>2567</v>
      </c>
      <c r="I41" s="6">
        <v>687.0</v>
      </c>
      <c r="J41" s="6" t="s">
        <v>2568</v>
      </c>
      <c r="K41" s="152">
        <v>1.29082596E8</v>
      </c>
      <c r="L41" s="25"/>
      <c r="M41" s="6" t="s">
        <v>2870</v>
      </c>
      <c r="N41" s="6" t="s">
        <v>2871</v>
      </c>
      <c r="O41" s="6">
        <v>209.0</v>
      </c>
      <c r="P41" s="6" t="s">
        <v>2872</v>
      </c>
      <c r="Q41" s="6" t="s">
        <v>2573</v>
      </c>
      <c r="S41" s="6">
        <v>8.42745</v>
      </c>
      <c r="T41" s="6" t="s">
        <v>1379</v>
      </c>
      <c r="U41" s="6" t="s">
        <v>1030</v>
      </c>
      <c r="V41" s="6" t="s">
        <v>114</v>
      </c>
      <c r="W41" s="6" t="s">
        <v>114</v>
      </c>
      <c r="X41" s="16">
        <f t="array" ref="X41">_xlfn.XLOOKUP(U41, 'CMFA-CSCDA Grants'!B:B, 'CMFA-CSCDA Grants'!A:A)
</f>
        <v>87</v>
      </c>
    </row>
    <row r="42">
      <c r="A42" s="151" t="s">
        <v>830</v>
      </c>
      <c r="B42" s="6" t="s">
        <v>2873</v>
      </c>
      <c r="C42" s="6" t="s">
        <v>831</v>
      </c>
      <c r="D42" s="6" t="str">
        <f>IF(ISBLANK(C42),B42,C42)</f>
        <v>220 47TH ST SAN DIEGO CA 92102-5037</v>
      </c>
      <c r="E42" s="6">
        <v>1200.0</v>
      </c>
      <c r="F42" s="6" t="s">
        <v>2874</v>
      </c>
      <c r="G42" s="6" t="s">
        <v>2875</v>
      </c>
      <c r="H42" s="6" t="s">
        <v>2876</v>
      </c>
      <c r="I42" s="6">
        <v>96.0</v>
      </c>
      <c r="J42" s="6" t="s">
        <v>2666</v>
      </c>
      <c r="K42" s="152">
        <v>5832864.0</v>
      </c>
      <c r="L42" s="25"/>
      <c r="M42" s="6" t="s">
        <v>2877</v>
      </c>
      <c r="N42" s="6" t="s">
        <v>2878</v>
      </c>
      <c r="O42" s="6">
        <v>220.0</v>
      </c>
      <c r="P42" s="6" t="s">
        <v>2879</v>
      </c>
      <c r="Q42" s="6" t="s">
        <v>2788</v>
      </c>
      <c r="R42" s="6">
        <v>5.01</v>
      </c>
      <c r="S42" s="6">
        <v>4.98621</v>
      </c>
      <c r="T42" s="6" t="s">
        <v>996</v>
      </c>
      <c r="U42" s="6" t="s">
        <v>995</v>
      </c>
      <c r="V42" s="6" t="s">
        <v>122</v>
      </c>
      <c r="W42" s="6" t="s">
        <v>122</v>
      </c>
      <c r="X42" s="16">
        <f t="array" ref="X42">_xlfn.XLOOKUP(U42, 'CMFA-CSCDA Grants'!B:B, 'CMFA-CSCDA Grants'!A:A)
</f>
        <v>51</v>
      </c>
    </row>
    <row r="43" hidden="1">
      <c r="A43" s="151" t="s">
        <v>3078</v>
      </c>
      <c r="B43" s="6" t="s">
        <v>2883</v>
      </c>
      <c r="C43" s="6" t="s">
        <v>2884</v>
      </c>
      <c r="D43" s="6"/>
      <c r="E43" s="6" t="s">
        <v>1115</v>
      </c>
      <c r="F43" s="6" t="s">
        <v>2614</v>
      </c>
      <c r="G43" s="6" t="s">
        <v>2885</v>
      </c>
      <c r="H43" s="6" t="s">
        <v>2886</v>
      </c>
      <c r="I43" s="6">
        <v>0.0</v>
      </c>
      <c r="J43" s="6" t="s">
        <v>2568</v>
      </c>
      <c r="K43" s="152">
        <v>2509100.0</v>
      </c>
      <c r="L43" s="25"/>
      <c r="M43" s="6" t="s">
        <v>2887</v>
      </c>
      <c r="N43" s="6" t="s">
        <v>2853</v>
      </c>
      <c r="O43" s="6">
        <v>228.0</v>
      </c>
      <c r="P43" s="6" t="s">
        <v>2888</v>
      </c>
      <c r="Q43" s="6" t="s">
        <v>2573</v>
      </c>
      <c r="S43" s="6">
        <v>0.19646</v>
      </c>
      <c r="T43" s="6" t="s">
        <v>959</v>
      </c>
      <c r="U43" s="6" t="s">
        <v>777</v>
      </c>
      <c r="V43" s="6" t="s">
        <v>114</v>
      </c>
      <c r="W43" s="6" t="s">
        <v>114</v>
      </c>
      <c r="X43" s="16">
        <f t="array" ref="X43">_xlfn.XLOOKUP(U43, 'CMFA-CSCDA Grants'!B:B, 'CMFA-CSCDA Grants'!A:A)
</f>
        <v>44</v>
      </c>
    </row>
    <row r="44" hidden="1">
      <c r="A44" s="151" t="s">
        <v>3080</v>
      </c>
      <c r="B44" s="6" t="s">
        <v>2889</v>
      </c>
      <c r="C44" s="6" t="s">
        <v>2890</v>
      </c>
      <c r="D44" s="6"/>
      <c r="E44" s="6"/>
      <c r="F44" s="6"/>
      <c r="G44" s="6" t="s">
        <v>2892</v>
      </c>
      <c r="H44" s="6" t="s">
        <v>2893</v>
      </c>
      <c r="I44" s="6"/>
      <c r="K44" s="152">
        <v>1250000.0</v>
      </c>
      <c r="L44" s="25" t="s">
        <v>146</v>
      </c>
      <c r="O44" s="6">
        <v>2330.0</v>
      </c>
      <c r="P44" s="6" t="s">
        <v>2895</v>
      </c>
      <c r="Q44" s="6" t="s">
        <v>2573</v>
      </c>
      <c r="S44" s="6">
        <v>0.19687</v>
      </c>
      <c r="T44" s="6" t="s">
        <v>832</v>
      </c>
      <c r="U44" s="6" t="s">
        <v>707</v>
      </c>
      <c r="V44" s="6" t="s">
        <v>114</v>
      </c>
      <c r="W44" s="6" t="s">
        <v>114</v>
      </c>
      <c r="X44" s="16">
        <f t="array" ref="X44">_xlfn.XLOOKUP(U44, 'CMFA-CSCDA Grants'!B:B, 'CMFA-CSCDA Grants'!A:A)
</f>
        <v>37</v>
      </c>
    </row>
    <row r="45">
      <c r="A45" s="151" t="s">
        <v>1666</v>
      </c>
      <c r="B45" s="6" t="s">
        <v>2896</v>
      </c>
      <c r="C45" s="6" t="s">
        <v>1668</v>
      </c>
      <c r="D45" s="6" t="str">
        <f>IF(ISBLANK(C45),B45,C45)</f>
        <v>2345.0 NORTHROP AVE SACRAMENTO CA 95825-7571</v>
      </c>
      <c r="E45" s="6" t="s">
        <v>2897</v>
      </c>
      <c r="F45" s="6"/>
      <c r="G45" s="6" t="s">
        <v>2678</v>
      </c>
      <c r="H45" s="6" t="s">
        <v>2679</v>
      </c>
      <c r="I45" s="6">
        <v>272.0</v>
      </c>
      <c r="J45" s="6" t="s">
        <v>2680</v>
      </c>
      <c r="K45" s="152">
        <v>5.1313873E7</v>
      </c>
      <c r="L45" s="25"/>
      <c r="M45" s="6" t="s">
        <v>2898</v>
      </c>
      <c r="N45" s="6" t="s">
        <v>2899</v>
      </c>
      <c r="O45" s="6">
        <v>2345.0</v>
      </c>
      <c r="P45" s="6" t="s">
        <v>2900</v>
      </c>
      <c r="Q45" s="6" t="s">
        <v>2684</v>
      </c>
      <c r="S45" s="6">
        <v>9.1345</v>
      </c>
      <c r="T45" s="6" t="s">
        <v>2098</v>
      </c>
      <c r="U45" s="6" t="s">
        <v>929</v>
      </c>
      <c r="V45" s="6" t="s">
        <v>120</v>
      </c>
      <c r="W45" s="6" t="s">
        <v>120</v>
      </c>
      <c r="X45" s="16">
        <f t="array" ref="X45">_xlfn.XLOOKUP(U45, 'CMFA-CSCDA Grants'!B:B, 'CMFA-CSCDA Grants'!A:A)
</f>
        <v>120</v>
      </c>
    </row>
    <row r="46" hidden="1">
      <c r="A46" s="151" t="s">
        <v>3086</v>
      </c>
      <c r="B46" s="6" t="s">
        <v>2904</v>
      </c>
      <c r="C46" s="6" t="s">
        <v>2905</v>
      </c>
      <c r="D46" s="6"/>
      <c r="E46" s="6">
        <v>100.0</v>
      </c>
      <c r="F46" s="6" t="s">
        <v>2614</v>
      </c>
      <c r="G46" s="6" t="s">
        <v>2566</v>
      </c>
      <c r="H46" s="6" t="s">
        <v>2567</v>
      </c>
      <c r="I46" s="6">
        <v>1.0</v>
      </c>
      <c r="J46" s="6" t="s">
        <v>2568</v>
      </c>
      <c r="K46" s="152">
        <v>1387200.0</v>
      </c>
      <c r="L46" s="25"/>
      <c r="M46" s="6" t="s">
        <v>2906</v>
      </c>
      <c r="N46" s="6" t="s">
        <v>2907</v>
      </c>
      <c r="O46" s="6">
        <v>236.0</v>
      </c>
      <c r="P46" s="6" t="s">
        <v>2908</v>
      </c>
      <c r="Q46" s="6" t="s">
        <v>2573</v>
      </c>
      <c r="S46" s="6">
        <v>0.17229</v>
      </c>
      <c r="T46" s="6" t="s">
        <v>2192</v>
      </c>
      <c r="U46" s="6" t="s">
        <v>1820</v>
      </c>
      <c r="V46" s="6" t="s">
        <v>114</v>
      </c>
      <c r="W46" s="6" t="s">
        <v>114</v>
      </c>
      <c r="X46" s="16">
        <f t="array" ref="X46">_xlfn.XLOOKUP(U46, 'CMFA-CSCDA Grants'!B:B, 'CMFA-CSCDA Grants'!A:A)
</f>
        <v>135</v>
      </c>
    </row>
    <row r="47">
      <c r="A47" s="156" t="s">
        <v>779</v>
      </c>
      <c r="B47" s="6" t="s">
        <v>2910</v>
      </c>
      <c r="C47" s="6" t="s">
        <v>780</v>
      </c>
      <c r="D47" s="6" t="str">
        <f t="shared" ref="D47:D48" si="4">IF(ISBLANK(C47),B47,C47)</f>
        <v>2414 N TUSTIN AVE SANTA ANA CA 92705-1602</v>
      </c>
      <c r="E47" s="6">
        <v>2.0</v>
      </c>
      <c r="F47" s="6"/>
      <c r="G47" s="6" t="s">
        <v>2635</v>
      </c>
      <c r="H47" s="6" t="s">
        <v>2636</v>
      </c>
      <c r="I47" s="6">
        <v>80.0</v>
      </c>
      <c r="J47" s="6" t="s">
        <v>2568</v>
      </c>
      <c r="K47" s="152">
        <v>2.55E7</v>
      </c>
      <c r="L47" s="25" t="s">
        <v>146</v>
      </c>
      <c r="M47" s="6" t="s">
        <v>2912</v>
      </c>
      <c r="N47" s="6" t="s">
        <v>2913</v>
      </c>
      <c r="O47" s="6">
        <v>2414.0</v>
      </c>
      <c r="P47" s="6" t="s">
        <v>2914</v>
      </c>
      <c r="Q47" s="6" t="s">
        <v>2640</v>
      </c>
      <c r="S47" s="6">
        <v>12.41914</v>
      </c>
      <c r="T47" s="6" t="s">
        <v>920</v>
      </c>
      <c r="U47" s="6" t="s">
        <v>919</v>
      </c>
      <c r="V47" s="6" t="s">
        <v>268</v>
      </c>
      <c r="W47" s="6" t="s">
        <v>119</v>
      </c>
      <c r="X47" s="16">
        <f t="array" ref="X47">_xlfn.XLOOKUP(U47, 'CMFA-CSCDA Grants'!B:B, 'CMFA-CSCDA Grants'!A:A)
</f>
        <v>45</v>
      </c>
    </row>
    <row r="48">
      <c r="A48" s="151" t="s">
        <v>308</v>
      </c>
      <c r="B48" s="6" t="s">
        <v>2917</v>
      </c>
      <c r="C48" s="6" t="s">
        <v>311</v>
      </c>
      <c r="D48" s="6" t="str">
        <f t="shared" si="4"/>
        <v>2415 VALDEZ ST OAKLAND CA 94612-3600</v>
      </c>
      <c r="E48" s="6">
        <v>7705.0</v>
      </c>
      <c r="F48" s="6"/>
      <c r="G48" s="6" t="s">
        <v>2918</v>
      </c>
      <c r="H48" s="6" t="s">
        <v>2919</v>
      </c>
      <c r="I48" s="6">
        <v>89.0</v>
      </c>
      <c r="J48" s="6" t="s">
        <v>2666</v>
      </c>
      <c r="K48" s="152">
        <v>2.4073679E7</v>
      </c>
      <c r="L48" s="25"/>
      <c r="M48" s="6" t="s">
        <v>2920</v>
      </c>
      <c r="N48" s="6" t="s">
        <v>2921</v>
      </c>
      <c r="O48" s="6">
        <v>2415.0</v>
      </c>
      <c r="P48" s="6" t="s">
        <v>2922</v>
      </c>
      <c r="Q48" s="6" t="s">
        <v>2923</v>
      </c>
      <c r="S48" s="6">
        <v>0.16779</v>
      </c>
      <c r="T48" s="6" t="s">
        <v>487</v>
      </c>
      <c r="U48" s="6" t="s">
        <v>486</v>
      </c>
      <c r="V48" s="6" t="s">
        <v>210</v>
      </c>
      <c r="W48" s="6" t="s">
        <v>86</v>
      </c>
      <c r="X48" s="16">
        <f t="array" ref="X48">_xlfn.XLOOKUP(U48, 'CMFA-CSCDA Grants'!B:B, 'CMFA-CSCDA Grants'!A:A)
</f>
        <v>14</v>
      </c>
    </row>
    <row r="49" hidden="1">
      <c r="A49" s="151" t="s">
        <v>3105</v>
      </c>
      <c r="B49" s="6" t="s">
        <v>2932</v>
      </c>
      <c r="C49" s="6" t="s">
        <v>2933</v>
      </c>
      <c r="D49" s="6"/>
      <c r="E49" s="6">
        <v>500.0</v>
      </c>
      <c r="F49" s="6" t="s">
        <v>2565</v>
      </c>
      <c r="G49" s="6" t="s">
        <v>2860</v>
      </c>
      <c r="H49" s="6" t="s">
        <v>2567</v>
      </c>
      <c r="I49" s="6">
        <v>27.0</v>
      </c>
      <c r="J49" s="6" t="s">
        <v>2568</v>
      </c>
      <c r="K49" s="152">
        <v>4457073.0</v>
      </c>
      <c r="L49" s="25"/>
      <c r="M49" s="6" t="s">
        <v>2935</v>
      </c>
      <c r="N49" s="6" t="s">
        <v>2649</v>
      </c>
      <c r="O49" s="6">
        <v>247.0</v>
      </c>
      <c r="P49" s="6" t="s">
        <v>2730</v>
      </c>
      <c r="Q49" s="6" t="s">
        <v>2573</v>
      </c>
      <c r="S49" s="6">
        <v>0.16661</v>
      </c>
      <c r="T49" s="6" t="s">
        <v>1796</v>
      </c>
      <c r="U49" s="6" t="s">
        <v>1415</v>
      </c>
      <c r="V49" s="6" t="s">
        <v>114</v>
      </c>
      <c r="W49" s="6" t="s">
        <v>114</v>
      </c>
      <c r="X49" s="16">
        <f t="array" ref="X49">_xlfn.XLOOKUP(U49, 'CMFA-CSCDA Grants'!B:B, 'CMFA-CSCDA Grants'!A:A)
</f>
        <v>104</v>
      </c>
    </row>
    <row r="50" hidden="1">
      <c r="A50" s="151" t="s">
        <v>3110</v>
      </c>
      <c r="B50" s="6" t="s">
        <v>2940</v>
      </c>
      <c r="C50" s="6" t="s">
        <v>2941</v>
      </c>
      <c r="D50" s="6"/>
      <c r="E50" s="6">
        <v>500.0</v>
      </c>
      <c r="F50" s="6" t="s">
        <v>2565</v>
      </c>
      <c r="G50" s="6" t="s">
        <v>2860</v>
      </c>
      <c r="H50" s="6" t="s">
        <v>2567</v>
      </c>
      <c r="I50" s="6">
        <v>40.0</v>
      </c>
      <c r="J50" s="6" t="s">
        <v>2568</v>
      </c>
      <c r="K50" s="152">
        <v>8388848.0</v>
      </c>
      <c r="L50" s="25"/>
      <c r="M50" s="6" t="s">
        <v>2944</v>
      </c>
      <c r="N50" s="6" t="s">
        <v>2649</v>
      </c>
      <c r="O50" s="6">
        <v>260.0</v>
      </c>
      <c r="P50" s="6" t="s">
        <v>2945</v>
      </c>
      <c r="Q50" s="6" t="s">
        <v>2573</v>
      </c>
      <c r="S50" s="6">
        <v>0.17151</v>
      </c>
      <c r="T50" s="6" t="s">
        <v>1879</v>
      </c>
      <c r="U50" s="6" t="s">
        <v>1502</v>
      </c>
      <c r="V50" s="6" t="s">
        <v>114</v>
      </c>
      <c r="W50" s="6" t="s">
        <v>114</v>
      </c>
      <c r="X50" s="16">
        <f t="array" ref="X50">_xlfn.XLOOKUP(U50, 'CMFA-CSCDA Grants'!B:B, 'CMFA-CSCDA Grants'!A:A)
</f>
        <v>112</v>
      </c>
    </row>
    <row r="51">
      <c r="A51" s="151" t="s">
        <v>183</v>
      </c>
      <c r="B51" s="6" t="s">
        <v>2950</v>
      </c>
      <c r="C51" s="6" t="s">
        <v>185</v>
      </c>
      <c r="D51" s="6" t="str">
        <f t="shared" ref="D51:D53" si="5">IF(ISBLANK(C51),B51,C51)</f>
        <v>26409 GADING RD HAYWARD CA 94544-3603</v>
      </c>
      <c r="E51" s="6">
        <v>7700.0</v>
      </c>
      <c r="F51" s="6"/>
      <c r="G51" s="6" t="s">
        <v>2952</v>
      </c>
      <c r="H51" s="6" t="s">
        <v>2953</v>
      </c>
      <c r="I51" s="6">
        <v>61.0</v>
      </c>
      <c r="J51" s="6" t="s">
        <v>2666</v>
      </c>
      <c r="K51" s="152">
        <v>1.7000269E7</v>
      </c>
      <c r="L51" s="25"/>
      <c r="M51" s="6" t="s">
        <v>2954</v>
      </c>
      <c r="N51" s="6" t="s">
        <v>2955</v>
      </c>
      <c r="O51" s="6">
        <v>26409.0</v>
      </c>
      <c r="P51" s="6" t="s">
        <v>2957</v>
      </c>
      <c r="Q51" s="6" t="s">
        <v>2923</v>
      </c>
      <c r="S51" s="6">
        <v>3.3956</v>
      </c>
      <c r="T51" s="6" t="s">
        <v>383</v>
      </c>
      <c r="U51" s="6" t="s">
        <v>382</v>
      </c>
      <c r="V51" s="6" t="s">
        <v>188</v>
      </c>
      <c r="W51" s="6" t="s">
        <v>86</v>
      </c>
      <c r="X51" s="16">
        <f t="array" ref="X51">_xlfn.XLOOKUP(U51, 'CMFA-CSCDA Grants'!B:B, 'CMFA-CSCDA Grants'!A:A)
</f>
        <v>7</v>
      </c>
    </row>
    <row r="52">
      <c r="A52" s="151" t="s">
        <v>297</v>
      </c>
      <c r="B52" s="6" t="s">
        <v>2963</v>
      </c>
      <c r="C52" s="6" t="s">
        <v>300</v>
      </c>
      <c r="D52" s="6" t="str">
        <f t="shared" si="5"/>
        <v>275 TURK ST SAN FRANCISCO CA 94102-3831</v>
      </c>
      <c r="E52" s="6"/>
      <c r="F52" s="6"/>
      <c r="G52" s="6" t="s">
        <v>2964</v>
      </c>
      <c r="H52" s="6" t="s">
        <v>2965</v>
      </c>
      <c r="I52" s="6">
        <v>66.0</v>
      </c>
      <c r="J52" s="6" t="s">
        <v>2666</v>
      </c>
      <c r="K52" s="152">
        <v>1.7116303E7</v>
      </c>
      <c r="L52" s="25"/>
      <c r="M52" s="6" t="s">
        <v>2966</v>
      </c>
      <c r="N52" s="6" t="s">
        <v>2967</v>
      </c>
      <c r="O52" s="6">
        <v>275.0</v>
      </c>
      <c r="P52" s="6" t="s">
        <v>2969</v>
      </c>
      <c r="Q52" s="6" t="s">
        <v>2970</v>
      </c>
      <c r="S52" s="6">
        <v>0.17318</v>
      </c>
      <c r="T52" s="6" t="s">
        <v>510</v>
      </c>
      <c r="U52" s="6" t="s">
        <v>509</v>
      </c>
      <c r="V52" s="6" t="s">
        <v>123</v>
      </c>
      <c r="W52" s="6" t="s">
        <v>123</v>
      </c>
      <c r="X52" s="16">
        <f t="array" ref="X52">_xlfn.XLOOKUP(U52, 'CMFA-CSCDA Grants'!B:B, 'CMFA-CSCDA Grants'!A:A)
</f>
        <v>13</v>
      </c>
    </row>
    <row r="53">
      <c r="A53" s="151" t="s">
        <v>1123</v>
      </c>
      <c r="B53" s="6" t="s">
        <v>2973</v>
      </c>
      <c r="C53" s="6" t="s">
        <v>1124</v>
      </c>
      <c r="D53" s="6" t="str">
        <f t="shared" si="5"/>
        <v>3081.0 N MAIN ST WALNUT CREEK CA 94597-1940</v>
      </c>
      <c r="E53" s="6">
        <v>27.0</v>
      </c>
      <c r="F53" s="6" t="s">
        <v>2974</v>
      </c>
      <c r="G53" s="6" t="s">
        <v>2976</v>
      </c>
      <c r="H53" s="6" t="s">
        <v>2711</v>
      </c>
      <c r="I53" s="6">
        <v>32.0</v>
      </c>
      <c r="J53" s="6" t="s">
        <v>2666</v>
      </c>
      <c r="K53" s="152">
        <v>1.0616112E7</v>
      </c>
      <c r="L53" s="25"/>
      <c r="M53" s="6" t="s">
        <v>2977</v>
      </c>
      <c r="N53" s="6" t="s">
        <v>2978</v>
      </c>
      <c r="O53" s="6">
        <v>3081.0</v>
      </c>
      <c r="P53" s="6" t="s">
        <v>2980</v>
      </c>
      <c r="Q53" s="6" t="s">
        <v>2981</v>
      </c>
      <c r="R53" s="6">
        <v>1.12</v>
      </c>
      <c r="S53" s="6">
        <v>1.01619</v>
      </c>
      <c r="T53" s="6" t="s">
        <v>1134</v>
      </c>
      <c r="U53" s="6" t="s">
        <v>1133</v>
      </c>
      <c r="V53" s="6" t="s">
        <v>349</v>
      </c>
      <c r="W53" s="6" t="s">
        <v>111</v>
      </c>
      <c r="X53" s="16">
        <f t="array" ref="X53">_xlfn.XLOOKUP(U53, 'CMFA-CSCDA Grants'!B:B, 'CMFA-CSCDA Grants'!A:A)
</f>
        <v>63</v>
      </c>
    </row>
    <row r="54" hidden="1">
      <c r="A54" s="151" t="s">
        <v>3132</v>
      </c>
      <c r="B54" s="6" t="s">
        <v>2984</v>
      </c>
      <c r="C54" s="6" t="s">
        <v>2985</v>
      </c>
      <c r="D54" s="6"/>
      <c r="E54" s="6">
        <v>100.0</v>
      </c>
      <c r="F54" s="6" t="s">
        <v>2614</v>
      </c>
      <c r="G54" s="6" t="s">
        <v>2986</v>
      </c>
      <c r="H54" s="6" t="s">
        <v>2987</v>
      </c>
      <c r="I54" s="6">
        <v>1.0</v>
      </c>
      <c r="J54" s="6" t="s">
        <v>2568</v>
      </c>
      <c r="K54" s="152">
        <v>1144440.0</v>
      </c>
      <c r="L54" s="25"/>
      <c r="M54" s="6" t="s">
        <v>2988</v>
      </c>
      <c r="N54" s="6" t="s">
        <v>2989</v>
      </c>
      <c r="O54" s="6">
        <v>333.0</v>
      </c>
      <c r="P54" s="6" t="s">
        <v>2990</v>
      </c>
      <c r="Q54" s="6" t="s">
        <v>2573</v>
      </c>
      <c r="S54" s="6">
        <v>0.12855</v>
      </c>
      <c r="T54" s="6" t="s">
        <v>1118</v>
      </c>
      <c r="U54" s="6" t="s">
        <v>1116</v>
      </c>
      <c r="V54" s="6" t="s">
        <v>114</v>
      </c>
      <c r="W54" s="6" t="s">
        <v>114</v>
      </c>
      <c r="X54" s="16">
        <f t="array" ref="X54">_xlfn.XLOOKUP(U54, 'CMFA-CSCDA Grants'!B:B, 'CMFA-CSCDA Grants'!A:A)
</f>
        <v>64</v>
      </c>
    </row>
    <row r="55">
      <c r="A55" s="151" t="s">
        <v>1247</v>
      </c>
      <c r="B55" s="6" t="s">
        <v>2991</v>
      </c>
      <c r="C55" s="6" t="s">
        <v>1248</v>
      </c>
      <c r="D55" s="6" t="str">
        <f t="shared" ref="D55:D56" si="6">IF(ISBLANK(C55),B55,C55)</f>
        <v>3400.0 RICHMOND PKWY RICHMOND CA 94806-5207</v>
      </c>
      <c r="E55" s="6">
        <v>28.0</v>
      </c>
      <c r="F55" s="6" t="s">
        <v>2993</v>
      </c>
      <c r="G55" s="6" t="s">
        <v>2994</v>
      </c>
      <c r="H55" s="6" t="s">
        <v>2996</v>
      </c>
      <c r="I55" s="6">
        <v>1008.0</v>
      </c>
      <c r="J55" s="6" t="s">
        <v>2666</v>
      </c>
      <c r="K55" s="152">
        <v>2.22047798E8</v>
      </c>
      <c r="L55" s="25"/>
      <c r="M55" s="6" t="s">
        <v>2998</v>
      </c>
      <c r="N55" s="6" t="s">
        <v>2999</v>
      </c>
      <c r="O55" s="6">
        <v>3400.0</v>
      </c>
      <c r="P55" s="6" t="s">
        <v>3000</v>
      </c>
      <c r="Q55" s="6" t="s">
        <v>2981</v>
      </c>
      <c r="R55" s="6">
        <v>46.868</v>
      </c>
      <c r="S55" s="6">
        <v>46.8333</v>
      </c>
      <c r="T55" s="6" t="s">
        <v>1280</v>
      </c>
      <c r="U55" s="6" t="s">
        <v>1053</v>
      </c>
      <c r="V55" s="6" t="s">
        <v>346</v>
      </c>
      <c r="W55" s="6" t="s">
        <v>111</v>
      </c>
      <c r="X55" s="16">
        <f t="array" ref="X55">_xlfn.XLOOKUP(U55, 'CMFA-CSCDA Grants'!B:B, 'CMFA-CSCDA Grants'!A:A)
</f>
        <v>78</v>
      </c>
    </row>
    <row r="56">
      <c r="A56" s="151" t="s">
        <v>156</v>
      </c>
      <c r="B56" s="6" t="s">
        <v>3008</v>
      </c>
      <c r="C56" s="6" t="s">
        <v>157</v>
      </c>
      <c r="D56" s="6" t="str">
        <f t="shared" si="6"/>
        <v>363 E GILBERT ST SAN BERNARDINO CA 92404-5343</v>
      </c>
      <c r="E56" s="6">
        <v>623.0</v>
      </c>
      <c r="F56" s="6" t="s">
        <v>3009</v>
      </c>
      <c r="G56" s="6" t="s">
        <v>3010</v>
      </c>
      <c r="H56" s="6" t="s">
        <v>3011</v>
      </c>
      <c r="I56" s="6">
        <v>71.0</v>
      </c>
      <c r="K56" s="152">
        <v>4075000.0</v>
      </c>
      <c r="L56" s="25"/>
      <c r="M56" s="6" t="s">
        <v>3012</v>
      </c>
      <c r="N56" s="6" t="s">
        <v>3013</v>
      </c>
      <c r="O56" s="6">
        <v>363.0</v>
      </c>
      <c r="P56" s="6" t="s">
        <v>3014</v>
      </c>
      <c r="Q56" s="6" t="s">
        <v>3015</v>
      </c>
      <c r="R56" s="6">
        <v>0.36</v>
      </c>
      <c r="S56" s="6">
        <v>0.32213</v>
      </c>
      <c r="T56" s="6" t="s">
        <v>228</v>
      </c>
      <c r="U56" s="6" t="s">
        <v>227</v>
      </c>
      <c r="V56" s="6" t="s">
        <v>121</v>
      </c>
      <c r="W56" s="6" t="s">
        <v>121</v>
      </c>
      <c r="X56" s="16">
        <f t="array" ref="X56">_xlfn.XLOOKUP(U56, 'CMFA-CSCDA Grants'!B:B, 'CMFA-CSCDA Grants'!A:A)
</f>
        <v>4</v>
      </c>
    </row>
    <row r="57" hidden="1">
      <c r="A57" s="151" t="s">
        <v>3151</v>
      </c>
      <c r="B57" s="6" t="s">
        <v>3018</v>
      </c>
      <c r="C57" s="6" t="s">
        <v>3019</v>
      </c>
      <c r="D57" s="6"/>
      <c r="E57" s="6">
        <v>550.0</v>
      </c>
      <c r="F57" s="6" t="s">
        <v>2565</v>
      </c>
      <c r="G57" s="6" t="s">
        <v>2566</v>
      </c>
      <c r="H57" s="6" t="s">
        <v>2567</v>
      </c>
      <c r="I57" s="6">
        <v>55.0</v>
      </c>
      <c r="J57" s="6" t="s">
        <v>2568</v>
      </c>
      <c r="K57" s="152">
        <v>1.1906753E7</v>
      </c>
      <c r="L57" s="25"/>
      <c r="M57" s="6" t="s">
        <v>3020</v>
      </c>
      <c r="N57" s="6" t="s">
        <v>2649</v>
      </c>
      <c r="O57" s="6">
        <v>3715.0</v>
      </c>
      <c r="P57" s="6" t="s">
        <v>3022</v>
      </c>
      <c r="Q57" s="6" t="s">
        <v>2573</v>
      </c>
      <c r="S57" s="6">
        <v>0.25832</v>
      </c>
      <c r="T57" s="6" t="s">
        <v>2025</v>
      </c>
      <c r="U57" s="6" t="s">
        <v>1595</v>
      </c>
      <c r="V57" s="6" t="s">
        <v>114</v>
      </c>
      <c r="W57" s="6" t="s">
        <v>114</v>
      </c>
      <c r="X57" s="16">
        <f t="array" ref="X57">_xlfn.XLOOKUP(U57, 'CMFA-CSCDA Grants'!B:B, 'CMFA-CSCDA Grants'!A:A)
</f>
        <v>117</v>
      </c>
    </row>
    <row r="58">
      <c r="A58" s="151" t="s">
        <v>2891</v>
      </c>
      <c r="B58" s="6" t="s">
        <v>3023</v>
      </c>
      <c r="C58" s="6" t="s">
        <v>2894</v>
      </c>
      <c r="D58" s="6" t="str">
        <f t="shared" ref="D58:D60" si="7">IF(ISBLANK(C58),B58,C58)</f>
        <v>3765 TAMARACK LN SANTA CLARA CA 95051-2571</v>
      </c>
      <c r="E58" s="6">
        <v>4.0</v>
      </c>
      <c r="F58" s="6" t="s">
        <v>2663</v>
      </c>
      <c r="G58" s="6" t="s">
        <v>3026</v>
      </c>
      <c r="H58" s="6" t="s">
        <v>3027</v>
      </c>
      <c r="I58" s="6">
        <v>114.0</v>
      </c>
      <c r="J58" s="6" t="s">
        <v>2666</v>
      </c>
      <c r="K58" s="152">
        <v>2.797906E7</v>
      </c>
      <c r="L58" s="25"/>
      <c r="M58" s="6" t="s">
        <v>3028</v>
      </c>
      <c r="N58" s="6" t="s">
        <v>3029</v>
      </c>
      <c r="O58" s="6">
        <v>3765.0</v>
      </c>
      <c r="P58" s="6" t="s">
        <v>3030</v>
      </c>
      <c r="Q58" s="6" t="s">
        <v>2672</v>
      </c>
      <c r="R58" s="6">
        <v>2.09</v>
      </c>
      <c r="S58" s="6">
        <v>2.09115</v>
      </c>
      <c r="T58" s="6" t="s">
        <v>2202</v>
      </c>
      <c r="U58" s="6" t="s">
        <v>2201</v>
      </c>
      <c r="V58" s="6" t="s">
        <v>155</v>
      </c>
      <c r="W58" s="6" t="s">
        <v>129</v>
      </c>
      <c r="X58" s="16">
        <f t="array" ref="X58">_xlfn.XLOOKUP(U58, 'CMFA-CSCDA Grants'!B:B, 'CMFA-CSCDA Grants'!A:A)
</f>
        <v>138</v>
      </c>
    </row>
    <row r="59">
      <c r="A59" s="151" t="s">
        <v>1367</v>
      </c>
      <c r="B59" s="6" t="s">
        <v>3033</v>
      </c>
      <c r="C59" s="6" t="s">
        <v>1369</v>
      </c>
      <c r="D59" s="6" t="str">
        <f t="shared" si="7"/>
        <v>38000.0 CAMDEN ST FREMONT CA 94536-5169</v>
      </c>
      <c r="E59" s="6">
        <v>7700.0</v>
      </c>
      <c r="F59" s="6"/>
      <c r="G59" s="6" t="s">
        <v>3034</v>
      </c>
      <c r="H59" s="6" t="s">
        <v>3035</v>
      </c>
      <c r="I59" s="6">
        <v>192.0</v>
      </c>
      <c r="J59" s="6" t="s">
        <v>2666</v>
      </c>
      <c r="K59" s="152">
        <v>7.3418537E7</v>
      </c>
      <c r="L59" s="25"/>
      <c r="M59" s="6" t="s">
        <v>3036</v>
      </c>
      <c r="N59" s="6" t="s">
        <v>2913</v>
      </c>
      <c r="O59" s="6">
        <v>38000.0</v>
      </c>
      <c r="P59" s="6" t="s">
        <v>3037</v>
      </c>
      <c r="Q59" s="6" t="s">
        <v>2923</v>
      </c>
      <c r="S59" s="6">
        <v>10.94495</v>
      </c>
      <c r="T59" s="6" t="s">
        <v>1630</v>
      </c>
      <c r="U59" s="6" t="s">
        <v>1629</v>
      </c>
      <c r="V59" s="6" t="s">
        <v>212</v>
      </c>
      <c r="W59" s="6" t="s">
        <v>86</v>
      </c>
      <c r="X59" s="16">
        <f t="array" ref="X59">_xlfn.XLOOKUP(U59, 'CMFA-CSCDA Grants'!B:B, 'CMFA-CSCDA Grants'!A:A)
</f>
        <v>98</v>
      </c>
    </row>
    <row r="60">
      <c r="A60" s="151" t="s">
        <v>174</v>
      </c>
      <c r="B60" s="6" t="s">
        <v>3041</v>
      </c>
      <c r="C60" s="6" t="s">
        <v>175</v>
      </c>
      <c r="D60" s="6" t="str">
        <f t="shared" si="7"/>
        <v>381 TURK ST SAN FRANCISCO CA 94102-3749</v>
      </c>
      <c r="E60" s="6"/>
      <c r="F60" s="6"/>
      <c r="G60" s="6" t="s">
        <v>3043</v>
      </c>
      <c r="H60" s="6" t="s">
        <v>2965</v>
      </c>
      <c r="I60" s="6">
        <v>32.0</v>
      </c>
      <c r="J60" s="6" t="s">
        <v>2666</v>
      </c>
      <c r="K60" s="152">
        <v>7398189.0</v>
      </c>
      <c r="L60" s="25"/>
      <c r="M60" s="6" t="s">
        <v>3045</v>
      </c>
      <c r="N60" s="6" t="s">
        <v>2967</v>
      </c>
      <c r="O60" s="6">
        <v>381.0</v>
      </c>
      <c r="P60" s="6" t="s">
        <v>2969</v>
      </c>
      <c r="Q60" s="6" t="s">
        <v>2970</v>
      </c>
      <c r="S60" s="6">
        <v>0.14125</v>
      </c>
      <c r="T60" s="6" t="s">
        <v>360</v>
      </c>
      <c r="U60" s="6" t="s">
        <v>358</v>
      </c>
      <c r="V60" s="6" t="s">
        <v>123</v>
      </c>
      <c r="W60" s="6" t="s">
        <v>123</v>
      </c>
      <c r="X60" s="16">
        <f t="array" ref="X60">_xlfn.XLOOKUP(U60, 'CMFA-CSCDA Grants'!B:B, 'CMFA-CSCDA Grants'!A:A)
</f>
        <v>6</v>
      </c>
    </row>
    <row r="61" hidden="1">
      <c r="A61" s="151" t="s">
        <v>3177</v>
      </c>
      <c r="B61" s="6" t="s">
        <v>1091</v>
      </c>
      <c r="C61" s="6" t="s">
        <v>3048</v>
      </c>
      <c r="D61" s="6"/>
      <c r="E61" s="6">
        <v>501.0</v>
      </c>
      <c r="F61" s="6" t="s">
        <v>2565</v>
      </c>
      <c r="G61" s="6" t="s">
        <v>3049</v>
      </c>
      <c r="H61" s="6" t="s">
        <v>3050</v>
      </c>
      <c r="I61" s="6">
        <v>296.0</v>
      </c>
      <c r="J61" s="6" t="s">
        <v>2568</v>
      </c>
      <c r="K61" s="152">
        <v>1.4702565E7</v>
      </c>
      <c r="L61" s="25"/>
      <c r="M61" s="6" t="s">
        <v>3052</v>
      </c>
      <c r="N61" s="6" t="s">
        <v>3053</v>
      </c>
      <c r="O61" s="6">
        <v>38441.0</v>
      </c>
      <c r="P61" s="6" t="s">
        <v>3054</v>
      </c>
      <c r="Q61" s="6" t="s">
        <v>2573</v>
      </c>
      <c r="S61" s="6">
        <v>18.7347</v>
      </c>
      <c r="T61" s="6" t="s">
        <v>1087</v>
      </c>
      <c r="U61" s="6" t="s">
        <v>1008</v>
      </c>
      <c r="V61" s="6" t="s">
        <v>1088</v>
      </c>
      <c r="W61" s="6" t="s">
        <v>114</v>
      </c>
      <c r="X61" s="16">
        <f t="array" ref="X61">_xlfn.XLOOKUP(U61, 'CMFA-CSCDA Grants'!B:B, 'CMFA-CSCDA Grants'!A:A)
</f>
        <v>58</v>
      </c>
    </row>
    <row r="62">
      <c r="A62" s="156" t="s">
        <v>768</v>
      </c>
      <c r="B62" s="6" t="s">
        <v>3056</v>
      </c>
      <c r="C62" s="6" t="s">
        <v>769</v>
      </c>
      <c r="D62" s="6" t="str">
        <f>IF(ISBLANK(C62),B62,C62)</f>
        <v>400 CANAL ST SAN RAFAEL CA 94901-4173</v>
      </c>
      <c r="E62" s="6">
        <v>21.0</v>
      </c>
      <c r="F62" s="6" t="s">
        <v>3057</v>
      </c>
      <c r="G62" s="6" t="s">
        <v>3058</v>
      </c>
      <c r="H62" s="6" t="s">
        <v>3059</v>
      </c>
      <c r="I62" s="6">
        <v>98.0</v>
      </c>
      <c r="K62" s="152">
        <v>3.3879341E7</v>
      </c>
      <c r="L62" s="25" t="s">
        <v>146</v>
      </c>
      <c r="M62" s="6" t="s">
        <v>3060</v>
      </c>
      <c r="N62" s="6" t="s">
        <v>3061</v>
      </c>
      <c r="O62" s="6">
        <v>400.0</v>
      </c>
      <c r="P62" s="6" t="s">
        <v>3062</v>
      </c>
      <c r="Q62" s="6" t="s">
        <v>3063</v>
      </c>
      <c r="R62" s="6">
        <v>2.526</v>
      </c>
      <c r="S62" s="6">
        <v>2.52513</v>
      </c>
      <c r="T62" s="6" t="s">
        <v>896</v>
      </c>
      <c r="U62" s="6" t="s">
        <v>895</v>
      </c>
      <c r="V62" s="6" t="s">
        <v>250</v>
      </c>
      <c r="W62" s="6" t="s">
        <v>897</v>
      </c>
      <c r="X62" s="16">
        <f t="array" ref="X62">_xlfn.XLOOKUP(U62, 'CMFA-CSCDA Grants'!B:B, 'CMFA-CSCDA Grants'!A:A)
</f>
        <v>43</v>
      </c>
    </row>
    <row r="63" hidden="1">
      <c r="A63" s="151" t="s">
        <v>3194</v>
      </c>
      <c r="B63" s="6" t="s">
        <v>3066</v>
      </c>
      <c r="C63" s="6" t="s">
        <v>3067</v>
      </c>
      <c r="D63" s="6"/>
      <c r="E63" s="6">
        <v>500.0</v>
      </c>
      <c r="F63" s="6" t="s">
        <v>2565</v>
      </c>
      <c r="G63" s="6" t="s">
        <v>3069</v>
      </c>
      <c r="H63" s="6" t="s">
        <v>3070</v>
      </c>
      <c r="I63" s="6">
        <v>4.0</v>
      </c>
      <c r="J63" s="6" t="s">
        <v>2568</v>
      </c>
      <c r="K63" s="152">
        <v>3451872.0</v>
      </c>
      <c r="L63" s="25"/>
      <c r="M63" s="6" t="s">
        <v>3071</v>
      </c>
      <c r="N63" s="6" t="s">
        <v>3072</v>
      </c>
      <c r="O63" s="6">
        <v>4101.0</v>
      </c>
      <c r="P63" s="6" t="s">
        <v>3073</v>
      </c>
      <c r="Q63" s="6" t="s">
        <v>2573</v>
      </c>
      <c r="S63" s="6">
        <v>0.21107</v>
      </c>
      <c r="T63" s="6" t="s">
        <v>1298</v>
      </c>
      <c r="U63" s="6" t="s">
        <v>1265</v>
      </c>
      <c r="V63" s="6" t="s">
        <v>114</v>
      </c>
      <c r="W63" s="6" t="s">
        <v>114</v>
      </c>
      <c r="X63" s="16">
        <f t="array" ref="X63">_xlfn.XLOOKUP(U63, 'CMFA-CSCDA Grants'!B:B, 'CMFA-CSCDA Grants'!A:A)
</f>
        <v>80</v>
      </c>
    </row>
    <row r="64" hidden="1">
      <c r="A64" s="151" t="s">
        <v>3201</v>
      </c>
      <c r="B64" s="6" t="s">
        <v>3074</v>
      </c>
      <c r="C64" s="6" t="s">
        <v>3075</v>
      </c>
      <c r="D64" s="6"/>
      <c r="E64" s="6">
        <v>1100.0</v>
      </c>
      <c r="F64" s="6" t="s">
        <v>2590</v>
      </c>
      <c r="G64" s="6" t="s">
        <v>2581</v>
      </c>
      <c r="H64" s="6" t="s">
        <v>419</v>
      </c>
      <c r="I64" s="6">
        <v>0.0</v>
      </c>
      <c r="J64" s="6" t="s">
        <v>2568</v>
      </c>
      <c r="K64" s="152">
        <v>1630000.0</v>
      </c>
      <c r="L64" s="25"/>
      <c r="M64" s="6" t="s">
        <v>3076</v>
      </c>
      <c r="N64" s="6" t="s">
        <v>2776</v>
      </c>
      <c r="O64" s="6">
        <v>4129.0</v>
      </c>
      <c r="P64" s="6" t="s">
        <v>3077</v>
      </c>
      <c r="Q64" s="6" t="s">
        <v>2573</v>
      </c>
      <c r="S64" s="6">
        <v>0.11423</v>
      </c>
      <c r="T64" s="6" t="s">
        <v>1722</v>
      </c>
      <c r="U64" s="6" t="s">
        <v>1385</v>
      </c>
      <c r="V64" s="6" t="s">
        <v>114</v>
      </c>
      <c r="W64" s="6" t="s">
        <v>114</v>
      </c>
      <c r="X64" s="16">
        <f t="array" ref="X64">_xlfn.XLOOKUP(U64, 'CMFA-CSCDA Grants'!B:B, 'CMFA-CSCDA Grants'!A:A)
</f>
        <v>100</v>
      </c>
    </row>
    <row r="65" hidden="1">
      <c r="A65" s="151" t="s">
        <v>3208</v>
      </c>
      <c r="B65" s="6" t="s">
        <v>422</v>
      </c>
      <c r="C65" s="6" t="s">
        <v>3079</v>
      </c>
      <c r="D65" s="6"/>
      <c r="E65" s="6">
        <v>1210.0</v>
      </c>
      <c r="F65" s="6" t="s">
        <v>2735</v>
      </c>
      <c r="G65" s="6" t="s">
        <v>2603</v>
      </c>
      <c r="H65" s="6" t="s">
        <v>2604</v>
      </c>
      <c r="I65" s="6">
        <v>25.0</v>
      </c>
      <c r="J65" s="6" t="s">
        <v>2568</v>
      </c>
      <c r="K65" s="152">
        <v>1.09242E7</v>
      </c>
      <c r="L65" s="25"/>
      <c r="M65" s="6" t="s">
        <v>3081</v>
      </c>
      <c r="N65" s="6" t="s">
        <v>2595</v>
      </c>
      <c r="O65" s="6">
        <v>4209.0</v>
      </c>
      <c r="P65" s="6" t="s">
        <v>2583</v>
      </c>
      <c r="Q65" s="6" t="s">
        <v>2573</v>
      </c>
      <c r="S65" s="6">
        <v>0.14935</v>
      </c>
      <c r="T65" s="6" t="s">
        <v>662</v>
      </c>
      <c r="U65" s="6" t="s">
        <v>425</v>
      </c>
      <c r="V65" s="6" t="s">
        <v>114</v>
      </c>
      <c r="W65" s="6" t="s">
        <v>114</v>
      </c>
      <c r="X65" s="16">
        <f t="array" ref="X65">_xlfn.XLOOKUP(U65, 'CMFA-CSCDA Grants'!B:B, 'CMFA-CSCDA Grants'!A:A)
</f>
        <v>24</v>
      </c>
    </row>
    <row r="66" hidden="1">
      <c r="A66" s="151" t="s">
        <v>3211</v>
      </c>
      <c r="B66" s="6" t="s">
        <v>3083</v>
      </c>
      <c r="C66" s="6" t="s">
        <v>3084</v>
      </c>
      <c r="D66" s="6"/>
      <c r="E66" s="6">
        <v>1100.0</v>
      </c>
      <c r="F66" s="6" t="s">
        <v>2590</v>
      </c>
      <c r="G66" s="6" t="s">
        <v>2603</v>
      </c>
      <c r="H66" s="6" t="s">
        <v>2604</v>
      </c>
      <c r="I66" s="6">
        <v>0.0</v>
      </c>
      <c r="J66" s="6" t="s">
        <v>2568</v>
      </c>
      <c r="K66" s="152">
        <v>1.779084E7</v>
      </c>
      <c r="L66" s="25"/>
      <c r="M66" s="6" t="s">
        <v>3085</v>
      </c>
      <c r="N66" s="6" t="s">
        <v>2595</v>
      </c>
      <c r="O66" s="6">
        <v>4228.0</v>
      </c>
      <c r="P66" s="6" t="s">
        <v>2583</v>
      </c>
      <c r="Q66" s="6" t="s">
        <v>2573</v>
      </c>
      <c r="S66" s="6">
        <v>0.3961</v>
      </c>
      <c r="T66" s="6" t="s">
        <v>858</v>
      </c>
      <c r="U66" s="6" t="s">
        <v>733</v>
      </c>
      <c r="V66" s="6" t="s">
        <v>114</v>
      </c>
      <c r="W66" s="6" t="s">
        <v>114</v>
      </c>
      <c r="X66" s="16">
        <f t="array" ref="X66">_xlfn.XLOOKUP(U66, 'CMFA-CSCDA Grants'!B:B, 'CMFA-CSCDA Grants'!A:A)
</f>
        <v>40</v>
      </c>
    </row>
    <row r="67" hidden="1">
      <c r="A67" s="151" t="s">
        <v>3219</v>
      </c>
      <c r="B67" s="6" t="s">
        <v>342</v>
      </c>
      <c r="C67" s="6" t="s">
        <v>3090</v>
      </c>
      <c r="D67" s="6"/>
      <c r="E67" s="6">
        <v>504.0</v>
      </c>
      <c r="F67" s="6" t="s">
        <v>2565</v>
      </c>
      <c r="G67" s="6" t="s">
        <v>3091</v>
      </c>
      <c r="H67" s="6" t="s">
        <v>3092</v>
      </c>
      <c r="I67" s="6">
        <v>111.0</v>
      </c>
      <c r="J67" s="6" t="s">
        <v>2568</v>
      </c>
      <c r="K67" s="152">
        <v>2.691486E7</v>
      </c>
      <c r="L67" s="25"/>
      <c r="M67" s="6" t="s">
        <v>3093</v>
      </c>
      <c r="N67" s="6" t="s">
        <v>3094</v>
      </c>
      <c r="O67" s="6">
        <v>4252.0</v>
      </c>
      <c r="P67" s="6" t="s">
        <v>3095</v>
      </c>
      <c r="Q67" s="6" t="s">
        <v>2573</v>
      </c>
      <c r="S67" s="6">
        <v>0.51471</v>
      </c>
      <c r="T67" s="6" t="s">
        <v>538</v>
      </c>
      <c r="U67" s="6" t="s">
        <v>343</v>
      </c>
      <c r="V67" s="6" t="s">
        <v>114</v>
      </c>
      <c r="W67" s="6" t="s">
        <v>114</v>
      </c>
      <c r="X67" s="16">
        <f t="array" ref="X67">_xlfn.XLOOKUP(U67, 'CMFA-CSCDA Grants'!B:B, 'CMFA-CSCDA Grants'!A:A)
</f>
        <v>17</v>
      </c>
    </row>
    <row r="68" hidden="1">
      <c r="A68" s="151" t="s">
        <v>3227</v>
      </c>
      <c r="B68" s="6" t="s">
        <v>3097</v>
      </c>
      <c r="C68" s="6" t="s">
        <v>3098</v>
      </c>
      <c r="D68" s="6"/>
      <c r="E68" s="6">
        <v>500.0</v>
      </c>
      <c r="F68" s="6" t="s">
        <v>2565</v>
      </c>
      <c r="G68" s="6" t="s">
        <v>2860</v>
      </c>
      <c r="H68" s="6" t="s">
        <v>2567</v>
      </c>
      <c r="I68" s="6">
        <v>40.0</v>
      </c>
      <c r="J68" s="6" t="s">
        <v>2568</v>
      </c>
      <c r="K68" s="152">
        <v>6897851.0</v>
      </c>
      <c r="L68" s="25"/>
      <c r="M68" s="6" t="s">
        <v>3100</v>
      </c>
      <c r="N68" s="6" t="s">
        <v>2649</v>
      </c>
      <c r="O68" s="6">
        <v>426.0</v>
      </c>
      <c r="P68" s="6" t="s">
        <v>3101</v>
      </c>
      <c r="Q68" s="6" t="s">
        <v>2573</v>
      </c>
      <c r="S68" s="6">
        <v>0.19843</v>
      </c>
      <c r="T68" s="6" t="s">
        <v>1853</v>
      </c>
      <c r="U68" s="6" t="s">
        <v>1482</v>
      </c>
      <c r="V68" s="6" t="s">
        <v>114</v>
      </c>
      <c r="W68" s="6" t="s">
        <v>114</v>
      </c>
      <c r="X68" s="16">
        <f t="array" ref="X68">_xlfn.XLOOKUP(U68, 'CMFA-CSCDA Grants'!B:B, 'CMFA-CSCDA Grants'!A:A)
</f>
        <v>111</v>
      </c>
    </row>
    <row r="69" hidden="1">
      <c r="A69" s="151" t="s">
        <v>3237</v>
      </c>
      <c r="B69" s="6" t="s">
        <v>3102</v>
      </c>
      <c r="C69" s="6" t="s">
        <v>3103</v>
      </c>
      <c r="D69" s="6"/>
      <c r="E69" s="6">
        <v>500.0</v>
      </c>
      <c r="F69" s="6" t="s">
        <v>2565</v>
      </c>
      <c r="G69" s="6" t="s">
        <v>2628</v>
      </c>
      <c r="H69" s="6" t="s">
        <v>2629</v>
      </c>
      <c r="I69" s="6">
        <v>93.0</v>
      </c>
      <c r="J69" s="6" t="s">
        <v>2568</v>
      </c>
      <c r="K69" s="152">
        <v>2.3202793E7</v>
      </c>
      <c r="L69" s="25"/>
      <c r="M69" s="6" t="s">
        <v>3104</v>
      </c>
      <c r="N69" s="6" t="s">
        <v>2707</v>
      </c>
      <c r="O69" s="6">
        <v>441.0</v>
      </c>
      <c r="P69" s="6" t="s">
        <v>2895</v>
      </c>
      <c r="Q69" s="6" t="s">
        <v>2573</v>
      </c>
      <c r="S69" s="6">
        <v>1.01174</v>
      </c>
      <c r="T69" s="6" t="s">
        <v>815</v>
      </c>
      <c r="U69" s="6" t="s">
        <v>443</v>
      </c>
      <c r="V69" s="6" t="s">
        <v>114</v>
      </c>
      <c r="W69" s="6" t="s">
        <v>114</v>
      </c>
      <c r="X69" s="16">
        <f t="array" ref="X69">_xlfn.XLOOKUP(U69, 'CMFA-CSCDA Grants'!B:B, 'CMFA-CSCDA Grants'!A:A)
</f>
        <v>26</v>
      </c>
    </row>
    <row r="70">
      <c r="A70" s="151" t="s">
        <v>536</v>
      </c>
      <c r="B70" s="6" t="s">
        <v>3106</v>
      </c>
      <c r="C70" s="6" t="s">
        <v>537</v>
      </c>
      <c r="D70" s="6" t="str">
        <f>IF(ISBLANK(C70),B70,C70)</f>
        <v>4481.0 APPIAN WAY EL SOBRANTE CA 94803-2200</v>
      </c>
      <c r="E70" s="6">
        <v>27.0</v>
      </c>
      <c r="F70" s="6" t="s">
        <v>2974</v>
      </c>
      <c r="G70" s="6" t="s">
        <v>3107</v>
      </c>
      <c r="H70" s="6" t="s">
        <v>3108</v>
      </c>
      <c r="I70" s="6"/>
      <c r="J70" s="6" t="s">
        <v>2666</v>
      </c>
      <c r="K70" s="152">
        <v>9977564.0</v>
      </c>
      <c r="L70" s="25"/>
      <c r="M70" s="6" t="s">
        <v>680</v>
      </c>
      <c r="N70" s="6" t="s">
        <v>2978</v>
      </c>
      <c r="O70" s="6">
        <v>4481.0</v>
      </c>
      <c r="P70" s="6" t="s">
        <v>3109</v>
      </c>
      <c r="Q70" s="6" t="s">
        <v>2981</v>
      </c>
      <c r="S70" s="6">
        <v>1.86803</v>
      </c>
      <c r="T70" s="6" t="s">
        <v>680</v>
      </c>
      <c r="U70" s="6" t="s">
        <v>679</v>
      </c>
      <c r="V70" s="6" t="s">
        <v>366</v>
      </c>
      <c r="W70" s="6" t="s">
        <v>111</v>
      </c>
      <c r="X70" s="16">
        <f t="array" ref="X70">_xlfn.XLOOKUP(U70, 'CMFA-CSCDA Grants'!B:B, 'CMFA-CSCDA Grants'!A:A)
</f>
        <v>34</v>
      </c>
    </row>
    <row r="71" hidden="1">
      <c r="A71" s="151" t="s">
        <v>3249</v>
      </c>
      <c r="B71" s="6" t="s">
        <v>3111</v>
      </c>
      <c r="C71" s="6" t="s">
        <v>3112</v>
      </c>
      <c r="D71" s="6"/>
      <c r="E71" s="6">
        <v>500.0</v>
      </c>
      <c r="F71" s="6" t="s">
        <v>2565</v>
      </c>
      <c r="G71" s="6" t="s">
        <v>2860</v>
      </c>
      <c r="H71" s="6" t="s">
        <v>2567</v>
      </c>
      <c r="I71" s="6">
        <v>48.0</v>
      </c>
      <c r="J71" s="6" t="s">
        <v>2568</v>
      </c>
      <c r="K71" s="152">
        <v>7490880.0</v>
      </c>
      <c r="L71" s="25"/>
      <c r="M71" s="6" t="s">
        <v>3113</v>
      </c>
      <c r="N71" s="6" t="s">
        <v>2649</v>
      </c>
      <c r="O71" s="6">
        <v>454.0</v>
      </c>
      <c r="P71" s="6" t="s">
        <v>3114</v>
      </c>
      <c r="Q71" s="6" t="s">
        <v>2573</v>
      </c>
      <c r="S71" s="6">
        <v>0.21396</v>
      </c>
      <c r="T71" s="6" t="s">
        <v>1814</v>
      </c>
      <c r="U71" s="6" t="s">
        <v>1439</v>
      </c>
      <c r="V71" s="6" t="s">
        <v>114</v>
      </c>
      <c r="W71" s="6" t="s">
        <v>114</v>
      </c>
      <c r="X71" s="16">
        <f t="array" ref="X71">_xlfn.XLOOKUP(U71, 'CMFA-CSCDA Grants'!B:B, 'CMFA-CSCDA Grants'!A:A)
</f>
        <v>106</v>
      </c>
    </row>
    <row r="72" hidden="1">
      <c r="A72" s="151" t="s">
        <v>3255</v>
      </c>
      <c r="B72" s="6" t="s">
        <v>3115</v>
      </c>
      <c r="C72" s="6" t="s">
        <v>3116</v>
      </c>
      <c r="D72" s="6"/>
      <c r="E72" s="6">
        <v>500.0</v>
      </c>
      <c r="F72" s="6" t="s">
        <v>2565</v>
      </c>
      <c r="G72" s="6" t="s">
        <v>2566</v>
      </c>
      <c r="H72" s="6" t="s">
        <v>2567</v>
      </c>
      <c r="I72" s="6">
        <v>0.0</v>
      </c>
      <c r="J72" s="6" t="s">
        <v>2568</v>
      </c>
      <c r="K72" s="152">
        <v>2190000.0</v>
      </c>
      <c r="L72" s="25"/>
      <c r="M72" s="6" t="s">
        <v>3118</v>
      </c>
      <c r="N72" s="6" t="s">
        <v>3119</v>
      </c>
      <c r="O72" s="6">
        <v>4706.0</v>
      </c>
      <c r="P72" s="6" t="s">
        <v>3077</v>
      </c>
      <c r="Q72" s="6" t="s">
        <v>2573</v>
      </c>
      <c r="S72" s="6">
        <v>0.21881</v>
      </c>
      <c r="T72" s="6" t="s">
        <v>1759</v>
      </c>
      <c r="U72" s="6" t="s">
        <v>1391</v>
      </c>
      <c r="V72" s="6" t="s">
        <v>114</v>
      </c>
      <c r="W72" s="6" t="s">
        <v>114</v>
      </c>
      <c r="X72" s="16">
        <f t="array" ref="X72">_xlfn.XLOOKUP(U72, 'CMFA-CSCDA Grants'!B:B, 'CMFA-CSCDA Grants'!A:A)
</f>
        <v>101</v>
      </c>
    </row>
    <row r="73">
      <c r="A73" s="151" t="s">
        <v>1222</v>
      </c>
      <c r="B73" s="6" t="s">
        <v>3120</v>
      </c>
      <c r="C73" s="6" t="s">
        <v>1223</v>
      </c>
      <c r="D73" s="6" t="str">
        <f>IF(ISBLANK(C73),B73,C73)</f>
        <v>5040.0 LOGAN AVE SAN DIEGO CA 92113-3014</v>
      </c>
      <c r="E73" s="6">
        <v>9101.0</v>
      </c>
      <c r="F73" s="6" t="s">
        <v>2782</v>
      </c>
      <c r="G73" s="6" t="s">
        <v>3121</v>
      </c>
      <c r="H73" s="6" t="s">
        <v>3122</v>
      </c>
      <c r="I73" s="6">
        <v>0.0</v>
      </c>
      <c r="J73" s="6" t="s">
        <v>2666</v>
      </c>
      <c r="K73" s="152">
        <v>2804259.0</v>
      </c>
      <c r="L73" s="25"/>
      <c r="M73" s="6" t="s">
        <v>3123</v>
      </c>
      <c r="N73" s="6" t="s">
        <v>3124</v>
      </c>
      <c r="O73" s="6">
        <v>5040.0</v>
      </c>
      <c r="P73" s="6" t="s">
        <v>3125</v>
      </c>
      <c r="Q73" s="6" t="s">
        <v>2788</v>
      </c>
      <c r="R73" s="6">
        <v>2.82</v>
      </c>
      <c r="S73" s="6">
        <v>2.73239</v>
      </c>
      <c r="T73" s="6" t="s">
        <v>1257</v>
      </c>
      <c r="U73" s="6" t="s">
        <v>1256</v>
      </c>
      <c r="V73" s="6" t="s">
        <v>122</v>
      </c>
      <c r="W73" s="6" t="s">
        <v>122</v>
      </c>
      <c r="X73" s="16">
        <f t="array" ref="X73">_xlfn.XLOOKUP(U73, 'CMFA-CSCDA Grants'!B:B, 'CMFA-CSCDA Grants'!A:A)
</f>
        <v>74</v>
      </c>
    </row>
    <row r="74" hidden="1">
      <c r="A74" s="151" t="s">
        <v>3264</v>
      </c>
      <c r="B74" s="6" t="s">
        <v>3126</v>
      </c>
      <c r="C74" s="6" t="s">
        <v>3127</v>
      </c>
      <c r="D74" s="6"/>
      <c r="E74" s="6">
        <v>501.0</v>
      </c>
      <c r="F74" s="6" t="s">
        <v>2565</v>
      </c>
      <c r="G74" s="6" t="s">
        <v>3128</v>
      </c>
      <c r="H74" s="6" t="s">
        <v>2567</v>
      </c>
      <c r="I74" s="6">
        <v>40.0</v>
      </c>
      <c r="J74" s="6" t="s">
        <v>2568</v>
      </c>
      <c r="K74" s="152">
        <v>1.0012496E7</v>
      </c>
      <c r="L74" s="25"/>
      <c r="M74" s="6" t="s">
        <v>3129</v>
      </c>
      <c r="N74" s="6" t="s">
        <v>3130</v>
      </c>
      <c r="O74" s="6">
        <v>515.0</v>
      </c>
      <c r="P74" s="6" t="s">
        <v>3131</v>
      </c>
      <c r="Q74" s="6" t="s">
        <v>2573</v>
      </c>
      <c r="S74" s="6">
        <v>0.62033</v>
      </c>
      <c r="T74" s="6" t="s">
        <v>2055</v>
      </c>
      <c r="U74" s="6" t="s">
        <v>1623</v>
      </c>
      <c r="V74" s="6" t="s">
        <v>114</v>
      </c>
      <c r="W74" s="6" t="s">
        <v>114</v>
      </c>
      <c r="X74" s="16">
        <f t="array" ref="X74">_xlfn.XLOOKUP(U74, 'CMFA-CSCDA Grants'!B:B, 'CMFA-CSCDA Grants'!A:A)
</f>
        <v>118</v>
      </c>
    </row>
    <row r="75">
      <c r="A75" s="151" t="s">
        <v>2795</v>
      </c>
      <c r="B75" s="6" t="s">
        <v>2797</v>
      </c>
      <c r="C75" s="6"/>
      <c r="D75" s="6" t="str">
        <f t="shared" ref="D75:D76" si="8">IF(ISBLANK(C75),B75,C75)</f>
        <v>5150 EL CAMINO REAL LOS ALTOS CA</v>
      </c>
      <c r="E75" s="6"/>
      <c r="F75" s="6"/>
      <c r="G75" s="6"/>
      <c r="H75" s="6"/>
      <c r="I75" s="6"/>
      <c r="J75" s="6"/>
      <c r="K75" s="152">
        <v>3.2171358E7</v>
      </c>
      <c r="L75" s="25" t="s">
        <v>146</v>
      </c>
      <c r="M75" s="6"/>
      <c r="N75" s="6"/>
      <c r="O75" s="6"/>
      <c r="P75" s="6"/>
      <c r="Q75" s="6"/>
      <c r="R75" s="6"/>
      <c r="S75" s="6"/>
      <c r="T75" s="6" t="s">
        <v>296</v>
      </c>
      <c r="U75" s="6" t="s">
        <v>1099</v>
      </c>
      <c r="V75" s="6" t="s">
        <v>154</v>
      </c>
      <c r="W75" s="6" t="s">
        <v>129</v>
      </c>
      <c r="X75" s="16">
        <f t="array" ref="X75">_xlfn.XLOOKUP(U75, 'CMFA-CSCDA Grants'!B:B, 'CMFA-CSCDA Grants'!A:A)
</f>
        <v>60</v>
      </c>
    </row>
    <row r="76">
      <c r="A76" s="151" t="s">
        <v>2805</v>
      </c>
      <c r="B76" s="6" t="s">
        <v>2797</v>
      </c>
      <c r="C76" s="6"/>
      <c r="D76" s="6" t="str">
        <f t="shared" si="8"/>
        <v>5150 EL CAMINO REAL LOS ALTOS CA</v>
      </c>
      <c r="E76" s="6"/>
      <c r="F76" s="6"/>
      <c r="G76" s="6"/>
      <c r="H76" s="6"/>
      <c r="I76" s="6"/>
      <c r="J76" s="6"/>
      <c r="K76" s="152">
        <v>1.8766626E7</v>
      </c>
      <c r="L76" s="25" t="s">
        <v>146</v>
      </c>
      <c r="M76" s="6"/>
      <c r="N76" s="6"/>
      <c r="O76" s="6"/>
      <c r="P76" s="6"/>
      <c r="Q76" s="6"/>
      <c r="R76" s="6"/>
      <c r="S76" s="6"/>
      <c r="T76" s="6" t="s">
        <v>296</v>
      </c>
      <c r="U76" s="6" t="s">
        <v>1099</v>
      </c>
      <c r="V76" s="6" t="s">
        <v>154</v>
      </c>
      <c r="W76" s="6" t="s">
        <v>129</v>
      </c>
      <c r="X76" s="16">
        <f t="array" ref="X76">_xlfn.XLOOKUP(U76, 'CMFA-CSCDA Grants'!B:B, 'CMFA-CSCDA Grants'!A:A)
</f>
        <v>60</v>
      </c>
    </row>
    <row r="77" hidden="1">
      <c r="A77" s="151" t="s">
        <v>3282</v>
      </c>
      <c r="B77" s="6" t="s">
        <v>3141</v>
      </c>
      <c r="C77" s="6" t="s">
        <v>3142</v>
      </c>
      <c r="D77" s="6"/>
      <c r="E77" s="6">
        <v>556.0</v>
      </c>
      <c r="F77" s="6" t="s">
        <v>2565</v>
      </c>
      <c r="G77" s="6" t="s">
        <v>3128</v>
      </c>
      <c r="H77" s="6" t="s">
        <v>2567</v>
      </c>
      <c r="I77" s="6">
        <v>59.0</v>
      </c>
      <c r="J77" s="6" t="s">
        <v>2568</v>
      </c>
      <c r="K77" s="152">
        <v>1.4209574E7</v>
      </c>
      <c r="L77" s="25"/>
      <c r="M77" s="6" t="s">
        <v>3143</v>
      </c>
      <c r="N77" s="6" t="s">
        <v>2649</v>
      </c>
      <c r="O77" s="6">
        <v>516.0</v>
      </c>
      <c r="P77" s="6" t="s">
        <v>3131</v>
      </c>
      <c r="Q77" s="6" t="s">
        <v>2573</v>
      </c>
      <c r="S77" s="6">
        <v>0.20688</v>
      </c>
      <c r="T77" s="6" t="s">
        <v>2077</v>
      </c>
      <c r="U77" s="6" t="s">
        <v>1648</v>
      </c>
      <c r="V77" s="6" t="s">
        <v>114</v>
      </c>
      <c r="W77" s="6" t="s">
        <v>114</v>
      </c>
      <c r="X77" s="16">
        <f t="array" ref="X77">_xlfn.XLOOKUP(U77, 'CMFA-CSCDA Grants'!B:B, 'CMFA-CSCDA Grants'!A:A)
</f>
        <v>119</v>
      </c>
    </row>
    <row r="78" hidden="1">
      <c r="A78" s="151" t="s">
        <v>3287</v>
      </c>
      <c r="B78" s="6" t="s">
        <v>3144</v>
      </c>
      <c r="C78" s="6" t="s">
        <v>3145</v>
      </c>
      <c r="D78" s="6"/>
      <c r="E78" s="6">
        <v>500.0</v>
      </c>
      <c r="F78" s="6" t="s">
        <v>2565</v>
      </c>
      <c r="G78" s="6" t="s">
        <v>3128</v>
      </c>
      <c r="H78" s="6" t="s">
        <v>2567</v>
      </c>
      <c r="I78" s="6">
        <v>48.0</v>
      </c>
      <c r="J78" s="6" t="s">
        <v>2568</v>
      </c>
      <c r="K78" s="152">
        <v>1.1471658E7</v>
      </c>
      <c r="L78" s="25"/>
      <c r="M78" s="6" t="s">
        <v>3146</v>
      </c>
      <c r="N78" s="6" t="s">
        <v>2649</v>
      </c>
      <c r="O78" s="6">
        <v>520.0</v>
      </c>
      <c r="P78" s="6" t="s">
        <v>2945</v>
      </c>
      <c r="Q78" s="6" t="s">
        <v>2573</v>
      </c>
      <c r="S78" s="6">
        <v>0.20657</v>
      </c>
      <c r="T78" s="6" t="s">
        <v>2177</v>
      </c>
      <c r="U78" s="6" t="s">
        <v>1788</v>
      </c>
      <c r="V78" s="6" t="s">
        <v>114</v>
      </c>
      <c r="W78" s="6" t="s">
        <v>114</v>
      </c>
      <c r="X78" s="16">
        <f t="array" ref="X78">_xlfn.XLOOKUP(U78, 'CMFA-CSCDA Grants'!B:B, 'CMFA-CSCDA Grants'!A:A)
</f>
        <v>128</v>
      </c>
    </row>
    <row r="79" hidden="1">
      <c r="A79" s="151" t="s">
        <v>3293</v>
      </c>
      <c r="B79" s="6" t="s">
        <v>3147</v>
      </c>
      <c r="C79" s="6" t="s">
        <v>3148</v>
      </c>
      <c r="D79" s="6"/>
      <c r="E79" s="6">
        <v>500.0</v>
      </c>
      <c r="F79" s="6" t="s">
        <v>2565</v>
      </c>
      <c r="G79" s="6" t="s">
        <v>3128</v>
      </c>
      <c r="H79" s="6" t="s">
        <v>2567</v>
      </c>
      <c r="I79" s="6">
        <v>44.0</v>
      </c>
      <c r="J79" s="6" t="s">
        <v>2568</v>
      </c>
      <c r="K79" s="152">
        <v>1.0516571E7</v>
      </c>
      <c r="L79" s="25"/>
      <c r="M79" s="6" t="s">
        <v>3149</v>
      </c>
      <c r="N79" s="6" t="s">
        <v>2649</v>
      </c>
      <c r="O79" s="6">
        <v>530.0</v>
      </c>
      <c r="P79" s="6" t="s">
        <v>3150</v>
      </c>
      <c r="Q79" s="6" t="s">
        <v>2573</v>
      </c>
      <c r="S79" s="6">
        <v>0.21095</v>
      </c>
      <c r="T79" s="6" t="s">
        <v>2171</v>
      </c>
      <c r="U79" s="6" t="s">
        <v>1765</v>
      </c>
      <c r="V79" s="6" t="s">
        <v>114</v>
      </c>
      <c r="W79" s="6" t="s">
        <v>114</v>
      </c>
      <c r="X79" s="16">
        <f t="array" ref="X79">_xlfn.XLOOKUP(U79, 'CMFA-CSCDA Grants'!B:B, 'CMFA-CSCDA Grants'!A:A)
</f>
        <v>125</v>
      </c>
    </row>
    <row r="80">
      <c r="A80" s="151" t="s">
        <v>1229</v>
      </c>
      <c r="B80" s="6" t="s">
        <v>3152</v>
      </c>
      <c r="C80" s="6" t="s">
        <v>1230</v>
      </c>
      <c r="D80" s="6" t="str">
        <f t="shared" ref="D80:D81" si="9">IF(ISBLANK(C80),B80,C80)</f>
        <v>5474.0 RESERVOIR DR 1-36 SAN DIEGO CA 92120-5145</v>
      </c>
      <c r="E80" s="6">
        <v>1200.0</v>
      </c>
      <c r="F80" s="6" t="s">
        <v>2874</v>
      </c>
      <c r="G80" s="6" t="s">
        <v>3153</v>
      </c>
      <c r="H80" s="6" t="s">
        <v>2876</v>
      </c>
      <c r="I80" s="6">
        <v>117.0</v>
      </c>
      <c r="J80" s="6" t="s">
        <v>2666</v>
      </c>
      <c r="K80" s="152">
        <v>3.0350548E7</v>
      </c>
      <c r="L80" s="25"/>
      <c r="M80" s="6" t="s">
        <v>3154</v>
      </c>
      <c r="N80" s="6" t="s">
        <v>3155</v>
      </c>
      <c r="O80" s="6">
        <v>5474.0</v>
      </c>
      <c r="P80" s="6" t="s">
        <v>3156</v>
      </c>
      <c r="Q80" s="6" t="s">
        <v>2788</v>
      </c>
      <c r="R80" s="6">
        <v>3.86</v>
      </c>
      <c r="S80" s="6">
        <v>3.84062</v>
      </c>
      <c r="T80" s="6" t="s">
        <v>1245</v>
      </c>
      <c r="U80" s="6" t="s">
        <v>1244</v>
      </c>
      <c r="V80" s="6" t="s">
        <v>122</v>
      </c>
      <c r="W80" s="6" t="s">
        <v>122</v>
      </c>
      <c r="X80" s="16">
        <f t="array" ref="X80">_xlfn.XLOOKUP(U80, 'CMFA-CSCDA Grants'!B:B, 'CMFA-CSCDA Grants'!A:A)
</f>
        <v>75</v>
      </c>
    </row>
    <row r="81">
      <c r="A81" s="151" t="s">
        <v>2881</v>
      </c>
      <c r="B81" s="6" t="s">
        <v>3157</v>
      </c>
      <c r="C81" s="6" t="s">
        <v>2882</v>
      </c>
      <c r="D81" s="6" t="str">
        <f t="shared" si="9"/>
        <v>5805 CHARLOTTE DR SAN JOSE CA 95123-3619</v>
      </c>
      <c r="E81" s="6">
        <v>4.0</v>
      </c>
      <c r="F81" s="6" t="s">
        <v>2663</v>
      </c>
      <c r="G81" s="6" t="s">
        <v>3158</v>
      </c>
      <c r="H81" s="6" t="s">
        <v>3159</v>
      </c>
      <c r="I81" s="6">
        <v>650.0</v>
      </c>
      <c r="J81" s="6" t="s">
        <v>2666</v>
      </c>
      <c r="K81" s="152">
        <v>2.69608107E8</v>
      </c>
      <c r="L81" s="25"/>
      <c r="M81" s="6" t="s">
        <v>3160</v>
      </c>
      <c r="N81" s="6" t="s">
        <v>3161</v>
      </c>
      <c r="O81" s="6">
        <v>5805.0</v>
      </c>
      <c r="P81" s="6" t="s">
        <v>3162</v>
      </c>
      <c r="Q81" s="6" t="s">
        <v>2672</v>
      </c>
      <c r="R81" s="6">
        <v>10.81</v>
      </c>
      <c r="S81" s="6">
        <v>10.75904</v>
      </c>
      <c r="T81" s="6" t="s">
        <v>1425</v>
      </c>
      <c r="U81" s="6" t="s">
        <v>2208</v>
      </c>
      <c r="V81" s="6" t="s">
        <v>155</v>
      </c>
      <c r="W81" s="6" t="s">
        <v>129</v>
      </c>
      <c r="X81" s="16">
        <f t="array" ref="X81">_xlfn.XLOOKUP(U81, 'CMFA-CSCDA Grants'!B:B, 'CMFA-CSCDA Grants'!A:A)
</f>
        <v>136</v>
      </c>
    </row>
    <row r="82" hidden="1">
      <c r="A82" s="151" t="s">
        <v>3309</v>
      </c>
      <c r="B82" s="6" t="s">
        <v>1362</v>
      </c>
      <c r="C82" s="6" t="s">
        <v>3164</v>
      </c>
      <c r="D82" s="6"/>
      <c r="E82" s="6">
        <v>501.0</v>
      </c>
      <c r="F82" s="6" t="s">
        <v>2565</v>
      </c>
      <c r="G82" s="6" t="s">
        <v>3165</v>
      </c>
      <c r="H82" s="6" t="s">
        <v>3166</v>
      </c>
      <c r="I82" s="6">
        <v>112.0</v>
      </c>
      <c r="J82" s="6" t="s">
        <v>2568</v>
      </c>
      <c r="K82" s="152">
        <v>1.3224803E7</v>
      </c>
      <c r="L82" s="25"/>
      <c r="M82" s="6" t="s">
        <v>3167</v>
      </c>
      <c r="N82" s="6" t="s">
        <v>3168</v>
      </c>
      <c r="O82" s="6">
        <v>601.0</v>
      </c>
      <c r="P82" s="6" t="s">
        <v>3169</v>
      </c>
      <c r="Q82" s="6" t="s">
        <v>2573</v>
      </c>
      <c r="S82" s="6">
        <v>4.33207</v>
      </c>
      <c r="T82" s="6" t="s">
        <v>1465</v>
      </c>
      <c r="U82" s="6" t="s">
        <v>1365</v>
      </c>
      <c r="V82" s="6" t="s">
        <v>1402</v>
      </c>
      <c r="W82" s="6" t="s">
        <v>114</v>
      </c>
      <c r="X82" s="16">
        <f t="array" ref="X82">_xlfn.XLOOKUP(U82, 'CMFA-CSCDA Grants'!B:B, 'CMFA-CSCDA Grants'!A:A)
</f>
        <v>97</v>
      </c>
    </row>
    <row r="83">
      <c r="A83" s="151" t="s">
        <v>1357</v>
      </c>
      <c r="B83" s="6" t="s">
        <v>3171</v>
      </c>
      <c r="C83" s="6" t="s">
        <v>1358</v>
      </c>
      <c r="D83" s="6" t="str">
        <f t="shared" ref="D83:D84" si="10">IF(ISBLANK(C83),B83,C83)</f>
        <v>601.0 TELEGRAPH CANYON RD CHULA VISTA CA 91910-6561</v>
      </c>
      <c r="E83" s="6">
        <v>1200.0</v>
      </c>
      <c r="F83" s="6" t="s">
        <v>2874</v>
      </c>
      <c r="G83" s="6" t="s">
        <v>3172</v>
      </c>
      <c r="H83" s="6" t="s">
        <v>3173</v>
      </c>
      <c r="I83" s="6">
        <v>183.0</v>
      </c>
      <c r="J83" s="6" t="s">
        <v>2666</v>
      </c>
      <c r="K83" s="152">
        <v>5.1548563E7</v>
      </c>
      <c r="L83" s="25"/>
      <c r="M83" s="6" t="s">
        <v>3174</v>
      </c>
      <c r="N83" s="6" t="s">
        <v>3175</v>
      </c>
      <c r="O83" s="6">
        <v>601.0</v>
      </c>
      <c r="P83" s="6" t="s">
        <v>3176</v>
      </c>
      <c r="Q83" s="6" t="s">
        <v>2788</v>
      </c>
      <c r="R83" s="6">
        <v>8.79</v>
      </c>
      <c r="S83" s="6">
        <v>8.64882</v>
      </c>
      <c r="T83" s="6" t="s">
        <v>1577</v>
      </c>
      <c r="U83" s="6" t="s">
        <v>837</v>
      </c>
      <c r="V83" s="6" t="s">
        <v>178</v>
      </c>
      <c r="W83" s="6" t="s">
        <v>122</v>
      </c>
      <c r="X83" s="16">
        <f t="array" ref="X83">_xlfn.XLOOKUP(U83, 'CMFA-CSCDA Grants'!B:B, 'CMFA-CSCDA Grants'!A:A)
</f>
        <v>94</v>
      </c>
    </row>
    <row r="84">
      <c r="A84" s="151" t="s">
        <v>798</v>
      </c>
      <c r="B84" s="6" t="s">
        <v>3178</v>
      </c>
      <c r="C84" s="6" t="s">
        <v>799</v>
      </c>
      <c r="D84" s="6" t="str">
        <f t="shared" si="10"/>
        <v>6171.0 MISSION GORGE RD SAN DIEGO CA 92120-3426</v>
      </c>
      <c r="E84" s="6">
        <v>5004.0</v>
      </c>
      <c r="F84" s="6" t="s">
        <v>3179</v>
      </c>
      <c r="G84" s="6" t="s">
        <v>3180</v>
      </c>
      <c r="H84" s="6" t="s">
        <v>3181</v>
      </c>
      <c r="I84" s="6">
        <v>1.0</v>
      </c>
      <c r="J84" s="6" t="s">
        <v>2666</v>
      </c>
      <c r="K84" s="152">
        <v>1.3362E7</v>
      </c>
      <c r="L84" s="25"/>
      <c r="M84" s="6" t="s">
        <v>3182</v>
      </c>
      <c r="N84" s="6" t="s">
        <v>3183</v>
      </c>
      <c r="O84" s="6">
        <v>6171.0</v>
      </c>
      <c r="P84" s="6" t="s">
        <v>3184</v>
      </c>
      <c r="Q84" s="6" t="s">
        <v>2788</v>
      </c>
      <c r="R84" s="6">
        <v>1.52</v>
      </c>
      <c r="S84" s="6">
        <v>1.51996</v>
      </c>
      <c r="T84" s="6" t="s">
        <v>945</v>
      </c>
      <c r="U84" s="6" t="s">
        <v>944</v>
      </c>
      <c r="V84" s="6" t="s">
        <v>122</v>
      </c>
      <c r="W84" s="6" t="s">
        <v>122</v>
      </c>
      <c r="X84" s="16">
        <f t="array" ref="X84">_xlfn.XLOOKUP(U84, 'CMFA-CSCDA Grants'!B:B, 'CMFA-CSCDA Grants'!A:A)
</f>
        <v>47</v>
      </c>
    </row>
    <row r="85" hidden="1">
      <c r="A85" s="151" t="s">
        <v>3326</v>
      </c>
      <c r="B85" s="6" t="s">
        <v>3185</v>
      </c>
      <c r="C85" s="6" t="s">
        <v>3186</v>
      </c>
      <c r="D85" s="6"/>
      <c r="E85" s="6" t="s">
        <v>725</v>
      </c>
      <c r="F85" s="6" t="s">
        <v>3187</v>
      </c>
      <c r="G85" s="6" t="s">
        <v>2603</v>
      </c>
      <c r="H85" s="6" t="s">
        <v>2604</v>
      </c>
      <c r="I85" s="6">
        <v>1.0</v>
      </c>
      <c r="J85" s="6" t="s">
        <v>2568</v>
      </c>
      <c r="K85" s="152">
        <v>1326510.0</v>
      </c>
      <c r="L85" s="25"/>
      <c r="M85" s="6" t="s">
        <v>3188</v>
      </c>
      <c r="N85" s="6" t="s">
        <v>2595</v>
      </c>
      <c r="O85" s="6">
        <v>6200.0</v>
      </c>
      <c r="P85" s="6" t="s">
        <v>3189</v>
      </c>
      <c r="Q85" s="6" t="s">
        <v>2573</v>
      </c>
      <c r="S85" s="6">
        <v>0.25488</v>
      </c>
      <c r="T85" s="6" t="s">
        <v>842</v>
      </c>
      <c r="U85" s="6" t="s">
        <v>724</v>
      </c>
      <c r="V85" s="6" t="s">
        <v>114</v>
      </c>
      <c r="W85" s="6" t="s">
        <v>114</v>
      </c>
      <c r="X85" s="16">
        <f t="array" ref="X85">_xlfn.XLOOKUP(U85, 'CMFA-CSCDA Grants'!B:B, 'CMFA-CSCDA Grants'!A:A)
</f>
        <v>39</v>
      </c>
    </row>
    <row r="86" hidden="1">
      <c r="A86" s="151" t="s">
        <v>3330</v>
      </c>
      <c r="B86" s="6" t="s">
        <v>3191</v>
      </c>
      <c r="C86" s="6" t="s">
        <v>3192</v>
      </c>
      <c r="D86" s="6"/>
      <c r="E86" s="6" t="s">
        <v>725</v>
      </c>
      <c r="F86" s="6" t="s">
        <v>3187</v>
      </c>
      <c r="G86" s="6" t="s">
        <v>2603</v>
      </c>
      <c r="H86" s="6" t="s">
        <v>2604</v>
      </c>
      <c r="I86" s="6">
        <v>0.0</v>
      </c>
      <c r="J86" s="6" t="s">
        <v>2568</v>
      </c>
      <c r="K86" s="152">
        <v>426520.0</v>
      </c>
      <c r="L86" s="25"/>
      <c r="M86" s="6" t="s">
        <v>3193</v>
      </c>
      <c r="N86" s="6" t="s">
        <v>3072</v>
      </c>
      <c r="O86" s="6">
        <v>6401.0</v>
      </c>
      <c r="P86" s="6" t="s">
        <v>2596</v>
      </c>
      <c r="Q86" s="6" t="s">
        <v>2573</v>
      </c>
      <c r="S86" s="6">
        <v>0.16385</v>
      </c>
      <c r="T86" s="6" t="s">
        <v>1336</v>
      </c>
      <c r="U86" s="6" t="s">
        <v>1286</v>
      </c>
      <c r="V86" s="6" t="s">
        <v>114</v>
      </c>
      <c r="W86" s="6" t="s">
        <v>114</v>
      </c>
      <c r="X86" s="16">
        <f t="array" ref="X86">_xlfn.XLOOKUP(U86, 'CMFA-CSCDA Grants'!B:B, 'CMFA-CSCDA Grants'!A:A)
</f>
        <v>83</v>
      </c>
    </row>
    <row r="87">
      <c r="A87" s="151" t="s">
        <v>144</v>
      </c>
      <c r="B87" s="6" t="s">
        <v>3195</v>
      </c>
      <c r="C87" s="6" t="s">
        <v>145</v>
      </c>
      <c r="D87" s="6" t="str">
        <f>IF(ISBLANK(C87),B87,C87)</f>
        <v>660 MARIPOSA AVE MOUNTAIN VIEW CA 94041-1867</v>
      </c>
      <c r="E87" s="6">
        <v>4.0</v>
      </c>
      <c r="F87" s="6" t="s">
        <v>2663</v>
      </c>
      <c r="G87" s="6" t="s">
        <v>3196</v>
      </c>
      <c r="H87" s="6" t="s">
        <v>3197</v>
      </c>
      <c r="I87" s="6">
        <v>50.0</v>
      </c>
      <c r="J87" s="6" t="s">
        <v>2666</v>
      </c>
      <c r="K87" s="152">
        <f>sum(16774347,285254)</f>
        <v>17059601</v>
      </c>
      <c r="L87" s="25">
        <v>1.6718409E7</v>
      </c>
      <c r="M87" s="6" t="s">
        <v>3198</v>
      </c>
      <c r="N87" s="6" t="s">
        <v>3138</v>
      </c>
      <c r="O87" s="6">
        <v>660.0</v>
      </c>
      <c r="P87" s="6" t="s">
        <v>2945</v>
      </c>
      <c r="Q87" s="6" t="s">
        <v>2672</v>
      </c>
      <c r="R87" s="6">
        <v>1.57</v>
      </c>
      <c r="S87" s="6">
        <v>1.65214</v>
      </c>
      <c r="T87" s="6" t="s">
        <v>3199</v>
      </c>
      <c r="U87" s="6" t="s">
        <v>288</v>
      </c>
      <c r="V87" s="6" t="s">
        <v>149</v>
      </c>
      <c r="W87" s="6" t="s">
        <v>129</v>
      </c>
      <c r="X87" s="16">
        <f t="array" ref="X87">_xlfn.XLOOKUP(U87, 'CMFA-CSCDA Grants'!B:B, 'CMFA-CSCDA Grants'!A:A)
</f>
        <v>3</v>
      </c>
    </row>
    <row r="88" hidden="1">
      <c r="A88" s="151" t="s">
        <v>3340</v>
      </c>
      <c r="B88" s="6" t="s">
        <v>325</v>
      </c>
      <c r="C88" s="6" t="s">
        <v>3202</v>
      </c>
      <c r="D88" s="6"/>
      <c r="E88" s="6">
        <v>500.0</v>
      </c>
      <c r="F88" s="6" t="s">
        <v>2565</v>
      </c>
      <c r="G88" s="6" t="s">
        <v>3203</v>
      </c>
      <c r="H88" s="6" t="s">
        <v>3204</v>
      </c>
      <c r="I88" s="6">
        <v>69.0</v>
      </c>
      <c r="J88" s="6" t="s">
        <v>2568</v>
      </c>
      <c r="K88" s="152">
        <v>8706757.0</v>
      </c>
      <c r="L88" s="25"/>
      <c r="M88" s="6" t="s">
        <v>3205</v>
      </c>
      <c r="N88" s="6" t="s">
        <v>3206</v>
      </c>
      <c r="O88" s="6">
        <v>6762.0</v>
      </c>
      <c r="P88" s="6" t="s">
        <v>3207</v>
      </c>
      <c r="Q88" s="6" t="s">
        <v>2573</v>
      </c>
      <c r="S88" s="6">
        <v>0.17031</v>
      </c>
      <c r="T88" s="6" t="s">
        <v>526</v>
      </c>
      <c r="U88" s="6" t="s">
        <v>328</v>
      </c>
      <c r="V88" s="6" t="s">
        <v>114</v>
      </c>
      <c r="W88" s="6" t="s">
        <v>114</v>
      </c>
      <c r="X88" s="16">
        <f t="array" ref="X88">_xlfn.XLOOKUP(U88, 'CMFA-CSCDA Grants'!B:B, 'CMFA-CSCDA Grants'!A:A)
</f>
        <v>15</v>
      </c>
    </row>
    <row r="89" hidden="1">
      <c r="A89" s="151" t="s">
        <v>3344</v>
      </c>
      <c r="B89" s="6" t="s">
        <v>3209</v>
      </c>
      <c r="C89" s="6" t="s">
        <v>1309</v>
      </c>
      <c r="D89" s="6"/>
      <c r="E89" s="6">
        <v>500.0</v>
      </c>
      <c r="F89" s="6" t="s">
        <v>2565</v>
      </c>
      <c r="G89" s="6" t="s">
        <v>2603</v>
      </c>
      <c r="H89" s="6" t="s">
        <v>2604</v>
      </c>
      <c r="I89" s="6">
        <v>28.0</v>
      </c>
      <c r="J89" s="6" t="s">
        <v>2568</v>
      </c>
      <c r="K89" s="152">
        <v>3002337.0</v>
      </c>
      <c r="L89" s="25"/>
      <c r="M89" s="6" t="s">
        <v>3210</v>
      </c>
      <c r="N89" s="6" t="s">
        <v>3072</v>
      </c>
      <c r="O89" s="6">
        <v>685.0</v>
      </c>
      <c r="P89" s="6" t="s">
        <v>2847</v>
      </c>
      <c r="Q89" s="6" t="s">
        <v>2573</v>
      </c>
      <c r="S89" s="6">
        <v>0.11467</v>
      </c>
      <c r="T89" s="6" t="s">
        <v>1370</v>
      </c>
      <c r="U89" s="6" t="s">
        <v>1312</v>
      </c>
      <c r="V89" s="6" t="s">
        <v>114</v>
      </c>
      <c r="W89" s="6" t="s">
        <v>114</v>
      </c>
      <c r="X89" s="16">
        <f t="array" ref="X89">_xlfn.XLOOKUP(U89, 'CMFA-CSCDA Grants'!B:B, 'CMFA-CSCDA Grants'!A:A)
</f>
        <v>86</v>
      </c>
    </row>
    <row r="90">
      <c r="A90" s="151" t="s">
        <v>840</v>
      </c>
      <c r="B90" s="6" t="s">
        <v>3212</v>
      </c>
      <c r="C90" s="6" t="s">
        <v>841</v>
      </c>
      <c r="D90" s="6" t="str">
        <f t="shared" ref="D90:D91" si="11">IF(ISBLANK(C90),B90,C90)</f>
        <v>6930.0 FAIR OAKS BLVD CARMICHAEL CA 95608-3369</v>
      </c>
      <c r="E90" s="6" t="s">
        <v>3213</v>
      </c>
      <c r="F90" s="6"/>
      <c r="G90" s="6" t="s">
        <v>3214</v>
      </c>
      <c r="H90" s="6" t="s">
        <v>3215</v>
      </c>
      <c r="I90" s="6"/>
      <c r="J90" s="6" t="s">
        <v>2680</v>
      </c>
      <c r="K90" s="152">
        <v>1.2145525E7</v>
      </c>
      <c r="L90" s="25"/>
      <c r="M90" s="6" t="s">
        <v>3216</v>
      </c>
      <c r="N90" s="6" t="s">
        <v>2682</v>
      </c>
      <c r="O90" s="6">
        <v>6930.0</v>
      </c>
      <c r="P90" s="6" t="s">
        <v>3217</v>
      </c>
      <c r="Q90" s="6" t="s">
        <v>2684</v>
      </c>
      <c r="S90" s="6">
        <v>1.72534</v>
      </c>
      <c r="T90" s="6" t="s">
        <v>1005</v>
      </c>
      <c r="U90" s="6" t="s">
        <v>1004</v>
      </c>
      <c r="V90" s="6" t="s">
        <v>694</v>
      </c>
      <c r="W90" s="6" t="s">
        <v>120</v>
      </c>
      <c r="X90" s="16">
        <f t="array" ref="X90">_xlfn.XLOOKUP(U90, 'CMFA-CSCDA Grants'!B:B, 'CMFA-CSCDA Grants'!A:A)
</f>
        <v>53</v>
      </c>
    </row>
    <row r="91">
      <c r="A91" s="151" t="s">
        <v>828</v>
      </c>
      <c r="B91" s="6" t="s">
        <v>3220</v>
      </c>
      <c r="C91" s="6" t="s">
        <v>829</v>
      </c>
      <c r="D91" s="6" t="str">
        <f t="shared" si="11"/>
        <v>699.0 14TH ST SAN DIEGO CA 92101-7586</v>
      </c>
      <c r="E91" s="6">
        <v>9700.0</v>
      </c>
      <c r="F91" s="6" t="s">
        <v>3221</v>
      </c>
      <c r="G91" s="6" t="s">
        <v>3222</v>
      </c>
      <c r="H91" s="6" t="s">
        <v>3223</v>
      </c>
      <c r="I91" s="6">
        <v>229.0</v>
      </c>
      <c r="J91" s="6" t="s">
        <v>2666</v>
      </c>
      <c r="K91" s="152">
        <v>5.3339453E7</v>
      </c>
      <c r="L91" s="25"/>
      <c r="M91" s="6" t="s">
        <v>3224</v>
      </c>
      <c r="N91" s="6" t="s">
        <v>3225</v>
      </c>
      <c r="O91" s="6">
        <v>699.0</v>
      </c>
      <c r="P91" s="6" t="s">
        <v>3226</v>
      </c>
      <c r="Q91" s="6" t="s">
        <v>2788</v>
      </c>
      <c r="R91" s="6">
        <v>1.38</v>
      </c>
      <c r="S91" s="6">
        <v>1.3798</v>
      </c>
      <c r="T91" s="6" t="s">
        <v>969</v>
      </c>
      <c r="U91" s="6" t="s">
        <v>967</v>
      </c>
      <c r="V91" s="6" t="s">
        <v>122</v>
      </c>
      <c r="W91" s="6" t="s">
        <v>122</v>
      </c>
      <c r="X91" s="16">
        <f t="array" ref="X91">_xlfn.XLOOKUP(U91, 'CMFA-CSCDA Grants'!B:B, 'CMFA-CSCDA Grants'!A:A)
</f>
        <v>50</v>
      </c>
    </row>
    <row r="92" hidden="1">
      <c r="A92" s="151" t="s">
        <v>3356</v>
      </c>
      <c r="B92" s="6" t="s">
        <v>3228</v>
      </c>
      <c r="C92" s="6" t="s">
        <v>3229</v>
      </c>
      <c r="D92" s="6"/>
      <c r="E92" s="6">
        <v>500.0</v>
      </c>
      <c r="F92" s="6" t="s">
        <v>2565</v>
      </c>
      <c r="G92" s="6" t="s">
        <v>3230</v>
      </c>
      <c r="H92" s="6" t="s">
        <v>2567</v>
      </c>
      <c r="I92" s="6">
        <v>40.0</v>
      </c>
      <c r="J92" s="6" t="s">
        <v>2568</v>
      </c>
      <c r="K92" s="152">
        <v>7089929.0</v>
      </c>
      <c r="L92" s="25"/>
      <c r="M92" s="6" t="s">
        <v>3231</v>
      </c>
      <c r="N92" s="6" t="s">
        <v>3232</v>
      </c>
      <c r="O92" s="6">
        <v>727.0</v>
      </c>
      <c r="P92" s="6" t="s">
        <v>2945</v>
      </c>
      <c r="Q92" s="6" t="s">
        <v>2573</v>
      </c>
      <c r="S92" s="6">
        <v>0.18585</v>
      </c>
      <c r="T92" s="6" t="s">
        <v>2174</v>
      </c>
      <c r="U92" s="6" t="s">
        <v>1772</v>
      </c>
      <c r="V92" s="6" t="s">
        <v>114</v>
      </c>
      <c r="W92" s="6" t="s">
        <v>114</v>
      </c>
      <c r="X92" s="16">
        <f t="array" ref="X92">_xlfn.XLOOKUP(U92, 'CMFA-CSCDA Grants'!B:B, 'CMFA-CSCDA Grants'!A:A)
</f>
        <v>126</v>
      </c>
    </row>
    <row r="93" hidden="1">
      <c r="A93" s="151" t="s">
        <v>3358</v>
      </c>
      <c r="B93" s="6" t="s">
        <v>3233</v>
      </c>
      <c r="C93" s="6" t="s">
        <v>3234</v>
      </c>
      <c r="D93" s="6"/>
      <c r="E93" s="6">
        <v>500.0</v>
      </c>
      <c r="F93" s="6" t="s">
        <v>2565</v>
      </c>
      <c r="G93" s="6" t="s">
        <v>3230</v>
      </c>
      <c r="H93" s="6" t="s">
        <v>2567</v>
      </c>
      <c r="I93" s="6">
        <v>32.0</v>
      </c>
      <c r="J93" s="6" t="s">
        <v>2568</v>
      </c>
      <c r="K93" s="152">
        <v>4993920.0</v>
      </c>
      <c r="L93" s="25"/>
      <c r="M93" s="6" t="s">
        <v>3235</v>
      </c>
      <c r="N93" s="6" t="s">
        <v>2649</v>
      </c>
      <c r="O93" s="6">
        <v>739.0</v>
      </c>
      <c r="P93" s="6" t="s">
        <v>3236</v>
      </c>
      <c r="Q93" s="6" t="s">
        <v>2573</v>
      </c>
      <c r="S93" s="6">
        <v>0.1728</v>
      </c>
      <c r="T93" s="6" t="s">
        <v>1907</v>
      </c>
      <c r="U93" s="6" t="s">
        <v>1522</v>
      </c>
      <c r="V93" s="6" t="s">
        <v>114</v>
      </c>
      <c r="W93" s="6" t="s">
        <v>114</v>
      </c>
      <c r="X93" s="16">
        <f t="array" ref="X93">_xlfn.XLOOKUP(U93, 'CMFA-CSCDA Grants'!B:B, 'CMFA-CSCDA Grants'!A:A)
</f>
        <v>113</v>
      </c>
    </row>
    <row r="94" hidden="1">
      <c r="A94" s="151" t="s">
        <v>3359</v>
      </c>
      <c r="B94" s="6" t="s">
        <v>3239</v>
      </c>
      <c r="C94" s="6" t="s">
        <v>3240</v>
      </c>
      <c r="D94" s="6"/>
      <c r="E94" s="6">
        <v>500.0</v>
      </c>
      <c r="F94" s="6" t="s">
        <v>2565</v>
      </c>
      <c r="G94" s="6" t="s">
        <v>3230</v>
      </c>
      <c r="H94" s="6" t="s">
        <v>2567</v>
      </c>
      <c r="I94" s="6">
        <v>23.0</v>
      </c>
      <c r="J94" s="6" t="s">
        <v>2568</v>
      </c>
      <c r="K94" s="152">
        <v>6547652.0</v>
      </c>
      <c r="L94" s="25"/>
      <c r="M94" s="6" t="s">
        <v>3241</v>
      </c>
      <c r="N94" s="6" t="s">
        <v>2649</v>
      </c>
      <c r="O94" s="6">
        <v>750.0</v>
      </c>
      <c r="P94" s="6" t="s">
        <v>2945</v>
      </c>
      <c r="Q94" s="6" t="s">
        <v>2573</v>
      </c>
      <c r="S94" s="6">
        <v>0.18561</v>
      </c>
      <c r="T94" s="6" t="s">
        <v>2175</v>
      </c>
      <c r="U94" s="6" t="s">
        <v>1779</v>
      </c>
      <c r="V94" s="6" t="s">
        <v>114</v>
      </c>
      <c r="W94" s="6" t="s">
        <v>114</v>
      </c>
      <c r="X94" s="16">
        <f t="array" ref="X94">_xlfn.XLOOKUP(U94, 'CMFA-CSCDA Grants'!B:B, 'CMFA-CSCDA Grants'!A:A)
</f>
        <v>127</v>
      </c>
    </row>
    <row r="95" hidden="1">
      <c r="A95" s="151" t="s">
        <v>3360</v>
      </c>
      <c r="B95" s="6" t="s">
        <v>3242</v>
      </c>
      <c r="C95" s="6" t="s">
        <v>3243</v>
      </c>
      <c r="D95" s="6"/>
      <c r="E95" s="6">
        <v>101.0</v>
      </c>
      <c r="F95" s="6" t="s">
        <v>2614</v>
      </c>
      <c r="G95" s="6" t="s">
        <v>3244</v>
      </c>
      <c r="H95" s="6" t="s">
        <v>3245</v>
      </c>
      <c r="I95" s="6">
        <v>1.0</v>
      </c>
      <c r="J95" s="6" t="s">
        <v>2568</v>
      </c>
      <c r="K95" s="152">
        <v>2545586.0</v>
      </c>
      <c r="L95" s="25"/>
      <c r="M95" s="6" t="s">
        <v>3246</v>
      </c>
      <c r="N95" s="6" t="s">
        <v>3247</v>
      </c>
      <c r="O95" s="6">
        <v>7518.0</v>
      </c>
      <c r="P95" s="6" t="s">
        <v>3248</v>
      </c>
      <c r="Q95" s="6" t="s">
        <v>2573</v>
      </c>
      <c r="S95" s="6">
        <v>0.14177</v>
      </c>
      <c r="T95" s="6" t="s">
        <v>437</v>
      </c>
      <c r="U95" s="6" t="s">
        <v>249</v>
      </c>
      <c r="V95" s="6" t="s">
        <v>114</v>
      </c>
      <c r="W95" s="6" t="s">
        <v>114</v>
      </c>
      <c r="X95" s="16">
        <f t="array" ref="X95">_xlfn.XLOOKUP(U95, 'CMFA-CSCDA Grants'!B:B, 'CMFA-CSCDA Grants'!A:A)
</f>
        <v>10</v>
      </c>
    </row>
    <row r="96" hidden="1">
      <c r="A96" s="151" t="s">
        <v>3362</v>
      </c>
      <c r="B96" s="6" t="s">
        <v>3250</v>
      </c>
      <c r="C96" s="6" t="s">
        <v>3251</v>
      </c>
      <c r="D96" s="6"/>
      <c r="E96" s="6">
        <v>109.0</v>
      </c>
      <c r="F96" s="6" t="s">
        <v>2614</v>
      </c>
      <c r="G96" s="6" t="s">
        <v>2615</v>
      </c>
      <c r="H96" s="6" t="s">
        <v>2592</v>
      </c>
      <c r="I96" s="6">
        <v>0.0</v>
      </c>
      <c r="J96" s="6" t="s">
        <v>2568</v>
      </c>
      <c r="K96" s="152">
        <v>1300500.0</v>
      </c>
      <c r="L96" s="25"/>
      <c r="M96" s="6" t="s">
        <v>3252</v>
      </c>
      <c r="N96" s="6" t="s">
        <v>3253</v>
      </c>
      <c r="O96" s="6">
        <v>7524.0</v>
      </c>
      <c r="P96" s="6" t="s">
        <v>3254</v>
      </c>
      <c r="Q96" s="6" t="s">
        <v>2573</v>
      </c>
      <c r="S96" s="6">
        <v>0.32828</v>
      </c>
      <c r="T96" s="6" t="s">
        <v>2184</v>
      </c>
      <c r="U96" s="6" t="s">
        <v>1807</v>
      </c>
      <c r="V96" s="6" t="s">
        <v>114</v>
      </c>
      <c r="W96" s="6" t="s">
        <v>114</v>
      </c>
      <c r="X96" s="16">
        <f t="array" ref="X96">_xlfn.XLOOKUP(U96, 'CMFA-CSCDA Grants'!B:B, 'CMFA-CSCDA Grants'!A:A)
</f>
        <v>132</v>
      </c>
    </row>
    <row r="97" hidden="1">
      <c r="A97" s="151" t="s">
        <v>3363</v>
      </c>
      <c r="B97" s="6" t="s">
        <v>3256</v>
      </c>
      <c r="C97" s="6" t="s">
        <v>3257</v>
      </c>
      <c r="D97" s="6"/>
      <c r="E97" s="6">
        <v>501.0</v>
      </c>
      <c r="F97" s="6" t="s">
        <v>2565</v>
      </c>
      <c r="G97" s="6" t="s">
        <v>2566</v>
      </c>
      <c r="H97" s="6" t="s">
        <v>2567</v>
      </c>
      <c r="I97" s="6">
        <v>58.0</v>
      </c>
      <c r="J97" s="6" t="s">
        <v>2568</v>
      </c>
      <c r="K97" s="152">
        <v>1.7952E7</v>
      </c>
      <c r="L97" s="25"/>
      <c r="M97" s="6" t="s">
        <v>2802</v>
      </c>
      <c r="N97" s="6" t="s">
        <v>3258</v>
      </c>
      <c r="O97" s="6">
        <v>7940.0</v>
      </c>
      <c r="P97" s="6" t="s">
        <v>3259</v>
      </c>
      <c r="Q97" s="6" t="s">
        <v>2573</v>
      </c>
      <c r="S97" s="6">
        <v>1.52936</v>
      </c>
      <c r="T97" s="6" t="s">
        <v>583</v>
      </c>
      <c r="U97" s="6" t="s">
        <v>389</v>
      </c>
      <c r="V97" s="6" t="s">
        <v>114</v>
      </c>
      <c r="W97" s="6" t="s">
        <v>114</v>
      </c>
      <c r="X97" s="16">
        <f t="array" ref="X97">_xlfn.XLOOKUP(U97, 'CMFA-CSCDA Grants'!B:B, 'CMFA-CSCDA Grants'!A:A)
</f>
        <v>20</v>
      </c>
    </row>
    <row r="98">
      <c r="A98" s="151" t="s">
        <v>1354</v>
      </c>
      <c r="B98" s="6" t="s">
        <v>3260</v>
      </c>
      <c r="C98" s="6" t="s">
        <v>1355</v>
      </c>
      <c r="D98" s="6" t="str">
        <f>IF(ISBLANK(C98),B98,C98)</f>
        <v>800.0 RELIANT WAY AMERICAN CANYON CA 94503-3242</v>
      </c>
      <c r="E98" s="6">
        <v>218.0</v>
      </c>
      <c r="F98" s="6"/>
      <c r="G98" s="6" t="s">
        <v>3261</v>
      </c>
      <c r="H98" s="6" t="s">
        <v>3262</v>
      </c>
      <c r="I98" s="6"/>
      <c r="J98" s="6" t="s">
        <v>2694</v>
      </c>
      <c r="K98" s="152">
        <v>4.6693244E7</v>
      </c>
      <c r="L98" s="25"/>
      <c r="M98" s="6" t="s">
        <v>3263</v>
      </c>
      <c r="N98" s="6" t="s">
        <v>3265</v>
      </c>
      <c r="O98" s="6">
        <v>800.0</v>
      </c>
      <c r="P98" s="6" t="s">
        <v>3266</v>
      </c>
      <c r="Q98" s="6" t="s">
        <v>3267</v>
      </c>
      <c r="R98" s="6">
        <v>5.97</v>
      </c>
      <c r="S98" s="6">
        <v>6.36167</v>
      </c>
      <c r="T98" s="6" t="s">
        <v>1565</v>
      </c>
      <c r="U98" s="6" t="s">
        <v>1564</v>
      </c>
      <c r="V98" s="6" t="s">
        <v>251</v>
      </c>
      <c r="W98" s="6" t="s">
        <v>118</v>
      </c>
      <c r="X98" s="16">
        <f t="array" ref="X98">_xlfn.XLOOKUP(U98, 'CMFA-CSCDA Grants'!B:B, 'CMFA-CSCDA Grants'!A:A)
</f>
        <v>93</v>
      </c>
    </row>
    <row r="99" hidden="1">
      <c r="A99" s="151" t="s">
        <v>3368</v>
      </c>
      <c r="B99" s="6" t="s">
        <v>3268</v>
      </c>
      <c r="C99" s="6" t="s">
        <v>3269</v>
      </c>
      <c r="D99" s="6"/>
      <c r="E99" s="6">
        <v>500.0</v>
      </c>
      <c r="F99" s="6" t="s">
        <v>2565</v>
      </c>
      <c r="G99" s="6" t="s">
        <v>3270</v>
      </c>
      <c r="H99" s="6" t="s">
        <v>3271</v>
      </c>
      <c r="I99" s="6">
        <v>5.0</v>
      </c>
      <c r="J99" s="6" t="s">
        <v>2568</v>
      </c>
      <c r="K99" s="152">
        <v>1387200.0</v>
      </c>
      <c r="L99" s="25" t="s">
        <v>146</v>
      </c>
      <c r="M99" s="6" t="s">
        <v>3272</v>
      </c>
      <c r="N99" s="6" t="s">
        <v>3273</v>
      </c>
      <c r="O99" s="6">
        <v>801.0</v>
      </c>
      <c r="P99" s="6" t="s">
        <v>3274</v>
      </c>
      <c r="Q99" s="6" t="s">
        <v>2573</v>
      </c>
      <c r="S99" s="6">
        <v>0.14461</v>
      </c>
      <c r="T99" s="6" t="s">
        <v>476</v>
      </c>
      <c r="U99" s="6" t="s">
        <v>282</v>
      </c>
      <c r="V99" s="6" t="s">
        <v>114</v>
      </c>
      <c r="W99" s="6" t="s">
        <v>114</v>
      </c>
      <c r="X99" s="16">
        <f t="array" ref="X99">_xlfn.XLOOKUP(U99, 'CMFA-CSCDA Grants'!B:B, 'CMFA-CSCDA Grants'!A:A)
</f>
        <v>12</v>
      </c>
    </row>
    <row r="100" hidden="1">
      <c r="A100" s="151" t="s">
        <v>3370</v>
      </c>
      <c r="B100" s="6" t="s">
        <v>3268</v>
      </c>
      <c r="C100" s="6" t="s">
        <v>3372</v>
      </c>
      <c r="D100" s="6"/>
      <c r="E100" s="6"/>
      <c r="F100" s="6"/>
      <c r="G100" s="6"/>
      <c r="H100" s="6"/>
      <c r="I100" s="6"/>
      <c r="J100" s="6"/>
      <c r="K100" s="152">
        <f>sum(815000,300000)</f>
        <v>1115000</v>
      </c>
      <c r="L100" s="25" t="s">
        <v>146</v>
      </c>
      <c r="M100" s="6"/>
      <c r="N100" s="6"/>
      <c r="O100" s="6"/>
      <c r="P100" s="6"/>
      <c r="Q100" s="6"/>
      <c r="S100" s="6"/>
      <c r="T100" s="6"/>
      <c r="U100" s="6"/>
      <c r="V100" s="6" t="s">
        <v>114</v>
      </c>
      <c r="W100" s="6" t="s">
        <v>114</v>
      </c>
      <c r="X100" s="16" t="str">
        <f t="array" ref="X100">_xlfn.XLOOKUP(U100, 'CMFA-CSCDA Grants'!B:B, 'CMFA-CSCDA Grants'!A:A)
</f>
        <v>#N/A</v>
      </c>
    </row>
    <row r="101">
      <c r="A101" s="151" t="s">
        <v>1841</v>
      </c>
      <c r="B101" s="6" t="s">
        <v>3276</v>
      </c>
      <c r="C101" s="6" t="s">
        <v>1842</v>
      </c>
      <c r="D101" s="6" t="str">
        <f>IF(ISBLANK(C101),B101,C101)</f>
        <v>805 71ST AVE OAKLAND CA 94621-3386</v>
      </c>
      <c r="E101" s="6">
        <v>300.0</v>
      </c>
      <c r="F101" s="6"/>
      <c r="G101" s="6" t="s">
        <v>3277</v>
      </c>
      <c r="H101" s="6" t="s">
        <v>3278</v>
      </c>
      <c r="I101" s="6">
        <v>110.0</v>
      </c>
      <c r="J101" s="6" t="s">
        <v>2666</v>
      </c>
      <c r="K101" s="152">
        <v>0.0</v>
      </c>
      <c r="L101" s="25"/>
      <c r="M101" s="6" t="s">
        <v>3279</v>
      </c>
      <c r="N101" s="6" t="s">
        <v>3280</v>
      </c>
      <c r="O101" s="6">
        <v>805.0</v>
      </c>
      <c r="P101" s="6" t="s">
        <v>3281</v>
      </c>
      <c r="Q101" s="6" t="s">
        <v>2923</v>
      </c>
      <c r="S101" s="6">
        <v>1.36185</v>
      </c>
      <c r="T101" s="6" t="s">
        <v>2218</v>
      </c>
      <c r="U101" s="6" t="s">
        <v>2217</v>
      </c>
      <c r="V101" s="6" t="s">
        <v>210</v>
      </c>
      <c r="W101" s="6" t="s">
        <v>86</v>
      </c>
      <c r="X101" s="16">
        <f t="array" ref="X101">_xlfn.XLOOKUP(U101, 'CMFA-CSCDA Grants'!B:B, 'CMFA-CSCDA Grants'!A:A)
</f>
        <v>143</v>
      </c>
    </row>
    <row r="102" hidden="1">
      <c r="A102" s="151" t="s">
        <v>3374</v>
      </c>
      <c r="B102" s="6" t="s">
        <v>3283</v>
      </c>
      <c r="C102" s="6" t="s">
        <v>3284</v>
      </c>
      <c r="D102" s="6"/>
      <c r="E102" s="6" t="s">
        <v>1432</v>
      </c>
      <c r="F102" s="6" t="s">
        <v>2565</v>
      </c>
      <c r="G102" s="6" t="s">
        <v>3128</v>
      </c>
      <c r="H102" s="6" t="s">
        <v>2567</v>
      </c>
      <c r="I102" s="6">
        <v>49.0</v>
      </c>
      <c r="J102" s="6" t="s">
        <v>2568</v>
      </c>
      <c r="K102" s="152">
        <v>7984000.0</v>
      </c>
      <c r="L102" s="25"/>
      <c r="M102" s="6" t="s">
        <v>3285</v>
      </c>
      <c r="N102" s="6" t="s">
        <v>2649</v>
      </c>
      <c r="O102" s="6">
        <v>808.0</v>
      </c>
      <c r="P102" s="6" t="s">
        <v>3286</v>
      </c>
      <c r="Q102" s="6" t="s">
        <v>2573</v>
      </c>
      <c r="S102" s="6">
        <v>0.39591</v>
      </c>
      <c r="T102" s="6" t="s">
        <v>1804</v>
      </c>
      <c r="U102" s="6" t="s">
        <v>1431</v>
      </c>
      <c r="V102" s="6" t="s">
        <v>114</v>
      </c>
      <c r="W102" s="6" t="s">
        <v>114</v>
      </c>
      <c r="X102" s="16">
        <f t="array" ref="X102">_xlfn.XLOOKUP(U102, 'CMFA-CSCDA Grants'!B:B, 'CMFA-CSCDA Grants'!A:A)
</f>
        <v>105</v>
      </c>
    </row>
    <row r="103">
      <c r="A103" s="151" t="s">
        <v>258</v>
      </c>
      <c r="B103" s="6" t="s">
        <v>262</v>
      </c>
      <c r="C103" s="6" t="s">
        <v>262</v>
      </c>
      <c r="D103" s="6" t="str">
        <f t="shared" ref="D103:D104" si="12">IF(ISBLANK(C103),B103,C103)</f>
        <v>820 W MACARTHUR BLVD OAKLAND CA 94608</v>
      </c>
      <c r="E103" s="6">
        <v>8100.0</v>
      </c>
      <c r="F103" s="6"/>
      <c r="G103" s="6" t="s">
        <v>3288</v>
      </c>
      <c r="H103" s="6" t="s">
        <v>3289</v>
      </c>
      <c r="I103" s="6"/>
      <c r="J103" s="6" t="s">
        <v>2666</v>
      </c>
      <c r="K103" s="152">
        <v>0.0</v>
      </c>
      <c r="L103" s="25"/>
      <c r="M103" s="6" t="s">
        <v>3290</v>
      </c>
      <c r="N103" s="6" t="s">
        <v>3291</v>
      </c>
      <c r="O103" s="6">
        <v>820.0</v>
      </c>
      <c r="P103" s="6" t="s">
        <v>3292</v>
      </c>
      <c r="Q103" s="6" t="s">
        <v>2923</v>
      </c>
      <c r="S103" s="6">
        <v>0.52176</v>
      </c>
      <c r="T103" s="6" t="s">
        <v>458</v>
      </c>
      <c r="U103" s="6" t="s">
        <v>457</v>
      </c>
      <c r="V103" s="6" t="s">
        <v>210</v>
      </c>
      <c r="W103" s="6" t="s">
        <v>86</v>
      </c>
      <c r="X103" s="16">
        <f t="array" ref="X103">_xlfn.XLOOKUP(U103, 'CMFA-CSCDA Grants'!B:B, 'CMFA-CSCDA Grants'!A:A)
</f>
        <v>11</v>
      </c>
    </row>
    <row r="104" ht="18.75" customHeight="1">
      <c r="A104" s="151" t="s">
        <v>164</v>
      </c>
      <c r="B104" s="6" t="s">
        <v>3294</v>
      </c>
      <c r="C104" s="6" t="s">
        <v>166</v>
      </c>
      <c r="D104" s="6" t="str">
        <f t="shared" si="12"/>
        <v>840.0 17TH ST SAN DIEGO CA 92101-6666</v>
      </c>
      <c r="E104" s="6">
        <v>1200.0</v>
      </c>
      <c r="F104" s="6" t="s">
        <v>2874</v>
      </c>
      <c r="G104" s="6" t="s">
        <v>3295</v>
      </c>
      <c r="H104" s="6" t="s">
        <v>3296</v>
      </c>
      <c r="I104" s="6">
        <v>122.0</v>
      </c>
      <c r="J104" s="6" t="s">
        <v>2666</v>
      </c>
      <c r="K104" s="152">
        <v>9316117.0</v>
      </c>
      <c r="L104" s="25"/>
      <c r="M104" s="6" t="s">
        <v>3297</v>
      </c>
      <c r="N104" s="6" t="s">
        <v>3298</v>
      </c>
      <c r="O104" s="6">
        <v>840.0</v>
      </c>
      <c r="P104" s="6" t="s">
        <v>3299</v>
      </c>
      <c r="Q104" s="6" t="s">
        <v>2788</v>
      </c>
      <c r="R104" s="6">
        <v>0.88</v>
      </c>
      <c r="S104" s="6">
        <v>0.69039</v>
      </c>
      <c r="T104" s="6" t="s">
        <v>319</v>
      </c>
      <c r="U104" s="6" t="s">
        <v>318</v>
      </c>
      <c r="V104" s="6" t="s">
        <v>122</v>
      </c>
      <c r="W104" s="6" t="s">
        <v>122</v>
      </c>
      <c r="X104" s="16">
        <f t="array" ref="X104">_xlfn.XLOOKUP(U104, 'CMFA-CSCDA Grants'!B:B, 'CMFA-CSCDA Grants'!A:A)
</f>
        <v>5</v>
      </c>
    </row>
    <row r="105" hidden="1">
      <c r="A105" s="151" t="s">
        <v>3376</v>
      </c>
      <c r="B105" s="6" t="s">
        <v>3301</v>
      </c>
      <c r="C105" s="6" t="s">
        <v>3302</v>
      </c>
      <c r="D105" s="6"/>
      <c r="E105" s="6">
        <v>500.0</v>
      </c>
      <c r="F105" s="6" t="s">
        <v>2565</v>
      </c>
      <c r="G105" s="6" t="s">
        <v>3128</v>
      </c>
      <c r="H105" s="6" t="s">
        <v>2567</v>
      </c>
      <c r="I105" s="6">
        <v>39.0</v>
      </c>
      <c r="J105" s="6" t="s">
        <v>2568</v>
      </c>
      <c r="K105" s="152">
        <v>9710053.0</v>
      </c>
      <c r="L105" s="25"/>
      <c r="M105" s="6" t="s">
        <v>3303</v>
      </c>
      <c r="N105" s="6" t="s">
        <v>2649</v>
      </c>
      <c r="O105" s="6">
        <v>861.0</v>
      </c>
      <c r="P105" s="6" t="s">
        <v>3304</v>
      </c>
      <c r="Q105" s="6" t="s">
        <v>2573</v>
      </c>
      <c r="S105" s="6">
        <v>0.27877</v>
      </c>
      <c r="T105" s="6" t="s">
        <v>2166</v>
      </c>
      <c r="U105" s="6" t="s">
        <v>1710</v>
      </c>
      <c r="V105" s="6" t="s">
        <v>114</v>
      </c>
      <c r="W105" s="6" t="s">
        <v>114</v>
      </c>
      <c r="X105" s="16">
        <f t="array" ref="X105">_xlfn.XLOOKUP(U105, 'CMFA-CSCDA Grants'!B:B, 'CMFA-CSCDA Grants'!A:A)
</f>
        <v>122</v>
      </c>
    </row>
    <row r="106" hidden="1">
      <c r="A106" s="151" t="s">
        <v>3377</v>
      </c>
      <c r="B106" s="6" t="s">
        <v>3306</v>
      </c>
      <c r="C106" s="6" t="s">
        <v>3307</v>
      </c>
      <c r="D106" s="6"/>
      <c r="E106" s="6">
        <v>500.0</v>
      </c>
      <c r="F106" s="6" t="s">
        <v>2565</v>
      </c>
      <c r="G106" s="6" t="s">
        <v>2860</v>
      </c>
      <c r="H106" s="6" t="s">
        <v>2567</v>
      </c>
      <c r="I106" s="6">
        <v>18.0</v>
      </c>
      <c r="J106" s="6" t="s">
        <v>2568</v>
      </c>
      <c r="K106" s="152">
        <v>2950157.0</v>
      </c>
      <c r="L106" s="25"/>
      <c r="M106" s="6" t="s">
        <v>3308</v>
      </c>
      <c r="N106" s="6" t="s">
        <v>2571</v>
      </c>
      <c r="O106" s="6">
        <v>915.0</v>
      </c>
      <c r="P106" s="6" t="s">
        <v>2829</v>
      </c>
      <c r="Q106" s="6" t="s">
        <v>2573</v>
      </c>
      <c r="S106" s="6">
        <v>0.14729</v>
      </c>
      <c r="T106" s="6" t="s">
        <v>2170</v>
      </c>
      <c r="U106" s="6" t="s">
        <v>1757</v>
      </c>
      <c r="V106" s="6" t="s">
        <v>114</v>
      </c>
      <c r="W106" s="6" t="s">
        <v>114</v>
      </c>
      <c r="X106" s="16">
        <f t="array" ref="X106">_xlfn.XLOOKUP(U106, 'CMFA-CSCDA Grants'!B:B, 'CMFA-CSCDA Grants'!A:A)
</f>
        <v>124</v>
      </c>
    </row>
    <row r="107" hidden="1">
      <c r="A107" s="151" t="s">
        <v>3380</v>
      </c>
      <c r="B107" s="6" t="s">
        <v>3310</v>
      </c>
      <c r="C107" s="6" t="s">
        <v>3311</v>
      </c>
      <c r="D107" s="6"/>
      <c r="E107" s="6">
        <v>550.0</v>
      </c>
      <c r="F107" s="6" t="s">
        <v>2565</v>
      </c>
      <c r="G107" s="6" t="s">
        <v>2566</v>
      </c>
      <c r="H107" s="6" t="s">
        <v>2567</v>
      </c>
      <c r="I107" s="6">
        <v>13.0</v>
      </c>
      <c r="J107" s="6" t="s">
        <v>2568</v>
      </c>
      <c r="K107" s="152">
        <v>2756721.0</v>
      </c>
      <c r="L107" s="25"/>
      <c r="M107" s="6" t="s">
        <v>3312</v>
      </c>
      <c r="N107" s="6" t="s">
        <v>3313</v>
      </c>
      <c r="O107" s="6">
        <v>920.0</v>
      </c>
      <c r="P107" s="6" t="s">
        <v>3314</v>
      </c>
      <c r="Q107" s="6" t="s">
        <v>2573</v>
      </c>
      <c r="S107" s="6">
        <v>0.17216</v>
      </c>
      <c r="T107" s="6" t="s">
        <v>1178</v>
      </c>
      <c r="U107" s="6" t="s">
        <v>1140</v>
      </c>
      <c r="V107" s="6" t="s">
        <v>114</v>
      </c>
      <c r="W107" s="6" t="s">
        <v>114</v>
      </c>
      <c r="X107" s="16">
        <f t="array" ref="X107">_xlfn.XLOOKUP(U107, 'CMFA-CSCDA Grants'!B:B, 'CMFA-CSCDA Grants'!A:A)
</f>
        <v>66</v>
      </c>
    </row>
    <row r="108" hidden="1">
      <c r="A108" s="151" t="s">
        <v>3381</v>
      </c>
      <c r="B108" s="6" t="s">
        <v>3315</v>
      </c>
      <c r="C108" s="6" t="s">
        <v>3316</v>
      </c>
      <c r="D108" s="6"/>
      <c r="E108" s="6" t="s">
        <v>1115</v>
      </c>
      <c r="F108" s="6" t="s">
        <v>2614</v>
      </c>
      <c r="G108" s="6" t="s">
        <v>2566</v>
      </c>
      <c r="H108" s="6" t="s">
        <v>2567</v>
      </c>
      <c r="I108" s="6">
        <v>0.0</v>
      </c>
      <c r="J108" s="6" t="s">
        <v>2568</v>
      </c>
      <c r="K108" s="152">
        <v>595337.0</v>
      </c>
      <c r="L108" s="25"/>
      <c r="M108" s="6" t="s">
        <v>3317</v>
      </c>
      <c r="N108" s="6" t="s">
        <v>3072</v>
      </c>
      <c r="O108" s="6">
        <v>9300.0</v>
      </c>
      <c r="P108" s="6" t="s">
        <v>2606</v>
      </c>
      <c r="Q108" s="6" t="s">
        <v>2573</v>
      </c>
      <c r="S108" s="6">
        <v>0.20661</v>
      </c>
      <c r="T108" s="6" t="s">
        <v>1321</v>
      </c>
      <c r="U108" s="6" t="s">
        <v>1278</v>
      </c>
      <c r="V108" s="6" t="s">
        <v>114</v>
      </c>
      <c r="W108" s="6" t="s">
        <v>114</v>
      </c>
      <c r="X108" s="16">
        <f t="array" ref="X108">_xlfn.XLOOKUP(U108, 'CMFA-CSCDA Grants'!B:B, 'CMFA-CSCDA Grants'!A:A)
</f>
        <v>82</v>
      </c>
    </row>
    <row r="109" hidden="1">
      <c r="A109" s="151" t="s">
        <v>3383</v>
      </c>
      <c r="B109" s="6" t="s">
        <v>3384</v>
      </c>
      <c r="C109" s="6" t="s">
        <v>3320</v>
      </c>
      <c r="D109" s="6"/>
      <c r="E109" s="6">
        <v>400.0</v>
      </c>
      <c r="F109" s="6" t="s">
        <v>3321</v>
      </c>
      <c r="G109" s="6" t="s">
        <v>3322</v>
      </c>
      <c r="H109" s="6" t="s">
        <v>3323</v>
      </c>
      <c r="I109" s="6">
        <v>4.0</v>
      </c>
      <c r="J109" s="6" t="s">
        <v>2568</v>
      </c>
      <c r="K109" s="152">
        <v>1345000.0</v>
      </c>
      <c r="L109" s="25" t="s">
        <v>146</v>
      </c>
      <c r="M109" s="6" t="s">
        <v>3324</v>
      </c>
      <c r="N109" s="6" t="s">
        <v>3325</v>
      </c>
      <c r="O109" s="6">
        <v>9301.0</v>
      </c>
      <c r="P109" s="6" t="s">
        <v>3095</v>
      </c>
      <c r="Q109" s="6" t="s">
        <v>2573</v>
      </c>
      <c r="S109" s="6">
        <v>0.17763</v>
      </c>
      <c r="T109" s="6" t="s">
        <v>823</v>
      </c>
      <c r="U109" s="6" t="s">
        <v>551</v>
      </c>
      <c r="V109" s="6" t="s">
        <v>824</v>
      </c>
      <c r="W109" s="6" t="s">
        <v>114</v>
      </c>
      <c r="X109" s="16">
        <f t="array" ref="X109">_xlfn.XLOOKUP(U109, 'CMFA-CSCDA Grants'!B:B, 'CMFA-CSCDA Grants'!A:A)
</f>
        <v>36</v>
      </c>
    </row>
    <row r="110" hidden="1">
      <c r="A110" s="151" t="s">
        <v>3387</v>
      </c>
      <c r="B110" s="6" t="s">
        <v>3384</v>
      </c>
      <c r="C110" s="6" t="s">
        <v>563</v>
      </c>
      <c r="D110" s="6"/>
      <c r="E110" s="6"/>
      <c r="F110" s="6"/>
      <c r="G110" s="6"/>
      <c r="H110" s="6"/>
      <c r="I110" s="6"/>
      <c r="J110" s="6"/>
      <c r="K110" s="152">
        <f t="shared" ref="K110:K112" si="13">sum(1093645,232397)</f>
        <v>1326042</v>
      </c>
      <c r="L110" s="25" t="s">
        <v>146</v>
      </c>
      <c r="M110" s="6"/>
      <c r="N110" s="6"/>
      <c r="O110" s="6"/>
      <c r="P110" s="6"/>
      <c r="Q110" s="6"/>
      <c r="S110" s="6"/>
      <c r="T110" s="6" t="s">
        <v>823</v>
      </c>
      <c r="U110" s="6" t="s">
        <v>551</v>
      </c>
      <c r="V110" s="6" t="s">
        <v>824</v>
      </c>
      <c r="W110" s="6" t="s">
        <v>114</v>
      </c>
      <c r="X110" s="16">
        <f t="array" ref="X110">_xlfn.XLOOKUP(U110, 'CMFA-CSCDA Grants'!B:B, 'CMFA-CSCDA Grants'!A:A)
</f>
        <v>36</v>
      </c>
    </row>
    <row r="111" hidden="1">
      <c r="A111" s="151" t="s">
        <v>3389</v>
      </c>
      <c r="B111" s="6" t="s">
        <v>3384</v>
      </c>
      <c r="C111" s="6" t="s">
        <v>567</v>
      </c>
      <c r="D111" s="6"/>
      <c r="E111" s="6"/>
      <c r="F111" s="6"/>
      <c r="G111" s="6"/>
      <c r="H111" s="6"/>
      <c r="I111" s="6"/>
      <c r="J111" s="6"/>
      <c r="K111" s="152">
        <f t="shared" si="13"/>
        <v>1326042</v>
      </c>
      <c r="L111" s="25" t="s">
        <v>146</v>
      </c>
      <c r="M111" s="6"/>
      <c r="N111" s="6"/>
      <c r="O111" s="6"/>
      <c r="P111" s="6"/>
      <c r="Q111" s="6"/>
      <c r="S111" s="6"/>
      <c r="T111" s="6" t="s">
        <v>823</v>
      </c>
      <c r="U111" s="6" t="s">
        <v>551</v>
      </c>
      <c r="V111" s="6" t="s">
        <v>824</v>
      </c>
      <c r="W111" s="6" t="s">
        <v>114</v>
      </c>
      <c r="X111" s="16">
        <f t="array" ref="X111">_xlfn.XLOOKUP(U111, 'CMFA-CSCDA Grants'!B:B, 'CMFA-CSCDA Grants'!A:A)
</f>
        <v>36</v>
      </c>
    </row>
    <row r="112" hidden="1">
      <c r="A112" s="151" t="s">
        <v>3391</v>
      </c>
      <c r="B112" s="6" t="s">
        <v>3384</v>
      </c>
      <c r="C112" s="6" t="s">
        <v>577</v>
      </c>
      <c r="D112" s="6"/>
      <c r="E112" s="6"/>
      <c r="F112" s="6"/>
      <c r="G112" s="6"/>
      <c r="H112" s="6"/>
      <c r="I112" s="6"/>
      <c r="J112" s="6"/>
      <c r="K112" s="152">
        <f t="shared" si="13"/>
        <v>1326042</v>
      </c>
      <c r="L112" s="25" t="s">
        <v>146</v>
      </c>
      <c r="M112" s="6"/>
      <c r="N112" s="6"/>
      <c r="O112" s="6"/>
      <c r="P112" s="6"/>
      <c r="Q112" s="6"/>
      <c r="S112" s="6"/>
      <c r="T112" s="6" t="s">
        <v>823</v>
      </c>
      <c r="U112" s="6" t="s">
        <v>551</v>
      </c>
      <c r="V112" s="6" t="s">
        <v>824</v>
      </c>
      <c r="W112" s="6" t="s">
        <v>114</v>
      </c>
      <c r="X112" s="16">
        <f t="array" ref="X112">_xlfn.XLOOKUP(U112, 'CMFA-CSCDA Grants'!B:B, 'CMFA-CSCDA Grants'!A:A)
</f>
        <v>36</v>
      </c>
    </row>
    <row r="113" hidden="1">
      <c r="A113" s="151" t="s">
        <v>3392</v>
      </c>
      <c r="B113" s="6" t="s">
        <v>3384</v>
      </c>
      <c r="C113" s="6" t="s">
        <v>581</v>
      </c>
      <c r="D113" s="6"/>
      <c r="E113" s="6"/>
      <c r="F113" s="6"/>
      <c r="G113" s="6"/>
      <c r="H113" s="6"/>
      <c r="I113" s="6"/>
      <c r="J113" s="6"/>
      <c r="K113" s="152">
        <f>sum(765550,546820)</f>
        <v>1312370</v>
      </c>
      <c r="L113" s="25" t="s">
        <v>146</v>
      </c>
      <c r="M113" s="6"/>
      <c r="N113" s="6"/>
      <c r="O113" s="6"/>
      <c r="P113" s="6"/>
      <c r="Q113" s="6"/>
      <c r="S113" s="6"/>
      <c r="T113" s="6" t="s">
        <v>823</v>
      </c>
      <c r="U113" s="6" t="s">
        <v>551</v>
      </c>
      <c r="V113" s="6" t="s">
        <v>824</v>
      </c>
      <c r="W113" s="6" t="s">
        <v>114</v>
      </c>
      <c r="X113" s="16">
        <f t="array" ref="X113">_xlfn.XLOOKUP(U113, 'CMFA-CSCDA Grants'!B:B, 'CMFA-CSCDA Grants'!A:A)
</f>
        <v>36</v>
      </c>
    </row>
    <row r="114" hidden="1">
      <c r="A114" s="151" t="s">
        <v>3395</v>
      </c>
      <c r="B114" s="6" t="s">
        <v>3384</v>
      </c>
      <c r="C114" s="6" t="s">
        <v>589</v>
      </c>
      <c r="D114" s="6"/>
      <c r="E114" s="6"/>
      <c r="F114" s="6"/>
      <c r="G114" s="6"/>
      <c r="H114" s="6"/>
      <c r="I114" s="6"/>
      <c r="J114" s="6"/>
      <c r="K114" s="152">
        <f>sum(765550,574162)</f>
        <v>1339712</v>
      </c>
      <c r="L114" s="25" t="s">
        <v>146</v>
      </c>
      <c r="M114" s="6"/>
      <c r="N114" s="6"/>
      <c r="O114" s="6"/>
      <c r="P114" s="6"/>
      <c r="Q114" s="6"/>
      <c r="S114" s="6"/>
      <c r="T114" s="6" t="s">
        <v>823</v>
      </c>
      <c r="U114" s="6" t="s">
        <v>551</v>
      </c>
      <c r="V114" s="6" t="s">
        <v>824</v>
      </c>
      <c r="W114" s="6" t="s">
        <v>114</v>
      </c>
      <c r="X114" s="16">
        <f t="array" ref="X114">_xlfn.XLOOKUP(U114, 'CMFA-CSCDA Grants'!B:B, 'CMFA-CSCDA Grants'!A:A)
</f>
        <v>36</v>
      </c>
    </row>
    <row r="115" hidden="1">
      <c r="A115" s="151" t="s">
        <v>3398</v>
      </c>
      <c r="B115" s="6" t="s">
        <v>3384</v>
      </c>
      <c r="C115" s="6" t="s">
        <v>594</v>
      </c>
      <c r="D115" s="6"/>
      <c r="E115" s="6"/>
      <c r="F115" s="6"/>
      <c r="G115" s="6"/>
      <c r="H115" s="6"/>
      <c r="I115" s="6"/>
      <c r="J115" s="6"/>
      <c r="K115" s="152">
        <f t="shared" ref="K115:K116" si="14">sum(1093645,240600)</f>
        <v>1334245</v>
      </c>
      <c r="L115" s="25" t="s">
        <v>146</v>
      </c>
      <c r="M115" s="6"/>
      <c r="N115" s="6"/>
      <c r="O115" s="6"/>
      <c r="P115" s="6"/>
      <c r="Q115" s="6"/>
      <c r="S115" s="6"/>
      <c r="T115" s="6" t="s">
        <v>823</v>
      </c>
      <c r="U115" s="6" t="s">
        <v>551</v>
      </c>
      <c r="V115" s="6" t="s">
        <v>824</v>
      </c>
      <c r="W115" s="6" t="s">
        <v>114</v>
      </c>
      <c r="X115" s="16">
        <f t="array" ref="X115">_xlfn.XLOOKUP(U115, 'CMFA-CSCDA Grants'!B:B, 'CMFA-CSCDA Grants'!A:A)
</f>
        <v>36</v>
      </c>
    </row>
    <row r="116" hidden="1">
      <c r="A116" s="151" t="s">
        <v>3400</v>
      </c>
      <c r="B116" s="6" t="s">
        <v>3384</v>
      </c>
      <c r="C116" s="6" t="s">
        <v>602</v>
      </c>
      <c r="D116" s="6"/>
      <c r="E116" s="6"/>
      <c r="F116" s="6"/>
      <c r="G116" s="6"/>
      <c r="H116" s="6"/>
      <c r="I116" s="6"/>
      <c r="J116" s="6"/>
      <c r="K116" s="152">
        <f t="shared" si="14"/>
        <v>1334245</v>
      </c>
      <c r="L116" s="25" t="s">
        <v>146</v>
      </c>
      <c r="M116" s="6"/>
      <c r="N116" s="6"/>
      <c r="O116" s="6"/>
      <c r="P116" s="6"/>
      <c r="Q116" s="6"/>
      <c r="S116" s="6"/>
      <c r="T116" s="6" t="s">
        <v>823</v>
      </c>
      <c r="U116" s="6" t="s">
        <v>551</v>
      </c>
      <c r="V116" s="6" t="s">
        <v>824</v>
      </c>
      <c r="W116" s="6" t="s">
        <v>114</v>
      </c>
      <c r="X116" s="16">
        <f t="array" ref="X116">_xlfn.XLOOKUP(U116, 'CMFA-CSCDA Grants'!B:B, 'CMFA-CSCDA Grants'!A:A)
</f>
        <v>36</v>
      </c>
    </row>
    <row r="117" hidden="1">
      <c r="A117" s="151" t="s">
        <v>3401</v>
      </c>
      <c r="B117" s="6" t="s">
        <v>3384</v>
      </c>
      <c r="C117" s="6" t="s">
        <v>631</v>
      </c>
      <c r="D117" s="6"/>
      <c r="E117" s="6"/>
      <c r="F117" s="6"/>
      <c r="G117" s="6"/>
      <c r="H117" s="6"/>
      <c r="I117" s="6"/>
      <c r="J117" s="6"/>
      <c r="K117" s="152">
        <f t="shared" ref="K117:K118" si="15">sum(1093645,218727)</f>
        <v>1312372</v>
      </c>
      <c r="L117" s="25" t="s">
        <v>146</v>
      </c>
      <c r="M117" s="6"/>
      <c r="N117" s="6"/>
      <c r="O117" s="6"/>
      <c r="P117" s="6"/>
      <c r="Q117" s="6"/>
      <c r="S117" s="6"/>
      <c r="T117" s="6" t="s">
        <v>823</v>
      </c>
      <c r="U117" s="6" t="s">
        <v>551</v>
      </c>
      <c r="V117" s="6" t="s">
        <v>824</v>
      </c>
      <c r="W117" s="6" t="s">
        <v>114</v>
      </c>
      <c r="X117" s="16">
        <f t="array" ref="X117">_xlfn.XLOOKUP(U117, 'CMFA-CSCDA Grants'!B:B, 'CMFA-CSCDA Grants'!A:A)
</f>
        <v>36</v>
      </c>
    </row>
    <row r="118" hidden="1">
      <c r="A118" s="151" t="s">
        <v>3402</v>
      </c>
      <c r="B118" s="6" t="s">
        <v>3384</v>
      </c>
      <c r="C118" s="6" t="s">
        <v>637</v>
      </c>
      <c r="D118" s="6"/>
      <c r="E118" s="6"/>
      <c r="F118" s="6"/>
      <c r="G118" s="6"/>
      <c r="H118" s="6"/>
      <c r="I118" s="6"/>
      <c r="J118" s="6"/>
      <c r="K118" s="152">
        <f t="shared" si="15"/>
        <v>1312372</v>
      </c>
      <c r="L118" s="25" t="s">
        <v>146</v>
      </c>
      <c r="M118" s="6"/>
      <c r="N118" s="6"/>
      <c r="O118" s="6"/>
      <c r="P118" s="6"/>
      <c r="Q118" s="6"/>
      <c r="S118" s="6"/>
      <c r="T118" s="6" t="s">
        <v>823</v>
      </c>
      <c r="U118" s="6" t="s">
        <v>551</v>
      </c>
      <c r="V118" s="6" t="s">
        <v>824</v>
      </c>
      <c r="W118" s="6" t="s">
        <v>114</v>
      </c>
      <c r="X118" s="16">
        <f t="array" ref="X118">_xlfn.XLOOKUP(U118, 'CMFA-CSCDA Grants'!B:B, 'CMFA-CSCDA Grants'!A:A)
</f>
        <v>36</v>
      </c>
    </row>
    <row r="119" hidden="1">
      <c r="A119" s="151" t="s">
        <v>3404</v>
      </c>
      <c r="B119" s="6" t="s">
        <v>3384</v>
      </c>
      <c r="C119" s="6" t="s">
        <v>644</v>
      </c>
      <c r="D119" s="6"/>
      <c r="E119" s="6"/>
      <c r="F119" s="6"/>
      <c r="G119" s="6"/>
      <c r="H119" s="6"/>
      <c r="I119" s="6"/>
      <c r="J119" s="6"/>
      <c r="K119" s="152">
        <f>sum(1093645,240600)</f>
        <v>1334245</v>
      </c>
      <c r="L119" s="25" t="s">
        <v>146</v>
      </c>
      <c r="M119" s="6"/>
      <c r="N119" s="6"/>
      <c r="O119" s="6"/>
      <c r="P119" s="6"/>
      <c r="Q119" s="6"/>
      <c r="S119" s="6"/>
      <c r="T119" s="6" t="s">
        <v>823</v>
      </c>
      <c r="U119" s="6" t="s">
        <v>551</v>
      </c>
      <c r="V119" s="6" t="s">
        <v>824</v>
      </c>
      <c r="W119" s="6" t="s">
        <v>114</v>
      </c>
      <c r="X119" s="16">
        <f t="array" ref="X119">_xlfn.XLOOKUP(U119, 'CMFA-CSCDA Grants'!B:B, 'CMFA-CSCDA Grants'!A:A)
</f>
        <v>36</v>
      </c>
    </row>
    <row r="120" hidden="1">
      <c r="A120" s="151" t="s">
        <v>3406</v>
      </c>
      <c r="B120" s="6" t="s">
        <v>3384</v>
      </c>
      <c r="C120" s="6" t="s">
        <v>648</v>
      </c>
      <c r="D120" s="6"/>
      <c r="E120" s="6"/>
      <c r="F120" s="6"/>
      <c r="G120" s="6"/>
      <c r="H120" s="6"/>
      <c r="I120" s="6"/>
      <c r="J120" s="6"/>
      <c r="K120" s="152">
        <f>sum(1093645,235132)</f>
        <v>1328777</v>
      </c>
      <c r="L120" s="25" t="s">
        <v>146</v>
      </c>
      <c r="M120" s="6"/>
      <c r="N120" s="6"/>
      <c r="O120" s="6"/>
      <c r="P120" s="6"/>
      <c r="Q120" s="6"/>
      <c r="S120" s="6"/>
      <c r="T120" s="6" t="s">
        <v>823</v>
      </c>
      <c r="U120" s="6" t="s">
        <v>551</v>
      </c>
      <c r="V120" s="6" t="s">
        <v>824</v>
      </c>
      <c r="W120" s="6" t="s">
        <v>114</v>
      </c>
      <c r="X120" s="16">
        <f t="array" ref="X120">_xlfn.XLOOKUP(U120, 'CMFA-CSCDA Grants'!B:B, 'CMFA-CSCDA Grants'!A:A)
</f>
        <v>36</v>
      </c>
    </row>
    <row r="121" hidden="1">
      <c r="A121" s="151" t="s">
        <v>3407</v>
      </c>
      <c r="B121" s="6" t="s">
        <v>3384</v>
      </c>
      <c r="C121" s="6" t="s">
        <v>656</v>
      </c>
      <c r="D121" s="6"/>
      <c r="E121" s="6"/>
      <c r="F121" s="6"/>
      <c r="G121" s="6"/>
      <c r="H121" s="6"/>
      <c r="I121" s="6"/>
      <c r="J121" s="6"/>
      <c r="K121" s="152">
        <f>sum(928504,398085)</f>
        <v>1326589</v>
      </c>
      <c r="L121" s="25" t="s">
        <v>146</v>
      </c>
      <c r="M121" s="6"/>
      <c r="N121" s="6"/>
      <c r="O121" s="6"/>
      <c r="P121" s="6"/>
      <c r="Q121" s="6"/>
      <c r="S121" s="6"/>
      <c r="T121" s="6" t="s">
        <v>823</v>
      </c>
      <c r="U121" s="6" t="s">
        <v>551</v>
      </c>
      <c r="V121" s="6" t="s">
        <v>824</v>
      </c>
      <c r="W121" s="6" t="s">
        <v>114</v>
      </c>
      <c r="X121" s="16">
        <f t="array" ref="X121">_xlfn.XLOOKUP(U121, 'CMFA-CSCDA Grants'!B:B, 'CMFA-CSCDA Grants'!A:A)
</f>
        <v>36</v>
      </c>
    </row>
    <row r="122" hidden="1">
      <c r="A122" s="151" t="s">
        <v>3409</v>
      </c>
      <c r="B122" s="6" t="s">
        <v>3384</v>
      </c>
      <c r="C122" s="6" t="s">
        <v>660</v>
      </c>
      <c r="D122" s="6"/>
      <c r="E122" s="6"/>
      <c r="F122" s="6"/>
      <c r="G122" s="6"/>
      <c r="H122" s="6"/>
      <c r="I122" s="6"/>
      <c r="J122" s="6"/>
      <c r="K122" s="152">
        <f t="shared" ref="K122:K123" si="16">sum(928175,397867)</f>
        <v>1326042</v>
      </c>
      <c r="L122" s="25" t="s">
        <v>146</v>
      </c>
      <c r="M122" s="6"/>
      <c r="N122" s="6"/>
      <c r="O122" s="6"/>
      <c r="P122" s="6"/>
      <c r="Q122" s="6"/>
      <c r="S122" s="6"/>
      <c r="T122" s="6" t="s">
        <v>823</v>
      </c>
      <c r="U122" s="6" t="s">
        <v>551</v>
      </c>
      <c r="V122" s="6" t="s">
        <v>824</v>
      </c>
      <c r="W122" s="6" t="s">
        <v>114</v>
      </c>
      <c r="X122" s="16">
        <f t="array" ref="X122">_xlfn.XLOOKUP(U122, 'CMFA-CSCDA Grants'!B:B, 'CMFA-CSCDA Grants'!A:A)
</f>
        <v>36</v>
      </c>
    </row>
    <row r="123" hidden="1">
      <c r="A123" s="151" t="s">
        <v>3410</v>
      </c>
      <c r="B123" s="6" t="s">
        <v>3384</v>
      </c>
      <c r="C123" s="6" t="s">
        <v>666</v>
      </c>
      <c r="D123" s="6"/>
      <c r="E123" s="6"/>
      <c r="F123" s="6"/>
      <c r="G123" s="6"/>
      <c r="H123" s="6"/>
      <c r="I123" s="6"/>
      <c r="J123" s="6"/>
      <c r="K123" s="152">
        <f t="shared" si="16"/>
        <v>1326042</v>
      </c>
      <c r="L123" s="25" t="s">
        <v>146</v>
      </c>
      <c r="M123" s="6"/>
      <c r="N123" s="6"/>
      <c r="O123" s="6"/>
      <c r="P123" s="6"/>
      <c r="Q123" s="6"/>
      <c r="S123" s="6"/>
      <c r="T123" s="6" t="s">
        <v>823</v>
      </c>
      <c r="U123" s="6" t="s">
        <v>551</v>
      </c>
      <c r="V123" s="6" t="s">
        <v>824</v>
      </c>
      <c r="W123" s="6" t="s">
        <v>114</v>
      </c>
      <c r="X123" s="16">
        <f t="array" ref="X123">_xlfn.XLOOKUP(U123, 'CMFA-CSCDA Grants'!B:B, 'CMFA-CSCDA Grants'!A:A)
</f>
        <v>36</v>
      </c>
    </row>
    <row r="124" hidden="1">
      <c r="A124" s="151" t="s">
        <v>3412</v>
      </c>
      <c r="B124" s="6" t="s">
        <v>3384</v>
      </c>
      <c r="C124" s="6" t="s">
        <v>672</v>
      </c>
      <c r="D124" s="6"/>
      <c r="E124" s="6"/>
      <c r="F124" s="6"/>
      <c r="G124" s="6"/>
      <c r="H124" s="6"/>
      <c r="I124" s="6"/>
      <c r="J124" s="6"/>
      <c r="K124" s="152">
        <f t="shared" ref="K124:K125" si="17">sum(927409,398085)</f>
        <v>1325494</v>
      </c>
      <c r="L124" s="25" t="s">
        <v>146</v>
      </c>
      <c r="M124" s="6"/>
      <c r="N124" s="6"/>
      <c r="O124" s="6"/>
      <c r="P124" s="6"/>
      <c r="Q124" s="6"/>
      <c r="S124" s="6"/>
      <c r="T124" s="6" t="s">
        <v>823</v>
      </c>
      <c r="U124" s="6" t="s">
        <v>551</v>
      </c>
      <c r="V124" s="6" t="s">
        <v>824</v>
      </c>
      <c r="W124" s="6" t="s">
        <v>114</v>
      </c>
      <c r="X124" s="16">
        <f t="array" ref="X124">_xlfn.XLOOKUP(U124, 'CMFA-CSCDA Grants'!B:B, 'CMFA-CSCDA Grants'!A:A)
</f>
        <v>36</v>
      </c>
    </row>
    <row r="125" hidden="1">
      <c r="A125" s="151" t="s">
        <v>3413</v>
      </c>
      <c r="B125" s="6" t="s">
        <v>3384</v>
      </c>
      <c r="C125" s="6" t="s">
        <v>676</v>
      </c>
      <c r="D125" s="6"/>
      <c r="E125" s="6"/>
      <c r="F125" s="6"/>
      <c r="G125" s="6"/>
      <c r="H125" s="6"/>
      <c r="I125" s="6"/>
      <c r="J125" s="6"/>
      <c r="K125" s="152">
        <f t="shared" si="17"/>
        <v>1325494</v>
      </c>
      <c r="L125" s="25" t="s">
        <v>146</v>
      </c>
      <c r="M125" s="6"/>
      <c r="N125" s="6"/>
      <c r="O125" s="6"/>
      <c r="P125" s="6"/>
      <c r="Q125" s="6"/>
      <c r="S125" s="6"/>
      <c r="T125" s="6" t="s">
        <v>823</v>
      </c>
      <c r="U125" s="6" t="s">
        <v>551</v>
      </c>
      <c r="V125" s="6" t="s">
        <v>824</v>
      </c>
      <c r="W125" s="6" t="s">
        <v>114</v>
      </c>
      <c r="X125" s="16">
        <f t="array" ref="X125">_xlfn.XLOOKUP(U125, 'CMFA-CSCDA Grants'!B:B, 'CMFA-CSCDA Grants'!A:A)
</f>
        <v>36</v>
      </c>
    </row>
    <row r="126" hidden="1">
      <c r="A126" s="151" t="s">
        <v>3417</v>
      </c>
      <c r="B126" s="6" t="s">
        <v>3384</v>
      </c>
      <c r="C126" s="6" t="s">
        <v>685</v>
      </c>
      <c r="D126" s="6"/>
      <c r="E126" s="6"/>
      <c r="F126" s="6"/>
      <c r="G126" s="6"/>
      <c r="H126" s="6"/>
      <c r="I126" s="6"/>
      <c r="J126" s="6"/>
      <c r="K126" s="152">
        <f>sum(928504,398085)</f>
        <v>1326589</v>
      </c>
      <c r="L126" s="25" t="s">
        <v>146</v>
      </c>
      <c r="M126" s="6"/>
      <c r="N126" s="6"/>
      <c r="O126" s="6"/>
      <c r="P126" s="6"/>
      <c r="Q126" s="6"/>
      <c r="S126" s="6"/>
      <c r="T126" s="6" t="s">
        <v>823</v>
      </c>
      <c r="U126" s="6" t="s">
        <v>551</v>
      </c>
      <c r="V126" s="6" t="s">
        <v>824</v>
      </c>
      <c r="W126" s="6" t="s">
        <v>114</v>
      </c>
      <c r="X126" s="16">
        <f t="array" ref="X126">_xlfn.XLOOKUP(U126, 'CMFA-CSCDA Grants'!B:B, 'CMFA-CSCDA Grants'!A:A)
</f>
        <v>36</v>
      </c>
    </row>
    <row r="127" hidden="1">
      <c r="A127" s="151" t="s">
        <v>688</v>
      </c>
      <c r="B127" s="6" t="s">
        <v>3384</v>
      </c>
      <c r="C127" s="6" t="s">
        <v>689</v>
      </c>
      <c r="D127" s="6"/>
      <c r="E127" s="6"/>
      <c r="F127" s="6"/>
      <c r="G127" s="6"/>
      <c r="H127" s="6"/>
      <c r="I127" s="6"/>
      <c r="J127" s="6"/>
      <c r="K127" s="152">
        <f t="shared" ref="K127:K128" si="18">sum(927957,397539)</f>
        <v>1325496</v>
      </c>
      <c r="L127" s="25" t="s">
        <v>146</v>
      </c>
      <c r="M127" s="6"/>
      <c r="N127" s="6"/>
      <c r="O127" s="6"/>
      <c r="P127" s="6"/>
      <c r="Q127" s="6"/>
      <c r="S127" s="6"/>
      <c r="T127" s="6" t="s">
        <v>823</v>
      </c>
      <c r="U127" s="6" t="s">
        <v>551</v>
      </c>
      <c r="V127" s="6" t="s">
        <v>824</v>
      </c>
      <c r="W127" s="6" t="s">
        <v>114</v>
      </c>
      <c r="X127" s="16">
        <f t="array" ref="X127">_xlfn.XLOOKUP(U127, 'CMFA-CSCDA Grants'!B:B, 'CMFA-CSCDA Grants'!A:A)
</f>
        <v>36</v>
      </c>
    </row>
    <row r="128" hidden="1">
      <c r="A128" s="151" t="s">
        <v>697</v>
      </c>
      <c r="B128" s="6" t="s">
        <v>3384</v>
      </c>
      <c r="C128" s="6" t="s">
        <v>698</v>
      </c>
      <c r="D128" s="6"/>
      <c r="E128" s="6"/>
      <c r="F128" s="6"/>
      <c r="G128" s="6"/>
      <c r="H128" s="6"/>
      <c r="I128" s="6"/>
      <c r="J128" s="6"/>
      <c r="K128" s="152">
        <f t="shared" si="18"/>
        <v>1325496</v>
      </c>
      <c r="L128" s="25" t="s">
        <v>146</v>
      </c>
      <c r="M128" s="6"/>
      <c r="N128" s="6"/>
      <c r="O128" s="6"/>
      <c r="P128" s="6"/>
      <c r="Q128" s="6"/>
      <c r="S128" s="6"/>
      <c r="T128" s="6" t="s">
        <v>823</v>
      </c>
      <c r="U128" s="6" t="s">
        <v>551</v>
      </c>
      <c r="V128" s="6" t="s">
        <v>824</v>
      </c>
      <c r="W128" s="6" t="s">
        <v>114</v>
      </c>
      <c r="X128" s="16">
        <f t="array" ref="X128">_xlfn.XLOOKUP(U128, 'CMFA-CSCDA Grants'!B:B, 'CMFA-CSCDA Grants'!A:A)
</f>
        <v>36</v>
      </c>
    </row>
    <row r="129" hidden="1">
      <c r="A129" s="151" t="s">
        <v>3418</v>
      </c>
      <c r="B129" s="6" t="s">
        <v>3327</v>
      </c>
      <c r="C129" s="6" t="s">
        <v>3328</v>
      </c>
      <c r="D129" s="6"/>
      <c r="E129" s="6">
        <v>500.0</v>
      </c>
      <c r="F129" s="6" t="s">
        <v>2565</v>
      </c>
      <c r="G129" s="6" t="s">
        <v>2860</v>
      </c>
      <c r="H129" s="6" t="s">
        <v>2567</v>
      </c>
      <c r="I129" s="6">
        <v>24.0</v>
      </c>
      <c r="J129" s="6" t="s">
        <v>2568</v>
      </c>
      <c r="K129" s="152">
        <v>4338468.0</v>
      </c>
      <c r="L129" s="25"/>
      <c r="M129" s="6" t="s">
        <v>3329</v>
      </c>
      <c r="N129" s="6" t="s">
        <v>2649</v>
      </c>
      <c r="O129" s="6">
        <v>941.0</v>
      </c>
      <c r="P129" s="6" t="s">
        <v>2829</v>
      </c>
      <c r="Q129" s="6" t="s">
        <v>2573</v>
      </c>
      <c r="S129" s="6">
        <v>0.15319</v>
      </c>
      <c r="T129" s="6" t="s">
        <v>1848</v>
      </c>
      <c r="U129" s="6" t="s">
        <v>1471</v>
      </c>
      <c r="V129" s="6" t="s">
        <v>114</v>
      </c>
      <c r="W129" s="6" t="s">
        <v>114</v>
      </c>
      <c r="X129" s="16">
        <f t="array" ref="X129">_xlfn.XLOOKUP(U129, 'CMFA-CSCDA Grants'!B:B, 'CMFA-CSCDA Grants'!A:A)
</f>
        <v>110</v>
      </c>
    </row>
    <row r="130" hidden="1">
      <c r="A130" s="151" t="s">
        <v>3420</v>
      </c>
      <c r="B130" s="6" t="s">
        <v>3331</v>
      </c>
      <c r="C130" s="6" t="s">
        <v>3332</v>
      </c>
      <c r="D130" s="6"/>
      <c r="E130" s="6">
        <v>500.0</v>
      </c>
      <c r="F130" s="6" t="s">
        <v>2565</v>
      </c>
      <c r="G130" s="6" t="s">
        <v>2566</v>
      </c>
      <c r="H130" s="6" t="s">
        <v>2567</v>
      </c>
      <c r="I130" s="6">
        <v>0.0</v>
      </c>
      <c r="J130" s="6" t="s">
        <v>2568</v>
      </c>
      <c r="K130" s="152">
        <v>1352393.0</v>
      </c>
      <c r="L130" s="25"/>
      <c r="M130" s="6" t="s">
        <v>3333</v>
      </c>
      <c r="N130" s="6" t="s">
        <v>3072</v>
      </c>
      <c r="O130" s="6">
        <v>9515.0</v>
      </c>
      <c r="P130" s="6" t="s">
        <v>2606</v>
      </c>
      <c r="Q130" s="6" t="s">
        <v>2573</v>
      </c>
      <c r="S130" s="6">
        <v>0.22116</v>
      </c>
      <c r="T130" s="6" t="s">
        <v>1344</v>
      </c>
      <c r="U130" s="6" t="s">
        <v>1295</v>
      </c>
      <c r="V130" s="6" t="s">
        <v>114</v>
      </c>
      <c r="W130" s="6" t="s">
        <v>114</v>
      </c>
      <c r="X130" s="16">
        <f t="array" ref="X130">_xlfn.XLOOKUP(U130, 'CMFA-CSCDA Grants'!B:B, 'CMFA-CSCDA Grants'!A:A)
</f>
        <v>84</v>
      </c>
    </row>
    <row r="131" hidden="1">
      <c r="A131" s="151" t="s">
        <v>3422</v>
      </c>
      <c r="B131" s="6" t="s">
        <v>3334</v>
      </c>
      <c r="C131" s="6" t="s">
        <v>3335</v>
      </c>
      <c r="D131" s="6"/>
      <c r="E131" s="6">
        <v>500.0</v>
      </c>
      <c r="F131" s="6" t="s">
        <v>2565</v>
      </c>
      <c r="G131" s="6" t="s">
        <v>2860</v>
      </c>
      <c r="H131" s="6" t="s">
        <v>2567</v>
      </c>
      <c r="I131" s="6">
        <v>73.0</v>
      </c>
      <c r="J131" s="6" t="s">
        <v>2568</v>
      </c>
      <c r="K131" s="152">
        <v>1.420692E7</v>
      </c>
      <c r="L131" s="25"/>
      <c r="M131" s="6" t="s">
        <v>3336</v>
      </c>
      <c r="N131" s="6" t="s">
        <v>2729</v>
      </c>
      <c r="O131" s="6">
        <v>960.0</v>
      </c>
      <c r="P131" s="6" t="s">
        <v>2863</v>
      </c>
      <c r="Q131" s="6" t="s">
        <v>2573</v>
      </c>
      <c r="S131" s="6">
        <v>0.56148</v>
      </c>
      <c r="T131" s="6" t="s">
        <v>1994</v>
      </c>
      <c r="U131" s="6" t="s">
        <v>1584</v>
      </c>
      <c r="V131" s="6" t="s">
        <v>114</v>
      </c>
      <c r="W131" s="6" t="s">
        <v>114</v>
      </c>
      <c r="X131" s="16">
        <f t="array" ref="X131">_xlfn.XLOOKUP(U131, 'CMFA-CSCDA Grants'!B:B, 'CMFA-CSCDA Grants'!A:A)
</f>
        <v>116</v>
      </c>
    </row>
    <row r="132" hidden="1">
      <c r="A132" s="151" t="s">
        <v>3424</v>
      </c>
      <c r="B132" s="6" t="s">
        <v>3337</v>
      </c>
      <c r="C132" s="6" t="s">
        <v>3338</v>
      </c>
      <c r="D132" s="6"/>
      <c r="E132" s="6">
        <v>500.0</v>
      </c>
      <c r="F132" s="6" t="s">
        <v>2565</v>
      </c>
      <c r="G132" s="6" t="s">
        <v>2566</v>
      </c>
      <c r="H132" s="6" t="s">
        <v>2567</v>
      </c>
      <c r="I132" s="6">
        <v>38.0</v>
      </c>
      <c r="J132" s="6" t="s">
        <v>2568</v>
      </c>
      <c r="K132" s="152">
        <v>7216214.0</v>
      </c>
      <c r="L132" s="25"/>
      <c r="M132" s="6" t="s">
        <v>3339</v>
      </c>
      <c r="N132" s="6" t="s">
        <v>2571</v>
      </c>
      <c r="O132" s="6">
        <v>974.0</v>
      </c>
      <c r="P132" s="6" t="s">
        <v>3314</v>
      </c>
      <c r="Q132" s="6" t="s">
        <v>2573</v>
      </c>
      <c r="S132" s="6">
        <v>0.15762</v>
      </c>
      <c r="T132" s="6" t="s">
        <v>1832</v>
      </c>
      <c r="U132" s="6" t="s">
        <v>1454</v>
      </c>
      <c r="V132" s="6" t="s">
        <v>114</v>
      </c>
      <c r="W132" s="6" t="s">
        <v>114</v>
      </c>
      <c r="X132" s="16">
        <f t="array" ref="X132">_xlfn.XLOOKUP(U132, 'CMFA-CSCDA Grants'!B:B, 'CMFA-CSCDA Grants'!A:A)
</f>
        <v>108</v>
      </c>
    </row>
    <row r="133" hidden="1">
      <c r="A133" s="151" t="s">
        <v>3425</v>
      </c>
      <c r="B133" s="6" t="s">
        <v>3341</v>
      </c>
      <c r="C133" s="6" t="s">
        <v>3342</v>
      </c>
      <c r="D133" s="6"/>
      <c r="E133" s="6">
        <v>500.0</v>
      </c>
      <c r="F133" s="6" t="s">
        <v>2565</v>
      </c>
      <c r="G133" s="6" t="s">
        <v>2860</v>
      </c>
      <c r="H133" s="6" t="s">
        <v>2567</v>
      </c>
      <c r="I133" s="6">
        <v>20.0</v>
      </c>
      <c r="J133" s="6" t="s">
        <v>2568</v>
      </c>
      <c r="K133" s="152">
        <v>3420921.0</v>
      </c>
      <c r="L133" s="25" t="s">
        <v>146</v>
      </c>
      <c r="M133" s="6" t="s">
        <v>3343</v>
      </c>
      <c r="N133" s="6" t="s">
        <v>2571</v>
      </c>
      <c r="O133" s="6">
        <v>975.0</v>
      </c>
      <c r="P133" s="6" t="s">
        <v>2863</v>
      </c>
      <c r="Q133" s="6" t="s">
        <v>2573</v>
      </c>
      <c r="S133" s="6">
        <v>0.15572</v>
      </c>
      <c r="T133" s="6" t="s">
        <v>1963</v>
      </c>
      <c r="U133" s="6" t="s">
        <v>1562</v>
      </c>
      <c r="V133" s="6" t="s">
        <v>114</v>
      </c>
      <c r="W133" s="6" t="s">
        <v>114</v>
      </c>
      <c r="X133" s="16">
        <f t="array" ref="X133">_xlfn.XLOOKUP(U133, 'CMFA-CSCDA Grants'!B:B, 'CMFA-CSCDA Grants'!A:A)
</f>
        <v>115</v>
      </c>
    </row>
    <row r="134" hidden="1">
      <c r="A134" s="151" t="s">
        <v>3426</v>
      </c>
      <c r="B134" s="6" t="s">
        <v>3341</v>
      </c>
      <c r="C134" s="6" t="s">
        <v>1569</v>
      </c>
      <c r="D134" s="6"/>
      <c r="E134" s="6"/>
      <c r="F134" s="6"/>
      <c r="G134" s="6"/>
      <c r="H134" s="6"/>
      <c r="I134" s="6"/>
      <c r="J134" s="6"/>
      <c r="K134" s="152">
        <f>sum(2600089,866337,5200)</f>
        <v>3471626</v>
      </c>
      <c r="L134" s="25" t="s">
        <v>146</v>
      </c>
      <c r="M134" s="6"/>
      <c r="N134" s="6"/>
      <c r="O134" s="6"/>
      <c r="P134" s="6"/>
      <c r="Q134" s="6"/>
      <c r="S134" s="6"/>
      <c r="T134" s="6" t="s">
        <v>1963</v>
      </c>
      <c r="U134" s="6" t="s">
        <v>1562</v>
      </c>
      <c r="V134" s="6" t="s">
        <v>114</v>
      </c>
      <c r="W134" s="6" t="s">
        <v>114</v>
      </c>
      <c r="X134" s="16">
        <f t="array" ref="X134">_xlfn.XLOOKUP(U134, 'CMFA-CSCDA Grants'!B:B, 'CMFA-CSCDA Grants'!A:A)
</f>
        <v>115</v>
      </c>
    </row>
    <row r="135" hidden="1">
      <c r="A135" s="151" t="s">
        <v>3428</v>
      </c>
      <c r="B135" s="6" t="s">
        <v>3341</v>
      </c>
      <c r="C135" s="6" t="s">
        <v>3429</v>
      </c>
      <c r="D135" s="6"/>
      <c r="E135" s="6"/>
      <c r="F135" s="6"/>
      <c r="G135" s="6"/>
      <c r="H135" s="6"/>
      <c r="I135" s="6"/>
      <c r="J135" s="6"/>
      <c r="K135" s="152">
        <f>sum(2600089,867410,5200)</f>
        <v>3472699</v>
      </c>
      <c r="L135" s="25" t="s">
        <v>146</v>
      </c>
      <c r="M135" s="6"/>
      <c r="N135" s="6"/>
      <c r="O135" s="6"/>
      <c r="P135" s="6"/>
      <c r="Q135" s="6"/>
      <c r="S135" s="6"/>
      <c r="T135" s="6" t="s">
        <v>1963</v>
      </c>
      <c r="U135" s="6" t="s">
        <v>1562</v>
      </c>
      <c r="V135" s="6" t="s">
        <v>114</v>
      </c>
      <c r="W135" s="6" t="s">
        <v>114</v>
      </c>
      <c r="X135" s="16">
        <f t="array" ref="X135">_xlfn.XLOOKUP(U135, 'CMFA-CSCDA Grants'!B:B, 'CMFA-CSCDA Grants'!A:A)
</f>
        <v>115</v>
      </c>
    </row>
    <row r="136" hidden="1">
      <c r="A136" s="151" t="s">
        <v>3430</v>
      </c>
      <c r="B136" s="6" t="s">
        <v>3345</v>
      </c>
      <c r="C136" s="6" t="s">
        <v>3346</v>
      </c>
      <c r="D136" s="6"/>
      <c r="E136" s="6">
        <v>501.0</v>
      </c>
      <c r="F136" s="6" t="s">
        <v>2565</v>
      </c>
      <c r="G136" s="6" t="s">
        <v>2566</v>
      </c>
      <c r="H136" s="6" t="s">
        <v>2567</v>
      </c>
      <c r="I136" s="6">
        <v>68.0</v>
      </c>
      <c r="J136" s="6" t="s">
        <v>2568</v>
      </c>
      <c r="K136" s="152">
        <v>1.7292725E7</v>
      </c>
      <c r="L136" s="25"/>
      <c r="M136" s="6" t="s">
        <v>3347</v>
      </c>
      <c r="N136" s="6" t="s">
        <v>3348</v>
      </c>
      <c r="O136" s="6">
        <v>9830.0</v>
      </c>
      <c r="P136" s="6" t="s">
        <v>3259</v>
      </c>
      <c r="Q136" s="6" t="s">
        <v>2573</v>
      </c>
      <c r="S136" s="6">
        <v>1.13433</v>
      </c>
      <c r="T136" s="6" t="s">
        <v>1192</v>
      </c>
      <c r="U136" s="6" t="s">
        <v>990</v>
      </c>
      <c r="V136" s="6" t="s">
        <v>114</v>
      </c>
      <c r="W136" s="6" t="s">
        <v>114</v>
      </c>
      <c r="X136" s="16">
        <f t="array" ref="X136">_xlfn.XLOOKUP(U136, 'CMFA-CSCDA Grants'!B:B, 'CMFA-CSCDA Grants'!A:A)
</f>
        <v>68</v>
      </c>
    </row>
    <row r="137">
      <c r="A137" s="151" t="s">
        <v>1097</v>
      </c>
      <c r="B137" s="6" t="s">
        <v>3349</v>
      </c>
      <c r="C137" s="6" t="s">
        <v>1098</v>
      </c>
      <c r="D137" s="6" t="str">
        <f t="shared" ref="D137:D199" si="19">IF(ISBLANK(C137),B137,C137)</f>
        <v>99 OCEAN AVE SAN FRANCISCO CA 94112-2560</v>
      </c>
      <c r="E137" s="6"/>
      <c r="F137" s="6"/>
      <c r="G137" s="6" t="s">
        <v>3350</v>
      </c>
      <c r="H137" s="6" t="s">
        <v>3351</v>
      </c>
      <c r="I137" s="6">
        <v>0.0</v>
      </c>
      <c r="J137" s="6" t="s">
        <v>2666</v>
      </c>
      <c r="K137" s="152">
        <v>8.2453101E7</v>
      </c>
      <c r="L137" s="25"/>
      <c r="M137" s="6" t="s">
        <v>3352</v>
      </c>
      <c r="N137" s="6" t="s">
        <v>3353</v>
      </c>
      <c r="O137" s="6">
        <v>99.0</v>
      </c>
      <c r="P137" s="6" t="s">
        <v>3354</v>
      </c>
      <c r="Q137" s="6" t="s">
        <v>2970</v>
      </c>
      <c r="S137" s="6">
        <v>0.91612</v>
      </c>
      <c r="T137" s="6" t="s">
        <v>1060</v>
      </c>
      <c r="U137" s="6" t="s">
        <v>819</v>
      </c>
      <c r="V137" s="6" t="s">
        <v>123</v>
      </c>
      <c r="W137" s="6" t="s">
        <v>123</v>
      </c>
      <c r="X137" s="16">
        <f t="array" ref="X137">_xlfn.XLOOKUP(U137, 'CMFA-CSCDA Grants'!B:B, 'CMFA-CSCDA Grants'!A:A)
</f>
        <v>59</v>
      </c>
    </row>
    <row r="138">
      <c r="A138" s="174">
        <v>1.2810115E8</v>
      </c>
      <c r="B138" s="164" t="s">
        <v>2979</v>
      </c>
      <c r="C138" s="164"/>
      <c r="D138" s="6" t="str">
        <f t="shared" si="19"/>
        <v>343 MOON RIVER PL VACAVILLE CA 95687</v>
      </c>
      <c r="E138" s="164"/>
      <c r="F138" s="164"/>
      <c r="G138" s="164"/>
      <c r="H138" s="164"/>
      <c r="I138" s="164"/>
      <c r="J138" s="164"/>
      <c r="K138" s="175" t="s">
        <v>146</v>
      </c>
      <c r="L138" s="167" t="s">
        <v>146</v>
      </c>
      <c r="M138" s="164"/>
      <c r="N138" s="164"/>
      <c r="O138" s="164"/>
      <c r="P138" s="164"/>
      <c r="Q138" s="164"/>
      <c r="R138" s="166"/>
      <c r="S138" s="164"/>
      <c r="T138" s="164"/>
      <c r="U138" s="6" t="s">
        <v>556</v>
      </c>
      <c r="V138" s="164"/>
      <c r="W138" s="164"/>
      <c r="X138" s="16">
        <f t="array" ref="X138">_xlfn.XLOOKUP(U138, 'CMFA-CSCDA Grants'!B:B, 'CMFA-CSCDA Grants'!A:A)
</f>
        <v>16</v>
      </c>
      <c r="Y138" s="166"/>
    </row>
    <row r="139">
      <c r="A139" s="174">
        <v>1.2810114E8</v>
      </c>
      <c r="B139" s="164" t="s">
        <v>2979</v>
      </c>
      <c r="C139" s="164"/>
      <c r="D139" s="6" t="str">
        <f t="shared" si="19"/>
        <v>343 MOON RIVER PL VACAVILLE CA 95687</v>
      </c>
      <c r="E139" s="164"/>
      <c r="F139" s="164"/>
      <c r="G139" s="164"/>
      <c r="H139" s="164"/>
      <c r="I139" s="164"/>
      <c r="J139" s="164"/>
      <c r="K139" s="176">
        <v>7595.0</v>
      </c>
      <c r="L139" s="167" t="s">
        <v>146</v>
      </c>
      <c r="M139" s="164"/>
      <c r="N139" s="164"/>
      <c r="O139" s="164"/>
      <c r="P139" s="164"/>
      <c r="Q139" s="164"/>
      <c r="R139" s="166"/>
      <c r="S139" s="164"/>
      <c r="T139" s="164"/>
      <c r="U139" s="6" t="s">
        <v>556</v>
      </c>
      <c r="V139" s="164"/>
      <c r="W139" s="164"/>
      <c r="X139" s="16">
        <f t="array" ref="X139">_xlfn.XLOOKUP(U139, 'CMFA-CSCDA Grants'!B:B, 'CMFA-CSCDA Grants'!A:A)
</f>
        <v>16</v>
      </c>
      <c r="Y139" s="166"/>
    </row>
    <row r="140">
      <c r="A140" s="174">
        <v>1.2810113E8</v>
      </c>
      <c r="B140" s="164" t="s">
        <v>2979</v>
      </c>
      <c r="C140" s="164"/>
      <c r="D140" s="6" t="str">
        <f t="shared" si="19"/>
        <v>343 MOON RIVER PL VACAVILLE CA 95687</v>
      </c>
      <c r="E140" s="164"/>
      <c r="F140" s="164"/>
      <c r="G140" s="164"/>
      <c r="H140" s="164"/>
      <c r="I140" s="164"/>
      <c r="J140" s="164"/>
      <c r="K140" s="176">
        <v>7606.0</v>
      </c>
      <c r="L140" s="167" t="s">
        <v>146</v>
      </c>
      <c r="M140" s="164"/>
      <c r="N140" s="164"/>
      <c r="O140" s="164"/>
      <c r="P140" s="164"/>
      <c r="Q140" s="164"/>
      <c r="R140" s="166"/>
      <c r="S140" s="164"/>
      <c r="T140" s="164"/>
      <c r="U140" s="6" t="s">
        <v>556</v>
      </c>
      <c r="V140" s="164"/>
      <c r="W140" s="164"/>
      <c r="X140" s="16">
        <f t="array" ref="X140">_xlfn.XLOOKUP(U140, 'CMFA-CSCDA Grants'!B:B, 'CMFA-CSCDA Grants'!A:A)
</f>
        <v>16</v>
      </c>
      <c r="Y140" s="166"/>
    </row>
    <row r="141">
      <c r="A141" s="174">
        <v>1.2810112E8</v>
      </c>
      <c r="B141" s="164" t="s">
        <v>2979</v>
      </c>
      <c r="C141" s="164"/>
      <c r="D141" s="6" t="str">
        <f t="shared" si="19"/>
        <v>343 MOON RIVER PL VACAVILLE CA 95687</v>
      </c>
      <c r="E141" s="164"/>
      <c r="F141" s="164"/>
      <c r="G141" s="164"/>
      <c r="H141" s="164"/>
      <c r="I141" s="164"/>
      <c r="J141" s="164"/>
      <c r="K141" s="176">
        <v>7619.0</v>
      </c>
      <c r="L141" s="167" t="s">
        <v>146</v>
      </c>
      <c r="M141" s="164"/>
      <c r="N141" s="164"/>
      <c r="O141" s="164"/>
      <c r="P141" s="164"/>
      <c r="Q141" s="164"/>
      <c r="R141" s="166"/>
      <c r="S141" s="164"/>
      <c r="T141" s="164"/>
      <c r="U141" s="6" t="s">
        <v>556</v>
      </c>
      <c r="V141" s="164"/>
      <c r="W141" s="164"/>
      <c r="X141" s="16">
        <f t="array" ref="X141">_xlfn.XLOOKUP(U141, 'CMFA-CSCDA Grants'!B:B, 'CMFA-CSCDA Grants'!A:A)
</f>
        <v>16</v>
      </c>
      <c r="Y141" s="166"/>
    </row>
    <row r="142">
      <c r="A142" s="157">
        <v>1.2810111E8</v>
      </c>
      <c r="B142" s="164" t="s">
        <v>2979</v>
      </c>
      <c r="C142" s="164"/>
      <c r="D142" s="6" t="str">
        <f t="shared" si="19"/>
        <v>343 MOON RIVER PL VACAVILLE CA 95687</v>
      </c>
      <c r="E142" s="164"/>
      <c r="F142" s="164"/>
      <c r="G142" s="164"/>
      <c r="H142" s="164"/>
      <c r="I142" s="164"/>
      <c r="J142" s="164"/>
      <c r="K142" s="176">
        <v>7631.0</v>
      </c>
      <c r="L142" s="167" t="s">
        <v>146</v>
      </c>
      <c r="M142" s="164"/>
      <c r="N142" s="164"/>
      <c r="O142" s="164"/>
      <c r="P142" s="164"/>
      <c r="Q142" s="164"/>
      <c r="R142" s="166"/>
      <c r="S142" s="164"/>
      <c r="T142" s="164"/>
      <c r="U142" s="6" t="s">
        <v>556</v>
      </c>
      <c r="V142" s="164"/>
      <c r="W142" s="164"/>
      <c r="X142" s="16">
        <f t="array" ref="X142">_xlfn.XLOOKUP(U142, 'CMFA-CSCDA Grants'!B:B, 'CMFA-CSCDA Grants'!A:A)
</f>
        <v>16</v>
      </c>
      <c r="Y142" s="166"/>
    </row>
    <row r="143">
      <c r="A143" s="157">
        <v>1.281011E8</v>
      </c>
      <c r="B143" s="164" t="s">
        <v>2979</v>
      </c>
      <c r="C143" s="164"/>
      <c r="D143" s="6" t="str">
        <f t="shared" si="19"/>
        <v>343 MOON RIVER PL VACAVILLE CA 95687</v>
      </c>
      <c r="E143" s="164"/>
      <c r="F143" s="164"/>
      <c r="G143" s="164"/>
      <c r="H143" s="164"/>
      <c r="I143" s="164"/>
      <c r="J143" s="164"/>
      <c r="K143" s="176">
        <v>30262.0</v>
      </c>
      <c r="L143" s="167" t="s">
        <v>146</v>
      </c>
      <c r="M143" s="164"/>
      <c r="N143" s="164"/>
      <c r="O143" s="164"/>
      <c r="P143" s="164"/>
      <c r="Q143" s="164"/>
      <c r="R143" s="166"/>
      <c r="S143" s="164"/>
      <c r="T143" s="164"/>
      <c r="U143" s="6" t="s">
        <v>556</v>
      </c>
      <c r="V143" s="164"/>
      <c r="W143" s="164"/>
      <c r="X143" s="16">
        <f t="array" ref="X143">_xlfn.XLOOKUP(U143, 'CMFA-CSCDA Grants'!B:B, 'CMFA-CSCDA Grants'!A:A)
</f>
        <v>16</v>
      </c>
      <c r="Y143" s="166"/>
    </row>
    <row r="144">
      <c r="A144" s="157">
        <v>1.2810109E8</v>
      </c>
      <c r="B144" s="164" t="s">
        <v>2979</v>
      </c>
      <c r="C144" s="164"/>
      <c r="D144" s="6" t="str">
        <f t="shared" si="19"/>
        <v>343 MOON RIVER PL VACAVILLE CA 95687</v>
      </c>
      <c r="E144" s="164"/>
      <c r="F144" s="164"/>
      <c r="G144" s="164"/>
      <c r="H144" s="164"/>
      <c r="I144" s="164"/>
      <c r="J144" s="164"/>
      <c r="K144" s="176">
        <v>30426.0</v>
      </c>
      <c r="L144" s="167" t="s">
        <v>146</v>
      </c>
      <c r="M144" s="164"/>
      <c r="N144" s="164"/>
      <c r="O144" s="164"/>
      <c r="P144" s="164"/>
      <c r="Q144" s="164"/>
      <c r="R144" s="166"/>
      <c r="S144" s="164"/>
      <c r="T144" s="164"/>
      <c r="U144" s="6" t="s">
        <v>556</v>
      </c>
      <c r="V144" s="164"/>
      <c r="W144" s="164"/>
      <c r="X144" s="16">
        <f t="array" ref="X144">_xlfn.XLOOKUP(U144, 'CMFA-CSCDA Grants'!B:B, 'CMFA-CSCDA Grants'!A:A)
</f>
        <v>16</v>
      </c>
      <c r="Y144" s="166"/>
    </row>
    <row r="145">
      <c r="A145" s="174">
        <v>1.2810108E8</v>
      </c>
      <c r="B145" s="164" t="s">
        <v>2979</v>
      </c>
      <c r="C145" s="164"/>
      <c r="D145" s="6" t="str">
        <f t="shared" si="19"/>
        <v>343 MOON RIVER PL VACAVILLE CA 95687</v>
      </c>
      <c r="E145" s="164"/>
      <c r="F145" s="164"/>
      <c r="G145" s="164"/>
      <c r="H145" s="164"/>
      <c r="I145" s="164"/>
      <c r="J145" s="164"/>
      <c r="K145" s="176">
        <v>31967.0</v>
      </c>
      <c r="L145" s="167" t="s">
        <v>146</v>
      </c>
      <c r="M145" s="164"/>
      <c r="N145" s="164"/>
      <c r="O145" s="164"/>
      <c r="P145" s="164"/>
      <c r="Q145" s="164"/>
      <c r="R145" s="166"/>
      <c r="S145" s="164"/>
      <c r="T145" s="164"/>
      <c r="U145" s="6" t="s">
        <v>556</v>
      </c>
      <c r="V145" s="164"/>
      <c r="W145" s="164"/>
      <c r="X145" s="16">
        <f t="array" ref="X145">_xlfn.XLOOKUP(U145, 'CMFA-CSCDA Grants'!B:B, 'CMFA-CSCDA Grants'!A:A)
</f>
        <v>16</v>
      </c>
      <c r="Y145" s="166"/>
    </row>
    <row r="146">
      <c r="A146" s="157">
        <v>1.2810107E8</v>
      </c>
      <c r="B146" s="164" t="s">
        <v>2979</v>
      </c>
      <c r="C146" s="164"/>
      <c r="D146" s="6" t="str">
        <f t="shared" si="19"/>
        <v>343 MOON RIVER PL VACAVILLE CA 95687</v>
      </c>
      <c r="E146" s="164"/>
      <c r="F146" s="164"/>
      <c r="G146" s="164"/>
      <c r="H146" s="164"/>
      <c r="I146" s="164"/>
      <c r="J146" s="164"/>
      <c r="K146" s="176">
        <v>35714.0</v>
      </c>
      <c r="L146" s="167" t="s">
        <v>146</v>
      </c>
      <c r="M146" s="164"/>
      <c r="N146" s="164"/>
      <c r="O146" s="164"/>
      <c r="P146" s="164"/>
      <c r="Q146" s="164"/>
      <c r="R146" s="166"/>
      <c r="S146" s="164"/>
      <c r="T146" s="164"/>
      <c r="U146" s="6" t="s">
        <v>556</v>
      </c>
      <c r="V146" s="164"/>
      <c r="W146" s="164"/>
      <c r="X146" s="16">
        <f t="array" ref="X146">_xlfn.XLOOKUP(U146, 'CMFA-CSCDA Grants'!B:B, 'CMFA-CSCDA Grants'!A:A)
</f>
        <v>16</v>
      </c>
      <c r="Y146" s="166"/>
    </row>
    <row r="147">
      <c r="A147" s="157">
        <v>1.2810106E8</v>
      </c>
      <c r="B147" s="164" t="s">
        <v>2979</v>
      </c>
      <c r="C147" s="164"/>
      <c r="D147" s="6" t="str">
        <f t="shared" si="19"/>
        <v>343 MOON RIVER PL VACAVILLE CA 95687</v>
      </c>
      <c r="E147" s="164"/>
      <c r="F147" s="164"/>
      <c r="G147" s="164"/>
      <c r="H147" s="164"/>
      <c r="I147" s="164"/>
      <c r="J147" s="164"/>
      <c r="K147" s="176">
        <v>40196.0</v>
      </c>
      <c r="L147" s="167" t="s">
        <v>146</v>
      </c>
      <c r="M147" s="164"/>
      <c r="N147" s="164"/>
      <c r="O147" s="164"/>
      <c r="P147" s="164"/>
      <c r="Q147" s="164"/>
      <c r="R147" s="166"/>
      <c r="S147" s="164"/>
      <c r="T147" s="164"/>
      <c r="U147" s="6" t="s">
        <v>556</v>
      </c>
      <c r="V147" s="164"/>
      <c r="W147" s="164"/>
      <c r="X147" s="16">
        <f t="array" ref="X147">_xlfn.XLOOKUP(U147, 'CMFA-CSCDA Grants'!B:B, 'CMFA-CSCDA Grants'!A:A)
</f>
        <v>16</v>
      </c>
      <c r="Y147" s="166"/>
    </row>
    <row r="148">
      <c r="A148" s="157">
        <v>1.2810105E8</v>
      </c>
      <c r="B148" s="164" t="s">
        <v>2979</v>
      </c>
      <c r="C148" s="164"/>
      <c r="D148" s="6" t="str">
        <f t="shared" si="19"/>
        <v>343 MOON RIVER PL VACAVILLE CA 95687</v>
      </c>
      <c r="E148" s="164"/>
      <c r="F148" s="164"/>
      <c r="G148" s="164"/>
      <c r="H148" s="164"/>
      <c r="I148" s="164"/>
      <c r="J148" s="164"/>
      <c r="K148" s="175" t="s">
        <v>146</v>
      </c>
      <c r="L148" s="167" t="s">
        <v>146</v>
      </c>
      <c r="M148" s="164"/>
      <c r="N148" s="164"/>
      <c r="O148" s="164"/>
      <c r="P148" s="164"/>
      <c r="Q148" s="164"/>
      <c r="R148" s="166"/>
      <c r="S148" s="164"/>
      <c r="T148" s="164"/>
      <c r="U148" s="6" t="s">
        <v>556</v>
      </c>
      <c r="V148" s="164"/>
      <c r="W148" s="164"/>
      <c r="X148" s="16">
        <f t="array" ref="X148">_xlfn.XLOOKUP(U148, 'CMFA-CSCDA Grants'!B:B, 'CMFA-CSCDA Grants'!A:A)
</f>
        <v>16</v>
      </c>
      <c r="Y148" s="166"/>
    </row>
    <row r="149">
      <c r="A149" s="157">
        <v>1.2810104E8</v>
      </c>
      <c r="B149" s="164" t="s">
        <v>2979</v>
      </c>
      <c r="C149" s="164"/>
      <c r="D149" s="6" t="str">
        <f t="shared" si="19"/>
        <v>343 MOON RIVER PL VACAVILLE CA 95687</v>
      </c>
      <c r="E149" s="164"/>
      <c r="F149" s="164"/>
      <c r="G149" s="164"/>
      <c r="H149" s="164"/>
      <c r="I149" s="164"/>
      <c r="J149" s="164"/>
      <c r="K149" s="176">
        <v>66586.0</v>
      </c>
      <c r="L149" s="167" t="s">
        <v>146</v>
      </c>
      <c r="M149" s="164"/>
      <c r="N149" s="164"/>
      <c r="O149" s="164"/>
      <c r="P149" s="164"/>
      <c r="Q149" s="164"/>
      <c r="R149" s="166"/>
      <c r="S149" s="164"/>
      <c r="T149" s="164"/>
      <c r="U149" s="6" t="s">
        <v>556</v>
      </c>
      <c r="V149" s="164"/>
      <c r="W149" s="164"/>
      <c r="X149" s="16">
        <f t="array" ref="X149">_xlfn.XLOOKUP(U149, 'CMFA-CSCDA Grants'!B:B, 'CMFA-CSCDA Grants'!A:A)
</f>
        <v>16</v>
      </c>
      <c r="Y149" s="166"/>
    </row>
    <row r="150">
      <c r="A150" s="174">
        <v>1.2810103E8</v>
      </c>
      <c r="B150" s="164" t="s">
        <v>2979</v>
      </c>
      <c r="C150" s="164"/>
      <c r="D150" s="6" t="str">
        <f t="shared" si="19"/>
        <v>343 MOON RIVER PL VACAVILLE CA 95687</v>
      </c>
      <c r="E150" s="164"/>
      <c r="F150" s="164"/>
      <c r="G150" s="164"/>
      <c r="H150" s="164"/>
      <c r="I150" s="164"/>
      <c r="J150" s="164"/>
      <c r="K150" s="176">
        <v>61921.0</v>
      </c>
      <c r="L150" s="167" t="s">
        <v>146</v>
      </c>
      <c r="M150" s="164"/>
      <c r="N150" s="164"/>
      <c r="O150" s="164"/>
      <c r="P150" s="164"/>
      <c r="Q150" s="164"/>
      <c r="R150" s="166"/>
      <c r="S150" s="164"/>
      <c r="T150" s="164"/>
      <c r="U150" s="6" t="s">
        <v>556</v>
      </c>
      <c r="V150" s="164"/>
      <c r="W150" s="164"/>
      <c r="X150" s="16">
        <f t="array" ref="X150">_xlfn.XLOOKUP(U150, 'CMFA-CSCDA Grants'!B:B, 'CMFA-CSCDA Grants'!A:A)
</f>
        <v>16</v>
      </c>
      <c r="Y150" s="166"/>
    </row>
    <row r="151">
      <c r="A151" s="157">
        <v>1.2810102E8</v>
      </c>
      <c r="B151" s="164" t="s">
        <v>2979</v>
      </c>
      <c r="C151" s="164"/>
      <c r="D151" s="6" t="str">
        <f t="shared" si="19"/>
        <v>343 MOON RIVER PL VACAVILLE CA 95687</v>
      </c>
      <c r="E151" s="164"/>
      <c r="F151" s="164"/>
      <c r="G151" s="164"/>
      <c r="H151" s="164"/>
      <c r="I151" s="164"/>
      <c r="J151" s="164"/>
      <c r="K151" s="176">
        <v>49211.0</v>
      </c>
      <c r="L151" s="167" t="s">
        <v>146</v>
      </c>
      <c r="M151" s="164"/>
      <c r="N151" s="164"/>
      <c r="O151" s="164"/>
      <c r="P151" s="164"/>
      <c r="Q151" s="164"/>
      <c r="R151" s="166"/>
      <c r="S151" s="164"/>
      <c r="T151" s="164"/>
      <c r="U151" s="6" t="s">
        <v>556</v>
      </c>
      <c r="V151" s="164"/>
      <c r="W151" s="164"/>
      <c r="X151" s="16">
        <f t="array" ref="X151">_xlfn.XLOOKUP(U151, 'CMFA-CSCDA Grants'!B:B, 'CMFA-CSCDA Grants'!A:A)
</f>
        <v>16</v>
      </c>
      <c r="Y151" s="166"/>
    </row>
    <row r="152">
      <c r="A152" s="157">
        <v>1.2810101E8</v>
      </c>
      <c r="B152" s="164" t="s">
        <v>2979</v>
      </c>
      <c r="C152" s="164"/>
      <c r="D152" s="6" t="str">
        <f t="shared" si="19"/>
        <v>343 MOON RIVER PL VACAVILLE CA 95687</v>
      </c>
      <c r="E152" s="164"/>
      <c r="F152" s="164"/>
      <c r="G152" s="164"/>
      <c r="H152" s="164"/>
      <c r="I152" s="164"/>
      <c r="J152" s="164"/>
      <c r="K152" s="176">
        <v>99051.0</v>
      </c>
      <c r="L152" s="167" t="s">
        <v>146</v>
      </c>
      <c r="M152" s="164"/>
      <c r="N152" s="164"/>
      <c r="O152" s="164"/>
      <c r="P152" s="164"/>
      <c r="Q152" s="164"/>
      <c r="R152" s="166"/>
      <c r="S152" s="164"/>
      <c r="T152" s="164"/>
      <c r="U152" s="6" t="s">
        <v>556</v>
      </c>
      <c r="V152" s="164"/>
      <c r="W152" s="164"/>
      <c r="X152" s="16">
        <f t="array" ref="X152">_xlfn.XLOOKUP(U152, 'CMFA-CSCDA Grants'!B:B, 'CMFA-CSCDA Grants'!A:A)
</f>
        <v>16</v>
      </c>
      <c r="Y152" s="166"/>
    </row>
    <row r="153">
      <c r="A153" s="157">
        <v>1.2810211E8</v>
      </c>
      <c r="B153" s="164" t="s">
        <v>2979</v>
      </c>
      <c r="C153" s="164"/>
      <c r="D153" s="6" t="str">
        <f t="shared" si="19"/>
        <v>343 MOON RIVER PL VACAVILLE CA 95687</v>
      </c>
      <c r="E153" s="164"/>
      <c r="F153" s="164"/>
      <c r="G153" s="164"/>
      <c r="H153" s="164"/>
      <c r="I153" s="164"/>
      <c r="J153" s="164"/>
      <c r="K153" s="176">
        <v>1360.0</v>
      </c>
      <c r="L153" s="167" t="s">
        <v>146</v>
      </c>
      <c r="M153" s="164"/>
      <c r="N153" s="164"/>
      <c r="O153" s="164"/>
      <c r="P153" s="164"/>
      <c r="Q153" s="164"/>
      <c r="R153" s="166"/>
      <c r="S153" s="164"/>
      <c r="T153" s="164"/>
      <c r="U153" s="6" t="s">
        <v>556</v>
      </c>
      <c r="V153" s="164"/>
      <c r="W153" s="164"/>
      <c r="X153" s="16">
        <f t="array" ref="X153">_xlfn.XLOOKUP(U153, 'CMFA-CSCDA Grants'!B:B, 'CMFA-CSCDA Grants'!A:A)
</f>
        <v>16</v>
      </c>
      <c r="Y153" s="166"/>
    </row>
    <row r="154">
      <c r="A154" s="157">
        <v>1.281021E8</v>
      </c>
      <c r="B154" s="164" t="s">
        <v>2979</v>
      </c>
      <c r="C154" s="164"/>
      <c r="D154" s="6" t="str">
        <f t="shared" si="19"/>
        <v>343 MOON RIVER PL VACAVILLE CA 95687</v>
      </c>
      <c r="E154" s="164"/>
      <c r="F154" s="164"/>
      <c r="G154" s="164"/>
      <c r="H154" s="164"/>
      <c r="I154" s="164"/>
      <c r="J154" s="164"/>
      <c r="K154" s="176">
        <v>1201.0</v>
      </c>
      <c r="L154" s="167" t="s">
        <v>146</v>
      </c>
      <c r="M154" s="164"/>
      <c r="N154" s="164"/>
      <c r="O154" s="164"/>
      <c r="P154" s="164"/>
      <c r="Q154" s="164"/>
      <c r="R154" s="166"/>
      <c r="S154" s="164"/>
      <c r="T154" s="164"/>
      <c r="U154" s="6" t="s">
        <v>556</v>
      </c>
      <c r="V154" s="164"/>
      <c r="W154" s="164"/>
      <c r="X154" s="16">
        <f t="array" ref="X154">_xlfn.XLOOKUP(U154, 'CMFA-CSCDA Grants'!B:B, 'CMFA-CSCDA Grants'!A:A)
</f>
        <v>16</v>
      </c>
      <c r="Y154" s="166"/>
    </row>
    <row r="155">
      <c r="A155" s="157">
        <v>1.2810209E8</v>
      </c>
      <c r="B155" s="164" t="s">
        <v>2979</v>
      </c>
      <c r="C155" s="164"/>
      <c r="D155" s="6" t="str">
        <f t="shared" si="19"/>
        <v>343 MOON RIVER PL VACAVILLE CA 95687</v>
      </c>
      <c r="E155" s="164"/>
      <c r="F155" s="164"/>
      <c r="G155" s="164"/>
      <c r="H155" s="164"/>
      <c r="I155" s="164"/>
      <c r="J155" s="164"/>
      <c r="K155" s="176">
        <v>1201.0</v>
      </c>
      <c r="L155" s="167" t="s">
        <v>146</v>
      </c>
      <c r="M155" s="164"/>
      <c r="N155" s="164"/>
      <c r="O155" s="164"/>
      <c r="P155" s="164"/>
      <c r="Q155" s="164"/>
      <c r="R155" s="166"/>
      <c r="S155" s="164"/>
      <c r="T155" s="164"/>
      <c r="U155" s="6" t="s">
        <v>556</v>
      </c>
      <c r="V155" s="164"/>
      <c r="W155" s="164"/>
      <c r="X155" s="16">
        <f t="array" ref="X155">_xlfn.XLOOKUP(U155, 'CMFA-CSCDA Grants'!B:B, 'CMFA-CSCDA Grants'!A:A)
</f>
        <v>16</v>
      </c>
      <c r="Y155" s="166"/>
    </row>
    <row r="156">
      <c r="A156" s="157">
        <v>1.2810208E8</v>
      </c>
      <c r="B156" s="164" t="s">
        <v>2979</v>
      </c>
      <c r="C156" s="164"/>
      <c r="D156" s="6" t="str">
        <f t="shared" si="19"/>
        <v>343 MOON RIVER PL VACAVILLE CA 95687</v>
      </c>
      <c r="E156" s="164"/>
      <c r="F156" s="164"/>
      <c r="G156" s="164"/>
      <c r="H156" s="164"/>
      <c r="I156" s="164"/>
      <c r="J156" s="164"/>
      <c r="K156" s="176">
        <v>1202.0</v>
      </c>
      <c r="L156" s="167" t="s">
        <v>146</v>
      </c>
      <c r="M156" s="164"/>
      <c r="N156" s="164"/>
      <c r="O156" s="164"/>
      <c r="P156" s="164"/>
      <c r="Q156" s="164"/>
      <c r="R156" s="166"/>
      <c r="S156" s="164"/>
      <c r="T156" s="164"/>
      <c r="U156" s="6" t="s">
        <v>556</v>
      </c>
      <c r="V156" s="164"/>
      <c r="W156" s="164"/>
      <c r="X156" s="16">
        <f t="array" ref="X156">_xlfn.XLOOKUP(U156, 'CMFA-CSCDA Grants'!B:B, 'CMFA-CSCDA Grants'!A:A)
</f>
        <v>16</v>
      </c>
      <c r="Y156" s="166"/>
    </row>
    <row r="157">
      <c r="A157" s="157">
        <v>1.2810207E8</v>
      </c>
      <c r="B157" s="164" t="s">
        <v>2979</v>
      </c>
      <c r="C157" s="164"/>
      <c r="D157" s="6" t="str">
        <f t="shared" si="19"/>
        <v>343 MOON RIVER PL VACAVILLE CA 95687</v>
      </c>
      <c r="E157" s="164"/>
      <c r="F157" s="164"/>
      <c r="G157" s="164"/>
      <c r="H157" s="164"/>
      <c r="I157" s="164"/>
      <c r="J157" s="164"/>
      <c r="K157" s="176">
        <v>1202.0</v>
      </c>
      <c r="L157" s="167" t="s">
        <v>146</v>
      </c>
      <c r="M157" s="164"/>
      <c r="N157" s="164"/>
      <c r="O157" s="164"/>
      <c r="P157" s="164"/>
      <c r="Q157" s="164"/>
      <c r="R157" s="166"/>
      <c r="S157" s="164"/>
      <c r="T157" s="164"/>
      <c r="U157" s="6" t="s">
        <v>556</v>
      </c>
      <c r="V157" s="164"/>
      <c r="W157" s="164"/>
      <c r="X157" s="16">
        <f t="array" ref="X157">_xlfn.XLOOKUP(U157, 'CMFA-CSCDA Grants'!B:B, 'CMFA-CSCDA Grants'!A:A)
</f>
        <v>16</v>
      </c>
      <c r="Y157" s="166"/>
    </row>
    <row r="158">
      <c r="A158" s="157">
        <v>1.2810206E8</v>
      </c>
      <c r="B158" s="164" t="s">
        <v>2979</v>
      </c>
      <c r="C158" s="164"/>
      <c r="D158" s="6" t="str">
        <f t="shared" si="19"/>
        <v>343 MOON RIVER PL VACAVILLE CA 95687</v>
      </c>
      <c r="E158" s="164"/>
      <c r="F158" s="164"/>
      <c r="G158" s="164"/>
      <c r="H158" s="164"/>
      <c r="I158" s="164"/>
      <c r="J158" s="164"/>
      <c r="K158" s="176">
        <v>1202.0</v>
      </c>
      <c r="L158" s="167" t="s">
        <v>146</v>
      </c>
      <c r="M158" s="164"/>
      <c r="N158" s="164"/>
      <c r="O158" s="164"/>
      <c r="P158" s="164"/>
      <c r="Q158" s="164"/>
      <c r="R158" s="166"/>
      <c r="S158" s="164"/>
      <c r="T158" s="164"/>
      <c r="U158" s="6" t="s">
        <v>556</v>
      </c>
      <c r="V158" s="164"/>
      <c r="W158" s="164"/>
      <c r="X158" s="16">
        <f t="array" ref="X158">_xlfn.XLOOKUP(U158, 'CMFA-CSCDA Grants'!B:B, 'CMFA-CSCDA Grants'!A:A)
</f>
        <v>16</v>
      </c>
      <c r="Y158" s="166"/>
    </row>
    <row r="159">
      <c r="A159" s="157">
        <v>1.2810205E8</v>
      </c>
      <c r="B159" s="164" t="s">
        <v>2979</v>
      </c>
      <c r="C159" s="164"/>
      <c r="D159" s="6" t="str">
        <f t="shared" si="19"/>
        <v>343 MOON RIVER PL VACAVILLE CA 95687</v>
      </c>
      <c r="E159" s="164"/>
      <c r="F159" s="164"/>
      <c r="G159" s="164"/>
      <c r="H159" s="164"/>
      <c r="I159" s="164"/>
      <c r="J159" s="164"/>
      <c r="K159" s="176">
        <v>32653.0</v>
      </c>
      <c r="L159" s="167" t="s">
        <v>146</v>
      </c>
      <c r="M159" s="164"/>
      <c r="N159" s="164"/>
      <c r="O159" s="164"/>
      <c r="P159" s="164"/>
      <c r="Q159" s="164"/>
      <c r="R159" s="166"/>
      <c r="S159" s="164"/>
      <c r="T159" s="164"/>
      <c r="U159" s="6" t="s">
        <v>556</v>
      </c>
      <c r="V159" s="164"/>
      <c r="W159" s="164"/>
      <c r="X159" s="16">
        <f t="array" ref="X159">_xlfn.XLOOKUP(U159, 'CMFA-CSCDA Grants'!B:B, 'CMFA-CSCDA Grants'!A:A)
</f>
        <v>16</v>
      </c>
      <c r="Y159" s="166"/>
    </row>
    <row r="160">
      <c r="A160" s="157">
        <v>1.2810204E8</v>
      </c>
      <c r="B160" s="164" t="s">
        <v>2979</v>
      </c>
      <c r="C160" s="164"/>
      <c r="D160" s="6" t="str">
        <f t="shared" si="19"/>
        <v>343 MOON RIVER PL VACAVILLE CA 95687</v>
      </c>
      <c r="E160" s="164"/>
      <c r="F160" s="164"/>
      <c r="G160" s="164"/>
      <c r="H160" s="164"/>
      <c r="I160" s="164"/>
      <c r="J160" s="164"/>
      <c r="K160" s="176">
        <v>32653.0</v>
      </c>
      <c r="L160" s="167" t="s">
        <v>146</v>
      </c>
      <c r="M160" s="164"/>
      <c r="N160" s="164"/>
      <c r="O160" s="164"/>
      <c r="P160" s="164"/>
      <c r="Q160" s="164"/>
      <c r="R160" s="166"/>
      <c r="S160" s="164"/>
      <c r="T160" s="164"/>
      <c r="U160" s="6" t="s">
        <v>556</v>
      </c>
      <c r="V160" s="164"/>
      <c r="W160" s="164"/>
      <c r="X160" s="16">
        <f t="array" ref="X160">_xlfn.XLOOKUP(U160, 'CMFA-CSCDA Grants'!B:B, 'CMFA-CSCDA Grants'!A:A)
</f>
        <v>16</v>
      </c>
      <c r="Y160" s="166"/>
    </row>
    <row r="161">
      <c r="A161" s="157">
        <v>1.2810203E8</v>
      </c>
      <c r="B161" s="164" t="s">
        <v>2979</v>
      </c>
      <c r="C161" s="164"/>
      <c r="D161" s="6" t="str">
        <f t="shared" si="19"/>
        <v>343 MOON RIVER PL VACAVILLE CA 95687</v>
      </c>
      <c r="E161" s="164"/>
      <c r="F161" s="164"/>
      <c r="G161" s="164"/>
      <c r="H161" s="164"/>
      <c r="I161" s="164"/>
      <c r="J161" s="164"/>
      <c r="K161" s="176">
        <v>32697.0</v>
      </c>
      <c r="L161" s="167" t="s">
        <v>146</v>
      </c>
      <c r="M161" s="164"/>
      <c r="N161" s="164"/>
      <c r="O161" s="164"/>
      <c r="P161" s="164"/>
      <c r="Q161" s="164"/>
      <c r="R161" s="166"/>
      <c r="S161" s="164"/>
      <c r="T161" s="164"/>
      <c r="U161" s="6" t="s">
        <v>556</v>
      </c>
      <c r="V161" s="164"/>
      <c r="W161" s="164"/>
      <c r="X161" s="16">
        <f t="array" ref="X161">_xlfn.XLOOKUP(U161, 'CMFA-CSCDA Grants'!B:B, 'CMFA-CSCDA Grants'!A:A)
</f>
        <v>16</v>
      </c>
      <c r="Y161" s="166"/>
    </row>
    <row r="162">
      <c r="A162" s="157">
        <v>1.2810202E8</v>
      </c>
      <c r="B162" s="164" t="s">
        <v>2979</v>
      </c>
      <c r="C162" s="164"/>
      <c r="D162" s="6" t="str">
        <f t="shared" si="19"/>
        <v>343 MOON RIVER PL VACAVILLE CA 95687</v>
      </c>
      <c r="E162" s="164"/>
      <c r="F162" s="164"/>
      <c r="G162" s="164"/>
      <c r="H162" s="164"/>
      <c r="I162" s="164"/>
      <c r="J162" s="164"/>
      <c r="K162" s="176">
        <v>32612.0</v>
      </c>
      <c r="L162" s="167" t="s">
        <v>146</v>
      </c>
      <c r="M162" s="164"/>
      <c r="N162" s="164"/>
      <c r="O162" s="164"/>
      <c r="P162" s="164"/>
      <c r="Q162" s="164"/>
      <c r="R162" s="166"/>
      <c r="S162" s="164"/>
      <c r="T162" s="164"/>
      <c r="U162" s="6" t="s">
        <v>556</v>
      </c>
      <c r="V162" s="164"/>
      <c r="W162" s="164"/>
      <c r="X162" s="16">
        <f t="array" ref="X162">_xlfn.XLOOKUP(U162, 'CMFA-CSCDA Grants'!B:B, 'CMFA-CSCDA Grants'!A:A)
</f>
        <v>16</v>
      </c>
      <c r="Y162" s="166"/>
    </row>
    <row r="163">
      <c r="A163" s="157">
        <v>1.2810201E8</v>
      </c>
      <c r="B163" s="164" t="s">
        <v>2979</v>
      </c>
      <c r="C163" s="164"/>
      <c r="D163" s="6" t="str">
        <f t="shared" si="19"/>
        <v>343 MOON RIVER PL VACAVILLE CA 95687</v>
      </c>
      <c r="E163" s="164"/>
      <c r="F163" s="164"/>
      <c r="G163" s="164"/>
      <c r="H163" s="164"/>
      <c r="I163" s="164"/>
      <c r="J163" s="164"/>
      <c r="K163" s="176">
        <v>40431.0</v>
      </c>
      <c r="L163" s="167" t="s">
        <v>146</v>
      </c>
      <c r="M163" s="164"/>
      <c r="N163" s="164"/>
      <c r="O163" s="164"/>
      <c r="P163" s="164"/>
      <c r="Q163" s="164"/>
      <c r="R163" s="166"/>
      <c r="S163" s="164"/>
      <c r="T163" s="164"/>
      <c r="U163" s="6" t="s">
        <v>556</v>
      </c>
      <c r="V163" s="164"/>
      <c r="W163" s="164"/>
      <c r="X163" s="16">
        <f t="array" ref="X163">_xlfn.XLOOKUP(U163, 'CMFA-CSCDA Grants'!B:B, 'CMFA-CSCDA Grants'!A:A)
</f>
        <v>16</v>
      </c>
      <c r="Y163" s="166"/>
    </row>
    <row r="164">
      <c r="A164" s="157">
        <v>1.2810221E8</v>
      </c>
      <c r="B164" s="164" t="s">
        <v>2979</v>
      </c>
      <c r="C164" s="164"/>
      <c r="D164" s="6" t="str">
        <f t="shared" si="19"/>
        <v>343 MOON RIVER PL VACAVILLE CA 95687</v>
      </c>
      <c r="E164" s="164"/>
      <c r="F164" s="164"/>
      <c r="G164" s="164"/>
      <c r="H164" s="164"/>
      <c r="I164" s="164"/>
      <c r="J164" s="164"/>
      <c r="K164" s="176">
        <v>47216.0</v>
      </c>
      <c r="L164" s="167" t="s">
        <v>146</v>
      </c>
      <c r="M164" s="164"/>
      <c r="N164" s="164"/>
      <c r="O164" s="164"/>
      <c r="P164" s="164"/>
      <c r="Q164" s="164"/>
      <c r="R164" s="166"/>
      <c r="S164" s="164"/>
      <c r="T164" s="164"/>
      <c r="U164" s="6" t="s">
        <v>556</v>
      </c>
      <c r="V164" s="164"/>
      <c r="W164" s="164"/>
      <c r="X164" s="16">
        <f t="array" ref="X164">_xlfn.XLOOKUP(U164, 'CMFA-CSCDA Grants'!B:B, 'CMFA-CSCDA Grants'!A:A)
</f>
        <v>16</v>
      </c>
      <c r="Y164" s="166"/>
    </row>
    <row r="165">
      <c r="A165" s="157">
        <v>1.281022E8</v>
      </c>
      <c r="B165" s="164" t="s">
        <v>2979</v>
      </c>
      <c r="C165" s="164"/>
      <c r="D165" s="6" t="str">
        <f t="shared" si="19"/>
        <v>343 MOON RIVER PL VACAVILLE CA 95687</v>
      </c>
      <c r="E165" s="164"/>
      <c r="F165" s="164"/>
      <c r="G165" s="164"/>
      <c r="H165" s="164"/>
      <c r="I165" s="164"/>
      <c r="J165" s="164"/>
      <c r="K165" s="176">
        <v>29071.0</v>
      </c>
      <c r="L165" s="167" t="s">
        <v>146</v>
      </c>
      <c r="M165" s="164"/>
      <c r="N165" s="164"/>
      <c r="O165" s="164"/>
      <c r="P165" s="164"/>
      <c r="Q165" s="164"/>
      <c r="R165" s="166"/>
      <c r="S165" s="164"/>
      <c r="T165" s="164"/>
      <c r="U165" s="6" t="s">
        <v>556</v>
      </c>
      <c r="V165" s="164"/>
      <c r="W165" s="164"/>
      <c r="X165" s="16">
        <f t="array" ref="X165">_xlfn.XLOOKUP(U165, 'CMFA-CSCDA Grants'!B:B, 'CMFA-CSCDA Grants'!A:A)
</f>
        <v>16</v>
      </c>
      <c r="Y165" s="166"/>
    </row>
    <row r="166">
      <c r="A166" s="157">
        <v>1.2810219E8</v>
      </c>
      <c r="B166" s="164" t="s">
        <v>2979</v>
      </c>
      <c r="C166" s="164"/>
      <c r="D166" s="6" t="str">
        <f t="shared" si="19"/>
        <v>343 MOON RIVER PL VACAVILLE CA 95687</v>
      </c>
      <c r="E166" s="164"/>
      <c r="F166" s="164"/>
      <c r="G166" s="164"/>
      <c r="H166" s="164"/>
      <c r="I166" s="164"/>
      <c r="J166" s="164"/>
      <c r="K166" s="176">
        <v>29025.0</v>
      </c>
      <c r="L166" s="167" t="s">
        <v>146</v>
      </c>
      <c r="M166" s="164"/>
      <c r="N166" s="164"/>
      <c r="O166" s="164"/>
      <c r="P166" s="164"/>
      <c r="Q166" s="164"/>
      <c r="R166" s="166"/>
      <c r="S166" s="164"/>
      <c r="T166" s="164"/>
      <c r="U166" s="6" t="s">
        <v>556</v>
      </c>
      <c r="V166" s="164"/>
      <c r="W166" s="164"/>
      <c r="X166" s="16">
        <f t="array" ref="X166">_xlfn.XLOOKUP(U166, 'CMFA-CSCDA Grants'!B:B, 'CMFA-CSCDA Grants'!A:A)
</f>
        <v>16</v>
      </c>
      <c r="Y166" s="166"/>
    </row>
    <row r="167">
      <c r="A167" s="157">
        <v>1.2810218E8</v>
      </c>
      <c r="B167" s="164" t="s">
        <v>2979</v>
      </c>
      <c r="C167" s="164"/>
      <c r="D167" s="6" t="str">
        <f t="shared" si="19"/>
        <v>343 MOON RIVER PL VACAVILLE CA 95687</v>
      </c>
      <c r="E167" s="164"/>
      <c r="F167" s="164"/>
      <c r="G167" s="164"/>
      <c r="H167" s="164"/>
      <c r="I167" s="164"/>
      <c r="J167" s="164"/>
      <c r="K167" s="176">
        <v>29025.0</v>
      </c>
      <c r="L167" s="167" t="s">
        <v>146</v>
      </c>
      <c r="M167" s="164"/>
      <c r="N167" s="164"/>
      <c r="O167" s="164"/>
      <c r="P167" s="164"/>
      <c r="Q167" s="164"/>
      <c r="R167" s="166"/>
      <c r="S167" s="164"/>
      <c r="T167" s="164"/>
      <c r="U167" s="6" t="s">
        <v>556</v>
      </c>
      <c r="V167" s="164"/>
      <c r="W167" s="164"/>
      <c r="X167" s="16">
        <f t="array" ref="X167">_xlfn.XLOOKUP(U167, 'CMFA-CSCDA Grants'!B:B, 'CMFA-CSCDA Grants'!A:A)
</f>
        <v>16</v>
      </c>
      <c r="Y167" s="166"/>
    </row>
    <row r="168">
      <c r="A168" s="157">
        <v>1.2810217E8</v>
      </c>
      <c r="B168" s="164" t="s">
        <v>2979</v>
      </c>
      <c r="C168" s="164"/>
      <c r="D168" s="6" t="str">
        <f t="shared" si="19"/>
        <v>343 MOON RIVER PL VACAVILLE CA 95687</v>
      </c>
      <c r="E168" s="164"/>
      <c r="F168" s="164"/>
      <c r="G168" s="164"/>
      <c r="H168" s="164"/>
      <c r="I168" s="164"/>
      <c r="J168" s="164"/>
      <c r="K168" s="176">
        <v>29025.0</v>
      </c>
      <c r="L168" s="167" t="s">
        <v>146</v>
      </c>
      <c r="M168" s="164"/>
      <c r="N168" s="164"/>
      <c r="O168" s="164"/>
      <c r="P168" s="164"/>
      <c r="Q168" s="164"/>
      <c r="R168" s="166"/>
      <c r="S168" s="164"/>
      <c r="T168" s="164"/>
      <c r="U168" s="6" t="s">
        <v>556</v>
      </c>
      <c r="V168" s="164"/>
      <c r="W168" s="164"/>
      <c r="X168" s="16">
        <f t="array" ref="X168">_xlfn.XLOOKUP(U168, 'CMFA-CSCDA Grants'!B:B, 'CMFA-CSCDA Grants'!A:A)
</f>
        <v>16</v>
      </c>
      <c r="Y168" s="166"/>
    </row>
    <row r="169">
      <c r="A169" s="157">
        <v>1.2810216E8</v>
      </c>
      <c r="B169" s="164" t="s">
        <v>2979</v>
      </c>
      <c r="C169" s="164"/>
      <c r="D169" s="6" t="str">
        <f t="shared" si="19"/>
        <v>343 MOON RIVER PL VACAVILLE CA 95687</v>
      </c>
      <c r="E169" s="164"/>
      <c r="F169" s="164"/>
      <c r="G169" s="164"/>
      <c r="H169" s="164"/>
      <c r="I169" s="164"/>
      <c r="J169" s="164"/>
      <c r="K169" s="176">
        <v>7331.0</v>
      </c>
      <c r="L169" s="167" t="s">
        <v>146</v>
      </c>
      <c r="M169" s="164"/>
      <c r="N169" s="164"/>
      <c r="O169" s="164"/>
      <c r="P169" s="164"/>
      <c r="Q169" s="164"/>
      <c r="R169" s="166"/>
      <c r="S169" s="164"/>
      <c r="T169" s="164"/>
      <c r="U169" s="6" t="s">
        <v>556</v>
      </c>
      <c r="V169" s="164"/>
      <c r="W169" s="164"/>
      <c r="X169" s="16">
        <f t="array" ref="X169">_xlfn.XLOOKUP(U169, 'CMFA-CSCDA Grants'!B:B, 'CMFA-CSCDA Grants'!A:A)
</f>
        <v>16</v>
      </c>
      <c r="Y169" s="166"/>
    </row>
    <row r="170">
      <c r="A170" s="157">
        <v>1.2810215E8</v>
      </c>
      <c r="B170" s="164" t="s">
        <v>2979</v>
      </c>
      <c r="C170" s="164"/>
      <c r="D170" s="6" t="str">
        <f t="shared" si="19"/>
        <v>343 MOON RIVER PL VACAVILLE CA 95687</v>
      </c>
      <c r="E170" s="164"/>
      <c r="F170" s="164"/>
      <c r="G170" s="164"/>
      <c r="H170" s="164"/>
      <c r="I170" s="164"/>
      <c r="J170" s="164"/>
      <c r="K170" s="176">
        <v>7331.0</v>
      </c>
      <c r="L170" s="167" t="s">
        <v>146</v>
      </c>
      <c r="M170" s="164"/>
      <c r="N170" s="164"/>
      <c r="O170" s="164"/>
      <c r="P170" s="164"/>
      <c r="Q170" s="164"/>
      <c r="R170" s="166"/>
      <c r="S170" s="164"/>
      <c r="T170" s="164"/>
      <c r="U170" s="6" t="s">
        <v>556</v>
      </c>
      <c r="V170" s="164"/>
      <c r="W170" s="164"/>
      <c r="X170" s="16">
        <f t="array" ref="X170">_xlfn.XLOOKUP(U170, 'CMFA-CSCDA Grants'!B:B, 'CMFA-CSCDA Grants'!A:A)
</f>
        <v>16</v>
      </c>
      <c r="Y170" s="166"/>
    </row>
    <row r="171">
      <c r="A171" s="157">
        <v>1.2810214E8</v>
      </c>
      <c r="B171" s="164" t="s">
        <v>2979</v>
      </c>
      <c r="C171" s="164"/>
      <c r="D171" s="6" t="str">
        <f t="shared" si="19"/>
        <v>343 MOON RIVER PL VACAVILLE CA 95687</v>
      </c>
      <c r="E171" s="164"/>
      <c r="F171" s="164"/>
      <c r="G171" s="164"/>
      <c r="H171" s="164"/>
      <c r="I171" s="164"/>
      <c r="J171" s="164"/>
      <c r="K171" s="176">
        <v>6988.0</v>
      </c>
      <c r="L171" s="167" t="s">
        <v>146</v>
      </c>
      <c r="M171" s="164"/>
      <c r="N171" s="164"/>
      <c r="O171" s="164"/>
      <c r="P171" s="164"/>
      <c r="Q171" s="164"/>
      <c r="R171" s="166"/>
      <c r="S171" s="164"/>
      <c r="T171" s="164"/>
      <c r="U171" s="6" t="s">
        <v>556</v>
      </c>
      <c r="V171" s="164"/>
      <c r="W171" s="164"/>
      <c r="X171" s="16">
        <f t="array" ref="X171">_xlfn.XLOOKUP(U171, 'CMFA-CSCDA Grants'!B:B, 'CMFA-CSCDA Grants'!A:A)
</f>
        <v>16</v>
      </c>
      <c r="Y171" s="166"/>
    </row>
    <row r="172">
      <c r="A172" s="157">
        <v>1.2810213E8</v>
      </c>
      <c r="B172" s="164" t="s">
        <v>2979</v>
      </c>
      <c r="C172" s="164"/>
      <c r="D172" s="6" t="str">
        <f t="shared" si="19"/>
        <v>343 MOON RIVER PL VACAVILLE CA 95687</v>
      </c>
      <c r="E172" s="164"/>
      <c r="F172" s="164"/>
      <c r="G172" s="164"/>
      <c r="H172" s="164"/>
      <c r="I172" s="164"/>
      <c r="J172" s="164"/>
      <c r="K172" s="176">
        <v>1018.0</v>
      </c>
      <c r="L172" s="167" t="s">
        <v>146</v>
      </c>
      <c r="M172" s="164"/>
      <c r="N172" s="164"/>
      <c r="O172" s="164"/>
      <c r="P172" s="164"/>
      <c r="Q172" s="164"/>
      <c r="R172" s="166"/>
      <c r="S172" s="164"/>
      <c r="T172" s="164"/>
      <c r="U172" s="6" t="s">
        <v>556</v>
      </c>
      <c r="V172" s="164"/>
      <c r="W172" s="164"/>
      <c r="X172" s="16">
        <f t="array" ref="X172">_xlfn.XLOOKUP(U172, 'CMFA-CSCDA Grants'!B:B, 'CMFA-CSCDA Grants'!A:A)
</f>
        <v>16</v>
      </c>
      <c r="Y172" s="166"/>
    </row>
    <row r="173">
      <c r="A173" s="157">
        <v>1.2810212E8</v>
      </c>
      <c r="B173" s="164" t="s">
        <v>2979</v>
      </c>
      <c r="C173" s="164"/>
      <c r="D173" s="6" t="str">
        <f t="shared" si="19"/>
        <v>343 MOON RIVER PL VACAVILLE CA 95687</v>
      </c>
      <c r="E173" s="164"/>
      <c r="F173" s="164"/>
      <c r="G173" s="164"/>
      <c r="H173" s="164"/>
      <c r="I173" s="164"/>
      <c r="J173" s="164"/>
      <c r="K173" s="176">
        <v>1223.0</v>
      </c>
      <c r="L173" s="167" t="s">
        <v>146</v>
      </c>
      <c r="M173" s="164"/>
      <c r="N173" s="164"/>
      <c r="O173" s="164"/>
      <c r="P173" s="164"/>
      <c r="Q173" s="164"/>
      <c r="R173" s="166"/>
      <c r="S173" s="164"/>
      <c r="T173" s="164"/>
      <c r="U173" s="6" t="s">
        <v>556</v>
      </c>
      <c r="V173" s="164"/>
      <c r="W173" s="164"/>
      <c r="X173" s="16">
        <f t="array" ref="X173">_xlfn.XLOOKUP(U173, 'CMFA-CSCDA Grants'!B:B, 'CMFA-CSCDA Grants'!A:A)
</f>
        <v>16</v>
      </c>
      <c r="Y173" s="166"/>
    </row>
    <row r="174">
      <c r="A174" s="157">
        <v>1.2810309E8</v>
      </c>
      <c r="B174" s="164" t="s">
        <v>2979</v>
      </c>
      <c r="C174" s="164"/>
      <c r="D174" s="6" t="str">
        <f t="shared" si="19"/>
        <v>343 MOON RIVER PL VACAVILLE CA 95687</v>
      </c>
      <c r="E174" s="164"/>
      <c r="F174" s="164"/>
      <c r="G174" s="164"/>
      <c r="H174" s="164"/>
      <c r="I174" s="164"/>
      <c r="J174" s="164"/>
      <c r="K174" s="176">
        <v>1507.0</v>
      </c>
      <c r="L174" s="167" t="s">
        <v>146</v>
      </c>
      <c r="M174" s="164"/>
      <c r="N174" s="164"/>
      <c r="O174" s="164"/>
      <c r="P174" s="164"/>
      <c r="Q174" s="164"/>
      <c r="R174" s="166"/>
      <c r="S174" s="164"/>
      <c r="T174" s="164"/>
      <c r="U174" s="6" t="s">
        <v>556</v>
      </c>
      <c r="V174" s="164"/>
      <c r="W174" s="164"/>
      <c r="X174" s="16">
        <f t="array" ref="X174">_xlfn.XLOOKUP(U174, 'CMFA-CSCDA Grants'!B:B, 'CMFA-CSCDA Grants'!A:A)
</f>
        <v>16</v>
      </c>
      <c r="Y174" s="166"/>
    </row>
    <row r="175">
      <c r="A175" s="157">
        <v>1.2810308E8</v>
      </c>
      <c r="B175" s="164" t="s">
        <v>2979</v>
      </c>
      <c r="C175" s="164"/>
      <c r="D175" s="6" t="str">
        <f t="shared" si="19"/>
        <v>343 MOON RIVER PL VACAVILLE CA 95687</v>
      </c>
      <c r="E175" s="164"/>
      <c r="F175" s="164"/>
      <c r="G175" s="164"/>
      <c r="H175" s="164"/>
      <c r="I175" s="164"/>
      <c r="J175" s="164"/>
      <c r="K175" s="176">
        <v>1101.0</v>
      </c>
      <c r="L175" s="167" t="s">
        <v>146</v>
      </c>
      <c r="M175" s="164"/>
      <c r="N175" s="164"/>
      <c r="O175" s="164"/>
      <c r="P175" s="164"/>
      <c r="Q175" s="164"/>
      <c r="R175" s="166"/>
      <c r="S175" s="164"/>
      <c r="T175" s="164"/>
      <c r="U175" s="6" t="s">
        <v>556</v>
      </c>
      <c r="V175" s="164"/>
      <c r="W175" s="164"/>
      <c r="X175" s="16">
        <f t="array" ref="X175">_xlfn.XLOOKUP(U175, 'CMFA-CSCDA Grants'!B:B, 'CMFA-CSCDA Grants'!A:A)
</f>
        <v>16</v>
      </c>
      <c r="Y175" s="166"/>
    </row>
    <row r="176">
      <c r="A176" s="157">
        <v>1.2810307E8</v>
      </c>
      <c r="B176" s="164" t="s">
        <v>2979</v>
      </c>
      <c r="C176" s="164"/>
      <c r="D176" s="6" t="str">
        <f t="shared" si="19"/>
        <v>343 MOON RIVER PL VACAVILLE CA 95687</v>
      </c>
      <c r="E176" s="164"/>
      <c r="F176" s="164"/>
      <c r="G176" s="164"/>
      <c r="H176" s="164"/>
      <c r="I176" s="164"/>
      <c r="J176" s="164"/>
      <c r="K176" s="176">
        <v>1101.0</v>
      </c>
      <c r="L176" s="167" t="s">
        <v>146</v>
      </c>
      <c r="M176" s="164"/>
      <c r="N176" s="164"/>
      <c r="O176" s="164"/>
      <c r="P176" s="164"/>
      <c r="Q176" s="164"/>
      <c r="R176" s="166"/>
      <c r="S176" s="164"/>
      <c r="T176" s="164"/>
      <c r="U176" s="6" t="s">
        <v>556</v>
      </c>
      <c r="V176" s="164"/>
      <c r="W176" s="164"/>
      <c r="X176" s="16">
        <f t="array" ref="X176">_xlfn.XLOOKUP(U176, 'CMFA-CSCDA Grants'!B:B, 'CMFA-CSCDA Grants'!A:A)
</f>
        <v>16</v>
      </c>
      <c r="Y176" s="166"/>
    </row>
    <row r="177">
      <c r="A177" s="157">
        <v>1.2810306E8</v>
      </c>
      <c r="B177" s="164" t="s">
        <v>2979</v>
      </c>
      <c r="C177" s="164"/>
      <c r="D177" s="6" t="str">
        <f t="shared" si="19"/>
        <v>343 MOON RIVER PL VACAVILLE CA 95687</v>
      </c>
      <c r="E177" s="164"/>
      <c r="F177" s="164"/>
      <c r="G177" s="164"/>
      <c r="H177" s="164"/>
      <c r="I177" s="164"/>
      <c r="J177" s="164"/>
      <c r="K177" s="176">
        <v>1101.0</v>
      </c>
      <c r="L177" s="167" t="s">
        <v>146</v>
      </c>
      <c r="M177" s="164"/>
      <c r="N177" s="164"/>
      <c r="O177" s="164"/>
      <c r="P177" s="164"/>
      <c r="Q177" s="164"/>
      <c r="R177" s="166"/>
      <c r="S177" s="164"/>
      <c r="T177" s="164"/>
      <c r="U177" s="6" t="s">
        <v>556</v>
      </c>
      <c r="V177" s="164"/>
      <c r="W177" s="164"/>
      <c r="X177" s="16">
        <f t="array" ref="X177">_xlfn.XLOOKUP(U177, 'CMFA-CSCDA Grants'!B:B, 'CMFA-CSCDA Grants'!A:A)
</f>
        <v>16</v>
      </c>
      <c r="Y177" s="166"/>
    </row>
    <row r="178">
      <c r="A178" s="157">
        <v>1.2810305E8</v>
      </c>
      <c r="B178" s="164" t="s">
        <v>2979</v>
      </c>
      <c r="C178" s="164"/>
      <c r="D178" s="6" t="str">
        <f t="shared" si="19"/>
        <v>343 MOON RIVER PL VACAVILLE CA 95687</v>
      </c>
      <c r="E178" s="164"/>
      <c r="F178" s="164"/>
      <c r="G178" s="164"/>
      <c r="H178" s="164"/>
      <c r="I178" s="164"/>
      <c r="J178" s="164"/>
      <c r="K178" s="193">
        <v>1101.0</v>
      </c>
      <c r="L178" s="167" t="s">
        <v>146</v>
      </c>
      <c r="M178" s="164"/>
      <c r="N178" s="164"/>
      <c r="O178" s="164"/>
      <c r="P178" s="164"/>
      <c r="Q178" s="164"/>
      <c r="R178" s="166"/>
      <c r="S178" s="164"/>
      <c r="T178" s="164"/>
      <c r="U178" s="6" t="s">
        <v>556</v>
      </c>
      <c r="V178" s="164"/>
      <c r="W178" s="164"/>
      <c r="X178" s="16">
        <f t="array" ref="X178">_xlfn.XLOOKUP(U178, 'CMFA-CSCDA Grants'!B:B, 'CMFA-CSCDA Grants'!A:A)
</f>
        <v>16</v>
      </c>
      <c r="Y178" s="166"/>
    </row>
    <row r="179">
      <c r="A179" s="157">
        <v>1.2810304E8</v>
      </c>
      <c r="B179" s="164" t="s">
        <v>2979</v>
      </c>
      <c r="C179" s="164"/>
      <c r="D179" s="6" t="str">
        <f t="shared" si="19"/>
        <v>343 MOON RIVER PL VACAVILLE CA 95687</v>
      </c>
      <c r="E179" s="164"/>
      <c r="F179" s="164"/>
      <c r="G179" s="164"/>
      <c r="H179" s="164"/>
      <c r="I179" s="164"/>
      <c r="J179" s="164"/>
      <c r="K179" s="176">
        <v>29932.0</v>
      </c>
      <c r="L179" s="167" t="s">
        <v>146</v>
      </c>
      <c r="M179" s="164"/>
      <c r="N179" s="164"/>
      <c r="O179" s="164"/>
      <c r="P179" s="164"/>
      <c r="Q179" s="164"/>
      <c r="R179" s="166"/>
      <c r="S179" s="164"/>
      <c r="T179" s="164"/>
      <c r="U179" s="6" t="s">
        <v>556</v>
      </c>
      <c r="V179" s="164"/>
      <c r="W179" s="164"/>
      <c r="X179" s="16">
        <f t="array" ref="X179">_xlfn.XLOOKUP(U179, 'CMFA-CSCDA Grants'!B:B, 'CMFA-CSCDA Grants'!A:A)
</f>
        <v>16</v>
      </c>
      <c r="Y179" s="166"/>
    </row>
    <row r="180">
      <c r="A180" s="157">
        <v>1.2810303E8</v>
      </c>
      <c r="B180" s="164" t="s">
        <v>2979</v>
      </c>
      <c r="C180" s="164"/>
      <c r="D180" s="6" t="str">
        <f t="shared" si="19"/>
        <v>343 MOON RIVER PL VACAVILLE CA 95687</v>
      </c>
      <c r="E180" s="164"/>
      <c r="F180" s="164"/>
      <c r="G180" s="164"/>
      <c r="H180" s="164"/>
      <c r="I180" s="164"/>
      <c r="J180" s="164"/>
      <c r="K180" s="195">
        <v>29932.0</v>
      </c>
      <c r="L180" s="167" t="s">
        <v>146</v>
      </c>
      <c r="M180" s="164"/>
      <c r="N180" s="164"/>
      <c r="O180" s="164"/>
      <c r="P180" s="164"/>
      <c r="Q180" s="164"/>
      <c r="R180" s="166"/>
      <c r="S180" s="164"/>
      <c r="T180" s="164"/>
      <c r="U180" s="6" t="s">
        <v>556</v>
      </c>
      <c r="V180" s="164"/>
      <c r="W180" s="164"/>
      <c r="X180" s="16">
        <f t="array" ref="X180">_xlfn.XLOOKUP(U180, 'CMFA-CSCDA Grants'!B:B, 'CMFA-CSCDA Grants'!A:A)
</f>
        <v>16</v>
      </c>
      <c r="Y180" s="166"/>
    </row>
    <row r="181">
      <c r="A181" s="157">
        <v>1.2810302E8</v>
      </c>
      <c r="B181" s="164" t="s">
        <v>2979</v>
      </c>
      <c r="C181" s="164"/>
      <c r="D181" s="6" t="str">
        <f t="shared" si="19"/>
        <v>343 MOON RIVER PL VACAVILLE CA 95687</v>
      </c>
      <c r="E181" s="164"/>
      <c r="F181" s="164"/>
      <c r="G181" s="164"/>
      <c r="H181" s="164"/>
      <c r="I181" s="164"/>
      <c r="J181" s="164"/>
      <c r="K181" s="195">
        <v>29932.0</v>
      </c>
      <c r="L181" s="167" t="s">
        <v>146</v>
      </c>
      <c r="M181" s="164"/>
      <c r="N181" s="164"/>
      <c r="O181" s="164"/>
      <c r="P181" s="164"/>
      <c r="Q181" s="164"/>
      <c r="R181" s="166"/>
      <c r="S181" s="164"/>
      <c r="T181" s="164"/>
      <c r="U181" s="6" t="s">
        <v>556</v>
      </c>
      <c r="V181" s="164"/>
      <c r="W181" s="164"/>
      <c r="X181" s="16">
        <f t="array" ref="X181">_xlfn.XLOOKUP(U181, 'CMFA-CSCDA Grants'!B:B, 'CMFA-CSCDA Grants'!A:A)
</f>
        <v>16</v>
      </c>
      <c r="Y181" s="166"/>
    </row>
    <row r="182">
      <c r="A182" s="157">
        <v>1.2810301E8</v>
      </c>
      <c r="B182" s="164" t="s">
        <v>2979</v>
      </c>
      <c r="C182" s="164"/>
      <c r="D182" s="6" t="str">
        <f t="shared" si="19"/>
        <v>343 MOON RIVER PL VACAVILLE CA 95687</v>
      </c>
      <c r="E182" s="164"/>
      <c r="F182" s="164"/>
      <c r="G182" s="164"/>
      <c r="H182" s="164"/>
      <c r="I182" s="164"/>
      <c r="J182" s="164"/>
      <c r="K182" s="195">
        <v>55923.0</v>
      </c>
      <c r="L182" s="167" t="s">
        <v>146</v>
      </c>
      <c r="M182" s="164"/>
      <c r="N182" s="164"/>
      <c r="O182" s="164"/>
      <c r="P182" s="164"/>
      <c r="Q182" s="164"/>
      <c r="R182" s="166"/>
      <c r="S182" s="164"/>
      <c r="T182" s="164"/>
      <c r="U182" s="6" t="s">
        <v>556</v>
      </c>
      <c r="V182" s="164"/>
      <c r="W182" s="164"/>
      <c r="X182" s="16">
        <f t="array" ref="X182">_xlfn.XLOOKUP(U182, 'CMFA-CSCDA Grants'!B:B, 'CMFA-CSCDA Grants'!A:A)
</f>
        <v>16</v>
      </c>
      <c r="Y182" s="166"/>
    </row>
    <row r="183">
      <c r="A183" s="157">
        <v>1.2810318E8</v>
      </c>
      <c r="B183" s="164" t="s">
        <v>2979</v>
      </c>
      <c r="C183" s="164"/>
      <c r="D183" s="6" t="str">
        <f t="shared" si="19"/>
        <v>343 MOON RIVER PL VACAVILLE CA 95687</v>
      </c>
      <c r="E183" s="164"/>
      <c r="F183" s="164"/>
      <c r="G183" s="164"/>
      <c r="H183" s="164"/>
      <c r="I183" s="164"/>
      <c r="J183" s="164"/>
      <c r="K183" s="195">
        <v>47738.0</v>
      </c>
      <c r="L183" s="167" t="s">
        <v>146</v>
      </c>
      <c r="M183" s="164"/>
      <c r="N183" s="164"/>
      <c r="O183" s="164"/>
      <c r="P183" s="164"/>
      <c r="Q183" s="164"/>
      <c r="R183" s="166"/>
      <c r="S183" s="164"/>
      <c r="T183" s="164"/>
      <c r="U183" s="6" t="s">
        <v>556</v>
      </c>
      <c r="V183" s="164"/>
      <c r="W183" s="164"/>
      <c r="X183" s="16">
        <f t="array" ref="X183">_xlfn.XLOOKUP(U183, 'CMFA-CSCDA Grants'!B:B, 'CMFA-CSCDA Grants'!A:A)
</f>
        <v>16</v>
      </c>
      <c r="Y183" s="166"/>
    </row>
    <row r="184">
      <c r="A184" s="157">
        <v>1.2810317E8</v>
      </c>
      <c r="B184" s="164" t="s">
        <v>2979</v>
      </c>
      <c r="C184" s="164"/>
      <c r="D184" s="6" t="str">
        <f t="shared" si="19"/>
        <v>343 MOON RIVER PL VACAVILLE CA 95687</v>
      </c>
      <c r="E184" s="164"/>
      <c r="F184" s="164"/>
      <c r="G184" s="164"/>
      <c r="H184" s="164"/>
      <c r="I184" s="164"/>
      <c r="J184" s="164"/>
      <c r="K184" s="195">
        <v>27211.0</v>
      </c>
      <c r="L184" s="167" t="s">
        <v>146</v>
      </c>
      <c r="M184" s="164"/>
      <c r="N184" s="164"/>
      <c r="O184" s="164"/>
      <c r="P184" s="164"/>
      <c r="Q184" s="164"/>
      <c r="R184" s="166"/>
      <c r="S184" s="164"/>
      <c r="T184" s="164"/>
      <c r="U184" s="6" t="s">
        <v>556</v>
      </c>
      <c r="V184" s="164"/>
      <c r="W184" s="164"/>
      <c r="X184" s="16">
        <f t="array" ref="X184">_xlfn.XLOOKUP(U184, 'CMFA-CSCDA Grants'!B:B, 'CMFA-CSCDA Grants'!A:A)
</f>
        <v>16</v>
      </c>
      <c r="Y184" s="166"/>
    </row>
    <row r="185">
      <c r="A185" s="157">
        <v>1.2810316E8</v>
      </c>
      <c r="B185" s="164" t="s">
        <v>2979</v>
      </c>
      <c r="C185" s="164"/>
      <c r="D185" s="6" t="str">
        <f t="shared" si="19"/>
        <v>343 MOON RIVER PL VACAVILLE CA 95687</v>
      </c>
      <c r="E185" s="164"/>
      <c r="F185" s="164"/>
      <c r="G185" s="164"/>
      <c r="H185" s="164"/>
      <c r="I185" s="164"/>
      <c r="J185" s="164"/>
      <c r="K185" s="195">
        <v>27211.0</v>
      </c>
      <c r="L185" s="167" t="s">
        <v>146</v>
      </c>
      <c r="M185" s="164"/>
      <c r="N185" s="164"/>
      <c r="O185" s="164"/>
      <c r="P185" s="164"/>
      <c r="Q185" s="164"/>
      <c r="R185" s="166"/>
      <c r="S185" s="164"/>
      <c r="T185" s="164"/>
      <c r="U185" s="6" t="s">
        <v>556</v>
      </c>
      <c r="V185" s="164"/>
      <c r="W185" s="164"/>
      <c r="X185" s="16">
        <f t="array" ref="X185">_xlfn.XLOOKUP(U185, 'CMFA-CSCDA Grants'!B:B, 'CMFA-CSCDA Grants'!A:A)
</f>
        <v>16</v>
      </c>
      <c r="Y185" s="166"/>
    </row>
    <row r="186">
      <c r="A186" s="157">
        <v>1.2810315E8</v>
      </c>
      <c r="B186" s="164" t="s">
        <v>2979</v>
      </c>
      <c r="C186" s="164"/>
      <c r="D186" s="6" t="str">
        <f t="shared" si="19"/>
        <v>343 MOON RIVER PL VACAVILLE CA 95687</v>
      </c>
      <c r="E186" s="164"/>
      <c r="F186" s="164"/>
      <c r="G186" s="164"/>
      <c r="H186" s="164"/>
      <c r="I186" s="164"/>
      <c r="J186" s="164"/>
      <c r="K186" s="195">
        <v>27211.0</v>
      </c>
      <c r="L186" s="167" t="s">
        <v>146</v>
      </c>
      <c r="M186" s="164"/>
      <c r="N186" s="164"/>
      <c r="O186" s="164"/>
      <c r="P186" s="164"/>
      <c r="Q186" s="164"/>
      <c r="R186" s="166"/>
      <c r="S186" s="164"/>
      <c r="T186" s="164"/>
      <c r="U186" s="6" t="s">
        <v>556</v>
      </c>
      <c r="V186" s="164"/>
      <c r="W186" s="164"/>
      <c r="X186" s="16">
        <f t="array" ref="X186">_xlfn.XLOOKUP(U186, 'CMFA-CSCDA Grants'!B:B, 'CMFA-CSCDA Grants'!A:A)
</f>
        <v>16</v>
      </c>
      <c r="Y186" s="166"/>
    </row>
    <row r="187">
      <c r="A187" s="157">
        <v>1.2810314E8</v>
      </c>
      <c r="B187" s="164" t="s">
        <v>2979</v>
      </c>
      <c r="C187" s="164"/>
      <c r="D187" s="6" t="str">
        <f t="shared" si="19"/>
        <v>343 MOON RIVER PL VACAVILLE CA 95687</v>
      </c>
      <c r="E187" s="164"/>
      <c r="F187" s="164"/>
      <c r="G187" s="164"/>
      <c r="H187" s="164"/>
      <c r="I187" s="164"/>
      <c r="J187" s="164"/>
      <c r="K187" s="195">
        <v>6874.0</v>
      </c>
      <c r="L187" s="167" t="s">
        <v>146</v>
      </c>
      <c r="M187" s="164"/>
      <c r="N187" s="164"/>
      <c r="O187" s="164"/>
      <c r="P187" s="164"/>
      <c r="Q187" s="164"/>
      <c r="R187" s="166"/>
      <c r="S187" s="164"/>
      <c r="T187" s="164"/>
      <c r="U187" s="6" t="s">
        <v>556</v>
      </c>
      <c r="V187" s="164"/>
      <c r="W187" s="164"/>
      <c r="X187" s="16">
        <f t="array" ref="X187">_xlfn.XLOOKUP(U187, 'CMFA-CSCDA Grants'!B:B, 'CMFA-CSCDA Grants'!A:A)
</f>
        <v>16</v>
      </c>
      <c r="Y187" s="166"/>
    </row>
    <row r="188">
      <c r="A188" s="157">
        <v>1.2810313E8</v>
      </c>
      <c r="B188" s="164" t="s">
        <v>2979</v>
      </c>
      <c r="C188" s="164"/>
      <c r="D188" s="6" t="str">
        <f t="shared" si="19"/>
        <v>343 MOON RIVER PL VACAVILLE CA 95687</v>
      </c>
      <c r="E188" s="164"/>
      <c r="F188" s="164"/>
      <c r="G188" s="164"/>
      <c r="H188" s="164"/>
      <c r="I188" s="164"/>
      <c r="J188" s="164"/>
      <c r="K188" s="195">
        <v>6874.0</v>
      </c>
      <c r="L188" s="167" t="s">
        <v>146</v>
      </c>
      <c r="M188" s="164"/>
      <c r="N188" s="164"/>
      <c r="O188" s="164"/>
      <c r="P188" s="164"/>
      <c r="Q188" s="164"/>
      <c r="R188" s="166"/>
      <c r="S188" s="164"/>
      <c r="T188" s="164"/>
      <c r="U188" s="6" t="s">
        <v>556</v>
      </c>
      <c r="V188" s="164"/>
      <c r="W188" s="164"/>
      <c r="X188" s="16">
        <f t="array" ref="X188">_xlfn.XLOOKUP(U188, 'CMFA-CSCDA Grants'!B:B, 'CMFA-CSCDA Grants'!A:A)
</f>
        <v>16</v>
      </c>
      <c r="Y188" s="166"/>
    </row>
    <row r="189">
      <c r="A189" s="157">
        <v>1.2810312E8</v>
      </c>
      <c r="B189" s="164" t="s">
        <v>2979</v>
      </c>
      <c r="C189" s="164"/>
      <c r="D189" s="6" t="str">
        <f t="shared" si="19"/>
        <v>343 MOON RIVER PL VACAVILLE CA 95687</v>
      </c>
      <c r="E189" s="164"/>
      <c r="F189" s="164"/>
      <c r="G189" s="164"/>
      <c r="H189" s="164"/>
      <c r="I189" s="164"/>
      <c r="J189" s="164"/>
      <c r="K189" s="195">
        <v>6874.0</v>
      </c>
      <c r="L189" s="167" t="s">
        <v>146</v>
      </c>
      <c r="M189" s="164"/>
      <c r="N189" s="164"/>
      <c r="O189" s="164"/>
      <c r="P189" s="164"/>
      <c r="Q189" s="164"/>
      <c r="R189" s="166"/>
      <c r="S189" s="164"/>
      <c r="T189" s="164"/>
      <c r="U189" s="6" t="s">
        <v>556</v>
      </c>
      <c r="V189" s="164"/>
      <c r="W189" s="164"/>
      <c r="X189" s="16">
        <f t="array" ref="X189">_xlfn.XLOOKUP(U189, 'CMFA-CSCDA Grants'!B:B, 'CMFA-CSCDA Grants'!A:A)
</f>
        <v>16</v>
      </c>
      <c r="Y189" s="166"/>
    </row>
    <row r="190">
      <c r="A190" s="157">
        <v>1.2810311E8</v>
      </c>
      <c r="B190" s="164" t="s">
        <v>2979</v>
      </c>
      <c r="C190" s="164"/>
      <c r="D190" s="6" t="str">
        <f t="shared" si="19"/>
        <v>343 MOON RIVER PL VACAVILLE CA 95687</v>
      </c>
      <c r="E190" s="164"/>
      <c r="F190" s="164"/>
      <c r="G190" s="164"/>
      <c r="H190" s="164"/>
      <c r="I190" s="164"/>
      <c r="J190" s="164"/>
      <c r="K190" s="195">
        <v>6874.0</v>
      </c>
      <c r="L190" s="167" t="s">
        <v>146</v>
      </c>
      <c r="M190" s="164"/>
      <c r="N190" s="164"/>
      <c r="O190" s="164"/>
      <c r="P190" s="164"/>
      <c r="Q190" s="164"/>
      <c r="R190" s="166"/>
      <c r="S190" s="164"/>
      <c r="T190" s="164"/>
      <c r="U190" s="6" t="s">
        <v>556</v>
      </c>
      <c r="V190" s="164"/>
      <c r="W190" s="164"/>
      <c r="X190" s="16">
        <f t="array" ref="X190">_xlfn.XLOOKUP(U190, 'CMFA-CSCDA Grants'!B:B, 'CMFA-CSCDA Grants'!A:A)
</f>
        <v>16</v>
      </c>
      <c r="Y190" s="166"/>
    </row>
    <row r="191">
      <c r="A191" s="157">
        <v>1.281031E8</v>
      </c>
      <c r="B191" s="164" t="s">
        <v>2979</v>
      </c>
      <c r="C191" s="164"/>
      <c r="D191" s="6" t="str">
        <f t="shared" si="19"/>
        <v>343 MOON RIVER PL VACAVILLE CA 95687</v>
      </c>
      <c r="E191" s="164"/>
      <c r="F191" s="164"/>
      <c r="G191" s="164"/>
      <c r="H191" s="164"/>
      <c r="I191" s="164"/>
      <c r="J191" s="164"/>
      <c r="K191" s="195">
        <v>8329.0</v>
      </c>
      <c r="L191" s="167" t="s">
        <v>146</v>
      </c>
      <c r="M191" s="164"/>
      <c r="N191" s="164"/>
      <c r="O191" s="164"/>
      <c r="P191" s="164"/>
      <c r="Q191" s="164"/>
      <c r="R191" s="166"/>
      <c r="S191" s="164"/>
      <c r="T191" s="164"/>
      <c r="U191" s="6" t="s">
        <v>556</v>
      </c>
      <c r="V191" s="164"/>
      <c r="W191" s="164"/>
      <c r="X191" s="16">
        <f t="array" ref="X191">_xlfn.XLOOKUP(U191, 'CMFA-CSCDA Grants'!B:B, 'CMFA-CSCDA Grants'!A:A)
</f>
        <v>16</v>
      </c>
      <c r="Y191" s="166"/>
    </row>
    <row r="192">
      <c r="A192" s="157">
        <v>1.2810506E8</v>
      </c>
      <c r="B192" s="164" t="s">
        <v>2979</v>
      </c>
      <c r="C192" s="164"/>
      <c r="D192" s="6" t="str">
        <f t="shared" si="19"/>
        <v>343 MOON RIVER PL VACAVILLE CA 95687</v>
      </c>
      <c r="E192" s="164"/>
      <c r="F192" s="164"/>
      <c r="G192" s="164"/>
      <c r="H192" s="164"/>
      <c r="I192" s="164"/>
      <c r="J192" s="164"/>
      <c r="K192" s="195" t="s">
        <v>146</v>
      </c>
      <c r="L192" s="167" t="s">
        <v>146</v>
      </c>
      <c r="M192" s="164"/>
      <c r="N192" s="164"/>
      <c r="O192" s="164"/>
      <c r="P192" s="164"/>
      <c r="Q192" s="164"/>
      <c r="R192" s="166"/>
      <c r="S192" s="164"/>
      <c r="T192" s="164"/>
      <c r="U192" s="6" t="s">
        <v>556</v>
      </c>
      <c r="V192" s="164"/>
      <c r="W192" s="164"/>
      <c r="X192" s="16">
        <f t="array" ref="X192">_xlfn.XLOOKUP(U192, 'CMFA-CSCDA Grants'!B:B, 'CMFA-CSCDA Grants'!A:A)
</f>
        <v>16</v>
      </c>
      <c r="Y192" s="166"/>
    </row>
    <row r="193">
      <c r="A193" s="157">
        <v>1.2810505E8</v>
      </c>
      <c r="B193" s="164" t="s">
        <v>2979</v>
      </c>
      <c r="C193" s="164"/>
      <c r="D193" s="6" t="str">
        <f t="shared" si="19"/>
        <v>343 MOON RIVER PL VACAVILLE CA 95687</v>
      </c>
      <c r="E193" s="164"/>
      <c r="F193" s="164"/>
      <c r="G193" s="164"/>
      <c r="H193" s="164"/>
      <c r="I193" s="164"/>
      <c r="J193" s="164"/>
      <c r="K193" s="195">
        <v>11538.0</v>
      </c>
      <c r="L193" s="167" t="s">
        <v>146</v>
      </c>
      <c r="M193" s="164"/>
      <c r="N193" s="164"/>
      <c r="O193" s="164"/>
      <c r="P193" s="164"/>
      <c r="Q193" s="164"/>
      <c r="R193" s="166"/>
      <c r="S193" s="164"/>
      <c r="T193" s="164"/>
      <c r="U193" s="6" t="s">
        <v>556</v>
      </c>
      <c r="V193" s="164"/>
      <c r="W193" s="164"/>
      <c r="X193" s="16">
        <f t="array" ref="X193">_xlfn.XLOOKUP(U193, 'CMFA-CSCDA Grants'!B:B, 'CMFA-CSCDA Grants'!A:A)
</f>
        <v>16</v>
      </c>
      <c r="Y193" s="166"/>
    </row>
    <row r="194">
      <c r="A194" s="157">
        <v>1.2810504E8</v>
      </c>
      <c r="B194" s="164" t="s">
        <v>2979</v>
      </c>
      <c r="C194" s="164"/>
      <c r="D194" s="6" t="str">
        <f t="shared" si="19"/>
        <v>343 MOON RIVER PL VACAVILLE CA 95687</v>
      </c>
      <c r="E194" s="164"/>
      <c r="F194" s="164"/>
      <c r="G194" s="164"/>
      <c r="H194" s="164"/>
      <c r="I194" s="164"/>
      <c r="J194" s="164"/>
      <c r="K194" s="195">
        <v>11625.0</v>
      </c>
      <c r="L194" s="167" t="s">
        <v>146</v>
      </c>
      <c r="M194" s="164"/>
      <c r="N194" s="164"/>
      <c r="O194" s="164"/>
      <c r="P194" s="164"/>
      <c r="Q194" s="164"/>
      <c r="R194" s="166"/>
      <c r="S194" s="164"/>
      <c r="T194" s="164"/>
      <c r="U194" s="6" t="s">
        <v>556</v>
      </c>
      <c r="V194" s="164"/>
      <c r="W194" s="164"/>
      <c r="X194" s="16">
        <f t="array" ref="X194">_xlfn.XLOOKUP(U194, 'CMFA-CSCDA Grants'!B:B, 'CMFA-CSCDA Grants'!A:A)
</f>
        <v>16</v>
      </c>
      <c r="Y194" s="166"/>
    </row>
    <row r="195">
      <c r="A195" s="157">
        <v>1.2810503E8</v>
      </c>
      <c r="B195" s="164" t="s">
        <v>2979</v>
      </c>
      <c r="C195" s="164"/>
      <c r="D195" s="6" t="str">
        <f t="shared" si="19"/>
        <v>343 MOON RIVER PL VACAVILLE CA 95687</v>
      </c>
      <c r="E195" s="164"/>
      <c r="F195" s="164"/>
      <c r="G195" s="164"/>
      <c r="H195" s="164"/>
      <c r="I195" s="164"/>
      <c r="J195" s="164"/>
      <c r="K195" s="195">
        <v>11618.0</v>
      </c>
      <c r="L195" s="167" t="s">
        <v>146</v>
      </c>
      <c r="M195" s="164"/>
      <c r="N195" s="164"/>
      <c r="O195" s="164"/>
      <c r="P195" s="164"/>
      <c r="Q195" s="164"/>
      <c r="R195" s="166"/>
      <c r="S195" s="164"/>
      <c r="T195" s="164"/>
      <c r="U195" s="6" t="s">
        <v>556</v>
      </c>
      <c r="V195" s="164"/>
      <c r="W195" s="164"/>
      <c r="X195" s="16">
        <f t="array" ref="X195">_xlfn.XLOOKUP(U195, 'CMFA-CSCDA Grants'!B:B, 'CMFA-CSCDA Grants'!A:A)
</f>
        <v>16</v>
      </c>
      <c r="Y195" s="166"/>
    </row>
    <row r="196">
      <c r="A196" s="157">
        <v>1.2810502E8</v>
      </c>
      <c r="B196" s="164" t="s">
        <v>2979</v>
      </c>
      <c r="C196" s="164"/>
      <c r="D196" s="6" t="str">
        <f t="shared" si="19"/>
        <v>343 MOON RIVER PL VACAVILLE CA 95687</v>
      </c>
      <c r="E196" s="164"/>
      <c r="F196" s="164"/>
      <c r="G196" s="164"/>
      <c r="H196" s="164"/>
      <c r="I196" s="164"/>
      <c r="J196" s="164"/>
      <c r="K196" s="195">
        <v>11609.0</v>
      </c>
      <c r="L196" s="167" t="s">
        <v>146</v>
      </c>
      <c r="M196" s="164"/>
      <c r="N196" s="164"/>
      <c r="O196" s="164"/>
      <c r="P196" s="164"/>
      <c r="Q196" s="164"/>
      <c r="R196" s="166"/>
      <c r="S196" s="164"/>
      <c r="T196" s="164"/>
      <c r="U196" s="6" t="s">
        <v>556</v>
      </c>
      <c r="V196" s="164"/>
      <c r="W196" s="164"/>
      <c r="X196" s="16">
        <f t="array" ref="X196">_xlfn.XLOOKUP(U196, 'CMFA-CSCDA Grants'!B:B, 'CMFA-CSCDA Grants'!A:A)
</f>
        <v>16</v>
      </c>
      <c r="Y196" s="166"/>
    </row>
    <row r="197">
      <c r="A197" s="157">
        <v>1.2810501E8</v>
      </c>
      <c r="B197" s="164" t="s">
        <v>2979</v>
      </c>
      <c r="C197" s="164"/>
      <c r="D197" s="6" t="str">
        <f t="shared" si="19"/>
        <v>343 MOON RIVER PL VACAVILLE CA 95687</v>
      </c>
      <c r="E197" s="164"/>
      <c r="F197" s="164"/>
      <c r="G197" s="164"/>
      <c r="H197" s="164"/>
      <c r="I197" s="164"/>
      <c r="J197" s="164"/>
      <c r="K197" s="195">
        <v>11771.0</v>
      </c>
      <c r="L197" s="167" t="s">
        <v>146</v>
      </c>
      <c r="M197" s="164"/>
      <c r="N197" s="164"/>
      <c r="O197" s="164"/>
      <c r="P197" s="164"/>
      <c r="Q197" s="164"/>
      <c r="R197" s="166"/>
      <c r="S197" s="164"/>
      <c r="T197" s="164"/>
      <c r="U197" s="6" t="s">
        <v>556</v>
      </c>
      <c r="V197" s="164"/>
      <c r="W197" s="164"/>
      <c r="X197" s="16">
        <f t="array" ref="X197">_xlfn.XLOOKUP(U197, 'CMFA-CSCDA Grants'!B:B, 'CMFA-CSCDA Grants'!A:A)
</f>
        <v>16</v>
      </c>
      <c r="Y197" s="166"/>
    </row>
    <row r="198">
      <c r="A198" s="157">
        <v>1.2810402E8</v>
      </c>
      <c r="B198" s="164" t="s">
        <v>2979</v>
      </c>
      <c r="C198" s="164"/>
      <c r="D198" s="6" t="str">
        <f t="shared" si="19"/>
        <v>343 MOON RIVER PL VACAVILLE CA 95687</v>
      </c>
      <c r="E198" s="164"/>
      <c r="F198" s="164"/>
      <c r="G198" s="164"/>
      <c r="H198" s="164"/>
      <c r="I198" s="164"/>
      <c r="J198" s="164"/>
      <c r="K198" s="195">
        <v>56604.0</v>
      </c>
      <c r="L198" s="167" t="s">
        <v>146</v>
      </c>
      <c r="M198" s="164"/>
      <c r="N198" s="164"/>
      <c r="O198" s="164"/>
      <c r="P198" s="164"/>
      <c r="Q198" s="164"/>
      <c r="R198" s="166"/>
      <c r="S198" s="164"/>
      <c r="T198" s="164"/>
      <c r="U198" s="6" t="s">
        <v>556</v>
      </c>
      <c r="V198" s="164"/>
      <c r="W198" s="164"/>
      <c r="X198" s="16">
        <f t="array" ref="X198">_xlfn.XLOOKUP(U198, 'CMFA-CSCDA Grants'!B:B, 'CMFA-CSCDA Grants'!A:A)
</f>
        <v>16</v>
      </c>
      <c r="Y198" s="166"/>
    </row>
    <row r="199">
      <c r="A199" s="157">
        <v>1.2810401E8</v>
      </c>
      <c r="B199" s="164" t="s">
        <v>2979</v>
      </c>
      <c r="C199" s="164"/>
      <c r="D199" s="6" t="str">
        <f t="shared" si="19"/>
        <v>343 MOON RIVER PL VACAVILLE CA 95687</v>
      </c>
      <c r="E199" s="164"/>
      <c r="F199" s="164"/>
      <c r="G199" s="164"/>
      <c r="H199" s="164"/>
      <c r="I199" s="164"/>
      <c r="J199" s="164"/>
      <c r="K199" s="195">
        <v>60404.0</v>
      </c>
      <c r="L199" s="167" t="s">
        <v>146</v>
      </c>
      <c r="M199" s="164"/>
      <c r="N199" s="164"/>
      <c r="O199" s="164"/>
      <c r="P199" s="164"/>
      <c r="Q199" s="164"/>
      <c r="R199" s="166"/>
      <c r="S199" s="164"/>
      <c r="T199" s="164"/>
      <c r="U199" s="6" t="s">
        <v>556</v>
      </c>
      <c r="V199" s="164"/>
      <c r="W199" s="164"/>
      <c r="X199" s="16">
        <f t="array" ref="X199">_xlfn.XLOOKUP(U199, 'CMFA-CSCDA Grants'!B:B, 'CMFA-CSCDA Grants'!A:A)
</f>
        <v>16</v>
      </c>
      <c r="Y199" s="166"/>
    </row>
    <row r="200" hidden="1">
      <c r="A200" s="221" t="s">
        <v>401</v>
      </c>
      <c r="B200" s="164" t="s">
        <v>3364</v>
      </c>
      <c r="C200" s="164"/>
      <c r="D200" s="164"/>
      <c r="E200" s="164"/>
      <c r="F200" s="164"/>
      <c r="G200" s="164"/>
      <c r="H200" s="164"/>
      <c r="I200" s="164"/>
      <c r="J200" s="164"/>
      <c r="K200" s="195">
        <v>3.4540259E7</v>
      </c>
      <c r="L200" s="167">
        <v>3.1941172E7</v>
      </c>
      <c r="M200" s="164"/>
      <c r="N200" s="164"/>
      <c r="O200" s="164"/>
      <c r="P200" s="164"/>
      <c r="Q200" s="164"/>
      <c r="R200" s="166"/>
      <c r="S200" s="164"/>
      <c r="T200" s="164" t="s">
        <v>640</v>
      </c>
      <c r="U200" s="164" t="s">
        <v>406</v>
      </c>
      <c r="V200" s="164" t="s">
        <v>641</v>
      </c>
      <c r="W200" s="164" t="s">
        <v>114</v>
      </c>
      <c r="X200" s="16">
        <f t="array" ref="X200">_xlfn.XLOOKUP(U200, 'CMFA-CSCDA Grants'!B:B, 'CMFA-CSCDA Grants'!A:A)
</f>
        <v>22</v>
      </c>
      <c r="Y200" s="166"/>
    </row>
    <row r="201" hidden="1">
      <c r="A201" s="223" t="s">
        <v>413</v>
      </c>
      <c r="B201" s="164" t="s">
        <v>3367</v>
      </c>
      <c r="C201" s="164"/>
      <c r="D201" s="164"/>
      <c r="E201" s="164"/>
      <c r="F201" s="164"/>
      <c r="G201" s="164"/>
      <c r="H201" s="164"/>
      <c r="I201" s="164"/>
      <c r="J201" s="164"/>
      <c r="K201" s="152">
        <v>8899678.0</v>
      </c>
      <c r="L201" s="167" t="s">
        <v>146</v>
      </c>
      <c r="M201" s="164"/>
      <c r="N201" s="164"/>
      <c r="O201" s="164"/>
      <c r="P201" s="164"/>
      <c r="Q201" s="164"/>
      <c r="R201" s="166"/>
      <c r="S201" s="164"/>
      <c r="T201" s="164" t="s">
        <v>3369</v>
      </c>
      <c r="U201" s="164" t="s">
        <v>417</v>
      </c>
      <c r="V201" s="164" t="s">
        <v>114</v>
      </c>
      <c r="W201" s="164" t="s">
        <v>114</v>
      </c>
      <c r="X201" s="16">
        <f t="array" ref="X201">_xlfn.XLOOKUP(U201, 'CMFA-CSCDA Grants'!B:B, 'CMFA-CSCDA Grants'!A:A)
</f>
        <v>23</v>
      </c>
      <c r="Y201" s="166"/>
    </row>
    <row r="202" hidden="1">
      <c r="A202" s="221" t="s">
        <v>3371</v>
      </c>
      <c r="B202" s="164" t="s">
        <v>3375</v>
      </c>
      <c r="C202" s="164"/>
      <c r="D202" s="164"/>
      <c r="E202" s="164"/>
      <c r="F202" s="164"/>
      <c r="G202" s="164"/>
      <c r="H202" s="164"/>
      <c r="I202" s="164"/>
      <c r="J202" s="164"/>
      <c r="K202" s="152">
        <v>2856000.0</v>
      </c>
      <c r="L202" s="167" t="s">
        <v>146</v>
      </c>
      <c r="M202" s="164"/>
      <c r="N202" s="164"/>
      <c r="O202" s="164"/>
      <c r="P202" s="164"/>
      <c r="Q202" s="164"/>
      <c r="R202" s="166"/>
      <c r="S202" s="164"/>
      <c r="T202" s="164" t="s">
        <v>701</v>
      </c>
      <c r="U202" s="164" t="s">
        <v>533</v>
      </c>
      <c r="V202" s="164" t="s">
        <v>114</v>
      </c>
      <c r="W202" s="164" t="s">
        <v>114</v>
      </c>
      <c r="X202" s="16">
        <f t="array" ref="X202">_xlfn.XLOOKUP(U202, 'CMFA-CSCDA Grants'!B:B, 'CMFA-CSCDA Grants'!A:A)
</f>
        <v>33</v>
      </c>
      <c r="Y202" s="166"/>
    </row>
    <row r="203">
      <c r="A203" s="223"/>
      <c r="B203" s="164" t="s">
        <v>545</v>
      </c>
      <c r="C203" s="164"/>
      <c r="D203" s="6" t="str">
        <f>IF(ISBLANK(C203),B203,C203)</f>
        <v>4930 POLK ST NORTH HIGHLANDS CA 95660</v>
      </c>
      <c r="E203" s="164"/>
      <c r="F203" s="164"/>
      <c r="G203" s="164"/>
      <c r="H203" s="164"/>
      <c r="I203" s="164"/>
      <c r="J203" s="164"/>
      <c r="K203" s="152"/>
      <c r="L203" s="167"/>
      <c r="M203" s="164"/>
      <c r="N203" s="164"/>
      <c r="O203" s="164"/>
      <c r="P203" s="164"/>
      <c r="Q203" s="164"/>
      <c r="R203" s="166"/>
      <c r="S203" s="164"/>
      <c r="T203" s="164" t="s">
        <v>693</v>
      </c>
      <c r="U203" s="164" t="s">
        <v>692</v>
      </c>
      <c r="V203" s="164" t="s">
        <v>694</v>
      </c>
      <c r="W203" s="164" t="s">
        <v>120</v>
      </c>
      <c r="X203" s="16">
        <f t="array" ref="X203">_xlfn.XLOOKUP(U203, 'CMFA-CSCDA Grants'!B:B, 'CMFA-CSCDA Grants'!A:A)
</f>
        <v>35</v>
      </c>
      <c r="Y203" s="166"/>
    </row>
    <row r="204" hidden="1">
      <c r="A204" s="221" t="s">
        <v>741</v>
      </c>
      <c r="B204" s="164" t="s">
        <v>3379</v>
      </c>
      <c r="C204" s="164"/>
      <c r="D204" s="164"/>
      <c r="E204" s="164"/>
      <c r="F204" s="164"/>
      <c r="G204" s="164"/>
      <c r="H204" s="164"/>
      <c r="I204" s="164"/>
      <c r="J204" s="164"/>
      <c r="K204" s="152">
        <v>3719558.0</v>
      </c>
      <c r="L204" s="167" t="s">
        <v>146</v>
      </c>
      <c r="M204" s="164"/>
      <c r="N204" s="164"/>
      <c r="O204" s="164"/>
      <c r="P204" s="164"/>
      <c r="Q204" s="164"/>
      <c r="R204" s="166"/>
      <c r="S204" s="164"/>
      <c r="T204" s="164" t="s">
        <v>868</v>
      </c>
      <c r="U204" s="164" t="s">
        <v>746</v>
      </c>
      <c r="V204" s="164" t="s">
        <v>114</v>
      </c>
      <c r="W204" s="164" t="s">
        <v>114</v>
      </c>
      <c r="X204" s="16">
        <f t="array" ref="X204">_xlfn.XLOOKUP(U204, 'CMFA-CSCDA Grants'!B:B, 'CMFA-CSCDA Grants'!A:A)
</f>
        <v>41</v>
      </c>
      <c r="Y204" s="166"/>
    </row>
    <row r="205">
      <c r="A205" s="151" t="s">
        <v>802</v>
      </c>
      <c r="B205" s="6" t="s">
        <v>803</v>
      </c>
      <c r="C205" s="6"/>
      <c r="D205" s="6" t="str">
        <f t="shared" ref="D205:D210" si="20">IF(ISBLANK(C205),B205,C205)</f>
        <v>3500 Edison St, San Mateo, CA</v>
      </c>
      <c r="E205" s="164"/>
      <c r="F205" s="164"/>
      <c r="G205" s="164"/>
      <c r="H205" s="164"/>
      <c r="I205" s="164"/>
      <c r="J205" s="164"/>
      <c r="K205" s="25">
        <v>3.1083E7</v>
      </c>
      <c r="L205" s="25">
        <v>7000.0</v>
      </c>
      <c r="M205" s="164"/>
      <c r="N205" s="164"/>
      <c r="O205" s="164"/>
      <c r="P205" s="164"/>
      <c r="Q205" s="164"/>
      <c r="R205" s="166"/>
      <c r="S205" s="164"/>
      <c r="T205" s="6" t="s">
        <v>935</v>
      </c>
      <c r="U205" s="6" t="s">
        <v>791</v>
      </c>
      <c r="V205" s="164" t="s">
        <v>124</v>
      </c>
      <c r="W205" s="164" t="s">
        <v>124</v>
      </c>
      <c r="X205" s="16">
        <f t="array" ref="X205">_xlfn.XLOOKUP(U205, 'CMFA-CSCDA Grants'!B:B, 'CMFA-CSCDA Grants'!A:A)
</f>
        <v>48</v>
      </c>
      <c r="Y205" s="166"/>
    </row>
    <row r="206">
      <c r="A206" s="151" t="s">
        <v>804</v>
      </c>
      <c r="B206" s="6" t="s">
        <v>803</v>
      </c>
      <c r="C206" s="6"/>
      <c r="D206" s="6" t="str">
        <f t="shared" si="20"/>
        <v>3500 Edison St, San Mateo, CA</v>
      </c>
      <c r="E206" s="164"/>
      <c r="F206" s="164"/>
      <c r="G206" s="164"/>
      <c r="H206" s="164"/>
      <c r="I206" s="164"/>
      <c r="J206" s="164"/>
      <c r="K206" s="25">
        <v>6.29329E7</v>
      </c>
      <c r="L206" s="25">
        <v>7000.0</v>
      </c>
      <c r="M206" s="164"/>
      <c r="N206" s="164"/>
      <c r="O206" s="164"/>
      <c r="P206" s="164"/>
      <c r="Q206" s="164"/>
      <c r="R206" s="166"/>
      <c r="S206" s="164"/>
      <c r="T206" s="6" t="s">
        <v>935</v>
      </c>
      <c r="U206" s="6" t="s">
        <v>791</v>
      </c>
      <c r="V206" s="164" t="s">
        <v>124</v>
      </c>
      <c r="W206" s="164" t="s">
        <v>124</v>
      </c>
      <c r="X206" s="16">
        <f t="array" ref="X206">_xlfn.XLOOKUP(U206, 'CMFA-CSCDA Grants'!B:B, 'CMFA-CSCDA Grants'!A:A)
</f>
        <v>48</v>
      </c>
      <c r="Y206" s="166"/>
    </row>
    <row r="207">
      <c r="A207" s="151" t="s">
        <v>808</v>
      </c>
      <c r="B207" s="6" t="s">
        <v>803</v>
      </c>
      <c r="C207" s="6" t="s">
        <v>810</v>
      </c>
      <c r="D207" s="6" t="str">
        <f t="shared" si="20"/>
        <v>242 36TH AVE SAN MATEO</v>
      </c>
      <c r="E207" s="164"/>
      <c r="F207" s="164"/>
      <c r="G207" s="164"/>
      <c r="H207" s="164"/>
      <c r="I207" s="164"/>
      <c r="J207" s="164"/>
      <c r="K207" s="25">
        <v>4.48214E7</v>
      </c>
      <c r="L207" s="25">
        <v>7000.0</v>
      </c>
      <c r="M207" s="164"/>
      <c r="N207" s="164"/>
      <c r="O207" s="164"/>
      <c r="P207" s="164"/>
      <c r="Q207" s="164"/>
      <c r="R207" s="166"/>
      <c r="S207" s="164"/>
      <c r="T207" s="6" t="s">
        <v>935</v>
      </c>
      <c r="U207" s="6" t="s">
        <v>791</v>
      </c>
      <c r="V207" s="164" t="s">
        <v>124</v>
      </c>
      <c r="W207" s="164" t="s">
        <v>124</v>
      </c>
      <c r="X207" s="16">
        <f t="array" ref="X207">_xlfn.XLOOKUP(U207, 'CMFA-CSCDA Grants'!B:B, 'CMFA-CSCDA Grants'!A:A)
</f>
        <v>48</v>
      </c>
      <c r="Y207" s="166"/>
    </row>
    <row r="208">
      <c r="A208" s="151" t="s">
        <v>811</v>
      </c>
      <c r="B208" s="6" t="s">
        <v>803</v>
      </c>
      <c r="C208" s="6" t="s">
        <v>812</v>
      </c>
      <c r="D208" s="6" t="str">
        <f t="shared" si="20"/>
        <v>3640 EDISON ST</v>
      </c>
      <c r="E208" s="164"/>
      <c r="F208" s="164"/>
      <c r="G208" s="164"/>
      <c r="H208" s="164"/>
      <c r="I208" s="164"/>
      <c r="J208" s="164"/>
      <c r="K208" s="25">
        <v>3.11617E7</v>
      </c>
      <c r="L208" s="25">
        <v>7000.0</v>
      </c>
      <c r="M208" s="164"/>
      <c r="N208" s="164"/>
      <c r="O208" s="164"/>
      <c r="P208" s="164"/>
      <c r="Q208" s="164"/>
      <c r="R208" s="166"/>
      <c r="S208" s="164"/>
      <c r="T208" s="6" t="s">
        <v>935</v>
      </c>
      <c r="U208" s="6" t="s">
        <v>791</v>
      </c>
      <c r="V208" s="164" t="s">
        <v>124</v>
      </c>
      <c r="W208" s="164" t="s">
        <v>124</v>
      </c>
      <c r="X208" s="16">
        <f t="array" ref="X208">_xlfn.XLOOKUP(U208, 'CMFA-CSCDA Grants'!B:B, 'CMFA-CSCDA Grants'!A:A)
</f>
        <v>48</v>
      </c>
      <c r="Y208" s="166"/>
    </row>
    <row r="209">
      <c r="A209" s="151" t="s">
        <v>813</v>
      </c>
      <c r="B209" s="6" t="s">
        <v>803</v>
      </c>
      <c r="C209" s="6" t="s">
        <v>814</v>
      </c>
      <c r="D209" s="6" t="str">
        <f t="shared" si="20"/>
        <v>186 36TH AVE SAN MATEO</v>
      </c>
      <c r="E209" s="164"/>
      <c r="F209" s="164"/>
      <c r="G209" s="164"/>
      <c r="H209" s="164"/>
      <c r="I209" s="164"/>
      <c r="J209" s="164"/>
      <c r="K209" s="25">
        <v>4.1355E7</v>
      </c>
      <c r="L209" s="25">
        <v>0.0</v>
      </c>
      <c r="M209" s="164"/>
      <c r="N209" s="164"/>
      <c r="O209" s="164"/>
      <c r="P209" s="164"/>
      <c r="Q209" s="164"/>
      <c r="R209" s="166"/>
      <c r="S209" s="164"/>
      <c r="T209" s="6" t="s">
        <v>935</v>
      </c>
      <c r="U209" s="6" t="s">
        <v>791</v>
      </c>
      <c r="V209" s="164" t="s">
        <v>124</v>
      </c>
      <c r="W209" s="164" t="s">
        <v>124</v>
      </c>
      <c r="X209" s="16">
        <f t="array" ref="X209">_xlfn.XLOOKUP(U209, 'CMFA-CSCDA Grants'!B:B, 'CMFA-CSCDA Grants'!A:A)
</f>
        <v>48</v>
      </c>
      <c r="Y209" s="166"/>
    </row>
    <row r="210">
      <c r="A210" s="151" t="s">
        <v>817</v>
      </c>
      <c r="B210" s="6" t="s">
        <v>803</v>
      </c>
      <c r="C210" s="6" t="s">
        <v>818</v>
      </c>
      <c r="D210" s="6" t="str">
        <f t="shared" si="20"/>
        <v>3675 EDISON ST SAN MATEO</v>
      </c>
      <c r="E210" s="164"/>
      <c r="F210" s="164"/>
      <c r="G210" s="164"/>
      <c r="H210" s="164"/>
      <c r="I210" s="164"/>
      <c r="J210" s="164"/>
      <c r="K210" s="25">
        <v>4.10085E7</v>
      </c>
      <c r="L210" s="25">
        <v>0.0</v>
      </c>
      <c r="M210" s="164"/>
      <c r="N210" s="164"/>
      <c r="O210" s="164"/>
      <c r="P210" s="164"/>
      <c r="Q210" s="164"/>
      <c r="R210" s="166"/>
      <c r="S210" s="164"/>
      <c r="T210" s="6" t="s">
        <v>935</v>
      </c>
      <c r="U210" s="6" t="s">
        <v>791</v>
      </c>
      <c r="V210" s="164" t="s">
        <v>124</v>
      </c>
      <c r="W210" s="164" t="s">
        <v>124</v>
      </c>
      <c r="X210" s="16">
        <f t="array" ref="X210">_xlfn.XLOOKUP(U210, 'CMFA-CSCDA Grants'!B:B, 'CMFA-CSCDA Grants'!A:A)
</f>
        <v>48</v>
      </c>
      <c r="Y210" s="166"/>
    </row>
    <row r="211" hidden="1">
      <c r="A211" s="232" t="s">
        <v>3537</v>
      </c>
      <c r="B211" s="164" t="s">
        <v>3386</v>
      </c>
      <c r="C211" s="209" t="s">
        <v>3495</v>
      </c>
      <c r="D211" s="209"/>
      <c r="E211" s="164"/>
      <c r="F211" s="164"/>
      <c r="G211" s="164"/>
      <c r="H211" s="164"/>
      <c r="I211" s="164"/>
      <c r="J211" s="164"/>
      <c r="K211" s="234">
        <v>2857832.0</v>
      </c>
      <c r="L211" s="234">
        <v>1693979.0</v>
      </c>
      <c r="M211" s="164"/>
      <c r="N211" s="164"/>
      <c r="O211" s="164"/>
      <c r="P211" s="164"/>
      <c r="Q211" s="164"/>
      <c r="R211" s="166"/>
      <c r="S211" s="164"/>
      <c r="T211" s="164"/>
      <c r="U211" s="209" t="s">
        <v>3496</v>
      </c>
      <c r="V211" s="164" t="s">
        <v>1019</v>
      </c>
      <c r="W211" s="164" t="s">
        <v>114</v>
      </c>
      <c r="X211" s="16" t="str">
        <f t="array" ref="X211">_xlfn.XLOOKUP(U211, 'CMFA-CSCDA Grants'!B:B, 'CMFA-CSCDA Grants'!A:A)
</f>
        <v>#N/A</v>
      </c>
      <c r="Y211" s="166"/>
    </row>
    <row r="212" hidden="1">
      <c r="A212" s="232" t="s">
        <v>3538</v>
      </c>
      <c r="B212" s="164" t="s">
        <v>3386</v>
      </c>
      <c r="C212" s="218" t="s">
        <v>3500</v>
      </c>
      <c r="D212" s="218"/>
      <c r="E212" s="164"/>
      <c r="F212" s="164"/>
      <c r="G212" s="164"/>
      <c r="H212" s="164"/>
      <c r="I212" s="164"/>
      <c r="J212" s="164"/>
      <c r="K212" s="234">
        <v>2780364.0</v>
      </c>
      <c r="L212" s="234">
        <v>1263955.0</v>
      </c>
      <c r="M212" s="164"/>
      <c r="N212" s="164"/>
      <c r="O212" s="164"/>
      <c r="P212" s="164"/>
      <c r="Q212" s="164"/>
      <c r="R212" s="166"/>
      <c r="S212" s="164"/>
      <c r="T212" s="164"/>
      <c r="U212" s="209" t="s">
        <v>3496</v>
      </c>
      <c r="V212" s="164" t="s">
        <v>1019</v>
      </c>
      <c r="W212" s="164" t="s">
        <v>114</v>
      </c>
      <c r="X212" s="16" t="str">
        <f t="array" ref="X212">_xlfn.XLOOKUP(U212, 'CMFA-CSCDA Grants'!B:B, 'CMFA-CSCDA Grants'!A:A)
</f>
        <v>#N/A</v>
      </c>
      <c r="Y212" s="166"/>
    </row>
    <row r="213" hidden="1">
      <c r="A213" s="235" t="s">
        <v>3539</v>
      </c>
      <c r="B213" s="164" t="s">
        <v>3386</v>
      </c>
      <c r="C213" s="220" t="s">
        <v>3501</v>
      </c>
      <c r="D213" s="220"/>
      <c r="E213" s="164"/>
      <c r="F213" s="164"/>
      <c r="G213" s="164"/>
      <c r="H213" s="164"/>
      <c r="I213" s="164"/>
      <c r="J213" s="164"/>
      <c r="K213" s="236">
        <v>2780364.0</v>
      </c>
      <c r="L213" s="236">
        <v>1516689.0</v>
      </c>
      <c r="M213" s="164"/>
      <c r="N213" s="164"/>
      <c r="O213" s="164"/>
      <c r="P213" s="164"/>
      <c r="Q213" s="164"/>
      <c r="R213" s="166"/>
      <c r="S213" s="164"/>
      <c r="T213" s="164"/>
      <c r="U213" s="220" t="s">
        <v>3496</v>
      </c>
      <c r="V213" s="164" t="s">
        <v>1019</v>
      </c>
      <c r="W213" s="164" t="s">
        <v>114</v>
      </c>
      <c r="X213" s="16" t="str">
        <f t="array" ref="X213">_xlfn.XLOOKUP(U213, 'CMFA-CSCDA Grants'!B:B, 'CMFA-CSCDA Grants'!A:A)
</f>
        <v>#N/A</v>
      </c>
      <c r="Y213" s="166"/>
    </row>
    <row r="214" hidden="1">
      <c r="A214" s="235" t="s">
        <v>3543</v>
      </c>
      <c r="B214" s="164" t="s">
        <v>3386</v>
      </c>
      <c r="C214" s="220" t="s">
        <v>3502</v>
      </c>
      <c r="D214" s="220"/>
      <c r="E214" s="164"/>
      <c r="F214" s="164"/>
      <c r="G214" s="164"/>
      <c r="H214" s="164"/>
      <c r="I214" s="164"/>
      <c r="J214" s="164"/>
      <c r="K214" s="236">
        <v>2806895.0</v>
      </c>
      <c r="L214" s="236">
        <v>1276016.0</v>
      </c>
      <c r="M214" s="164"/>
      <c r="N214" s="164"/>
      <c r="O214" s="164"/>
      <c r="P214" s="164"/>
      <c r="Q214" s="164"/>
      <c r="R214" s="166"/>
      <c r="S214" s="164"/>
      <c r="T214" s="164"/>
      <c r="U214" s="220" t="s">
        <v>3496</v>
      </c>
      <c r="V214" s="164" t="s">
        <v>1019</v>
      </c>
      <c r="W214" s="164" t="s">
        <v>114</v>
      </c>
      <c r="X214" s="16" t="str">
        <f t="array" ref="X214">_xlfn.XLOOKUP(U214, 'CMFA-CSCDA Grants'!B:B, 'CMFA-CSCDA Grants'!A:A)
</f>
        <v>#N/A</v>
      </c>
      <c r="Y214" s="166"/>
    </row>
    <row r="215" hidden="1">
      <c r="A215" s="235" t="s">
        <v>3544</v>
      </c>
      <c r="B215" s="164" t="s">
        <v>3386</v>
      </c>
      <c r="C215" s="220" t="s">
        <v>3503</v>
      </c>
      <c r="D215" s="220"/>
      <c r="E215" s="164"/>
      <c r="F215" s="164"/>
      <c r="G215" s="164"/>
      <c r="H215" s="164"/>
      <c r="I215" s="164"/>
      <c r="J215" s="164"/>
      <c r="K215" s="236">
        <v>5889027.0</v>
      </c>
      <c r="L215" s="236">
        <v>2263665.0</v>
      </c>
      <c r="M215" s="164"/>
      <c r="N215" s="164"/>
      <c r="O215" s="164"/>
      <c r="P215" s="164"/>
      <c r="Q215" s="164"/>
      <c r="R215" s="166"/>
      <c r="S215" s="164"/>
      <c r="T215" s="164"/>
      <c r="U215" s="220" t="s">
        <v>3496</v>
      </c>
      <c r="V215" s="164" t="s">
        <v>1019</v>
      </c>
      <c r="W215" s="164" t="s">
        <v>114</v>
      </c>
      <c r="X215" s="16" t="str">
        <f t="array" ref="X215">_xlfn.XLOOKUP(U215, 'CMFA-CSCDA Grants'!B:B, 'CMFA-CSCDA Grants'!A:A)
</f>
        <v>#N/A</v>
      </c>
      <c r="Y215" s="166"/>
    </row>
    <row r="216" hidden="1">
      <c r="A216" s="235" t="s">
        <v>3546</v>
      </c>
      <c r="B216" s="164" t="s">
        <v>3386</v>
      </c>
      <c r="C216" s="220" t="s">
        <v>3504</v>
      </c>
      <c r="D216" s="220"/>
      <c r="E216" s="164"/>
      <c r="F216" s="164"/>
      <c r="G216" s="164"/>
      <c r="H216" s="164"/>
      <c r="I216" s="164"/>
      <c r="J216" s="164"/>
      <c r="K216" s="236">
        <v>2633916.0</v>
      </c>
      <c r="L216" s="236">
        <v>1580350.0</v>
      </c>
      <c r="M216" s="164"/>
      <c r="N216" s="164"/>
      <c r="O216" s="164"/>
      <c r="P216" s="164"/>
      <c r="Q216" s="164"/>
      <c r="R216" s="166"/>
      <c r="S216" s="164"/>
      <c r="T216" s="164"/>
      <c r="U216" s="220" t="s">
        <v>3496</v>
      </c>
      <c r="V216" s="164" t="s">
        <v>1019</v>
      </c>
      <c r="W216" s="164" t="s">
        <v>114</v>
      </c>
      <c r="X216" s="16" t="str">
        <f t="array" ref="X216">_xlfn.XLOOKUP(U216, 'CMFA-CSCDA Grants'!B:B, 'CMFA-CSCDA Grants'!A:A)
</f>
        <v>#N/A</v>
      </c>
      <c r="Y216" s="166"/>
    </row>
    <row r="217" hidden="1">
      <c r="A217" s="235" t="s">
        <v>3548</v>
      </c>
      <c r="B217" s="164" t="s">
        <v>3386</v>
      </c>
      <c r="C217" s="220" t="s">
        <v>3505</v>
      </c>
      <c r="D217" s="220"/>
      <c r="E217" s="164"/>
      <c r="F217" s="164"/>
      <c r="G217" s="164"/>
      <c r="H217" s="164"/>
      <c r="I217" s="164"/>
      <c r="J217" s="164"/>
      <c r="K217" s="236">
        <v>2633916.0</v>
      </c>
      <c r="L217" s="236">
        <v>790176.0</v>
      </c>
      <c r="M217" s="164"/>
      <c r="N217" s="164"/>
      <c r="O217" s="164"/>
      <c r="P217" s="164"/>
      <c r="Q217" s="164"/>
      <c r="R217" s="166"/>
      <c r="S217" s="164"/>
      <c r="T217" s="164"/>
      <c r="U217" s="220" t="s">
        <v>3496</v>
      </c>
      <c r="V217" s="164" t="s">
        <v>1019</v>
      </c>
      <c r="W217" s="164" t="s">
        <v>114</v>
      </c>
      <c r="X217" s="16" t="str">
        <f t="array" ref="X217">_xlfn.XLOOKUP(U217, 'CMFA-CSCDA Grants'!B:B, 'CMFA-CSCDA Grants'!A:A)
</f>
        <v>#N/A</v>
      </c>
      <c r="Y217" s="166"/>
    </row>
    <row r="218" hidden="1">
      <c r="A218" s="235" t="s">
        <v>3549</v>
      </c>
      <c r="B218" s="164" t="s">
        <v>3386</v>
      </c>
      <c r="C218" s="220" t="s">
        <v>3506</v>
      </c>
      <c r="D218" s="220"/>
      <c r="E218" s="164"/>
      <c r="F218" s="164"/>
      <c r="G218" s="164"/>
      <c r="H218" s="164"/>
      <c r="I218" s="164"/>
      <c r="J218" s="164"/>
      <c r="K218" s="236">
        <v>2633916.0</v>
      </c>
      <c r="L218" s="236">
        <v>790176.0</v>
      </c>
      <c r="M218" s="164"/>
      <c r="N218" s="164"/>
      <c r="O218" s="164"/>
      <c r="P218" s="164"/>
      <c r="Q218" s="164"/>
      <c r="R218" s="166"/>
      <c r="S218" s="164"/>
      <c r="T218" s="164"/>
      <c r="U218" s="220" t="s">
        <v>3496</v>
      </c>
      <c r="V218" s="164" t="s">
        <v>1019</v>
      </c>
      <c r="W218" s="164" t="s">
        <v>114</v>
      </c>
      <c r="X218" s="16" t="str">
        <f t="array" ref="X218">_xlfn.XLOOKUP(U218, 'CMFA-CSCDA Grants'!B:B, 'CMFA-CSCDA Grants'!A:A)
</f>
        <v>#N/A</v>
      </c>
      <c r="Y218" s="166"/>
    </row>
    <row r="219" hidden="1">
      <c r="A219" s="235" t="s">
        <v>3550</v>
      </c>
      <c r="B219" s="164" t="s">
        <v>3386</v>
      </c>
      <c r="C219" s="220" t="s">
        <v>3508</v>
      </c>
      <c r="D219" s="220"/>
      <c r="E219" s="164"/>
      <c r="F219" s="164"/>
      <c r="G219" s="164"/>
      <c r="H219" s="164"/>
      <c r="I219" s="164"/>
      <c r="J219" s="164"/>
      <c r="K219" s="236">
        <v>2633916.0</v>
      </c>
      <c r="L219" s="236">
        <v>526784.0</v>
      </c>
      <c r="M219" s="164"/>
      <c r="N219" s="164"/>
      <c r="O219" s="164"/>
      <c r="P219" s="164"/>
      <c r="Q219" s="164"/>
      <c r="R219" s="166"/>
      <c r="S219" s="164"/>
      <c r="T219" s="164"/>
      <c r="U219" s="220" t="s">
        <v>3496</v>
      </c>
      <c r="V219" s="164" t="s">
        <v>1019</v>
      </c>
      <c r="W219" s="164" t="s">
        <v>114</v>
      </c>
      <c r="X219" s="16" t="str">
        <f t="array" ref="X219">_xlfn.XLOOKUP(U219, 'CMFA-CSCDA Grants'!B:B, 'CMFA-CSCDA Grants'!A:A)
</f>
        <v>#N/A</v>
      </c>
      <c r="Y219" s="166"/>
    </row>
    <row r="220" hidden="1">
      <c r="A220" s="235" t="s">
        <v>3553</v>
      </c>
      <c r="B220" s="164" t="s">
        <v>3386</v>
      </c>
      <c r="C220" s="220" t="s">
        <v>3509</v>
      </c>
      <c r="D220" s="220"/>
      <c r="E220" s="164"/>
      <c r="F220" s="164"/>
      <c r="G220" s="164"/>
      <c r="H220" s="164"/>
      <c r="I220" s="164"/>
      <c r="J220" s="164"/>
      <c r="K220" s="236">
        <v>2633916.0</v>
      </c>
      <c r="L220" s="236">
        <v>1316958.0</v>
      </c>
      <c r="M220" s="164"/>
      <c r="N220" s="164"/>
      <c r="O220" s="164"/>
      <c r="P220" s="164"/>
      <c r="Q220" s="164"/>
      <c r="R220" s="166"/>
      <c r="S220" s="164"/>
      <c r="T220" s="164"/>
      <c r="U220" s="220" t="s">
        <v>3496</v>
      </c>
      <c r="V220" s="164" t="s">
        <v>1019</v>
      </c>
      <c r="W220" s="164" t="s">
        <v>114</v>
      </c>
      <c r="X220" s="16" t="str">
        <f t="array" ref="X220">_xlfn.XLOOKUP(U220, 'CMFA-CSCDA Grants'!B:B, 'CMFA-CSCDA Grants'!A:A)
</f>
        <v>#N/A</v>
      </c>
      <c r="Y220" s="166"/>
    </row>
    <row r="221" hidden="1">
      <c r="A221" s="235" t="s">
        <v>3555</v>
      </c>
      <c r="B221" s="164" t="s">
        <v>3386</v>
      </c>
      <c r="C221" s="220" t="s">
        <v>3510</v>
      </c>
      <c r="D221" s="220"/>
      <c r="E221" s="164"/>
      <c r="F221" s="164"/>
      <c r="G221" s="164"/>
      <c r="H221" s="164"/>
      <c r="I221" s="164"/>
      <c r="J221" s="164"/>
      <c r="K221" s="236">
        <v>2633916.0</v>
      </c>
      <c r="L221" s="236">
        <v>1316958.0</v>
      </c>
      <c r="M221" s="164"/>
      <c r="N221" s="164"/>
      <c r="O221" s="164"/>
      <c r="P221" s="164"/>
      <c r="Q221" s="164"/>
      <c r="R221" s="166"/>
      <c r="S221" s="164"/>
      <c r="T221" s="164"/>
      <c r="U221" s="220" t="s">
        <v>3496</v>
      </c>
      <c r="V221" s="164" t="s">
        <v>1019</v>
      </c>
      <c r="W221" s="164" t="s">
        <v>114</v>
      </c>
      <c r="X221" s="16" t="str">
        <f t="array" ref="X221">_xlfn.XLOOKUP(U221, 'CMFA-CSCDA Grants'!B:B, 'CMFA-CSCDA Grants'!A:A)
</f>
        <v>#N/A</v>
      </c>
      <c r="Y221" s="166"/>
    </row>
    <row r="222" hidden="1">
      <c r="A222" s="235" t="s">
        <v>3556</v>
      </c>
      <c r="B222" s="164" t="s">
        <v>3386</v>
      </c>
      <c r="C222" s="220" t="s">
        <v>3511</v>
      </c>
      <c r="D222" s="220"/>
      <c r="E222" s="164"/>
      <c r="F222" s="164"/>
      <c r="G222" s="164"/>
      <c r="H222" s="164"/>
      <c r="I222" s="164"/>
      <c r="J222" s="164"/>
      <c r="K222" s="236">
        <v>2659386.0</v>
      </c>
      <c r="L222" s="236">
        <v>797817.0</v>
      </c>
      <c r="M222" s="164"/>
      <c r="N222" s="164"/>
      <c r="O222" s="164"/>
      <c r="P222" s="164"/>
      <c r="Q222" s="164"/>
      <c r="R222" s="166"/>
      <c r="S222" s="164"/>
      <c r="T222" s="164"/>
      <c r="U222" s="220" t="s">
        <v>3496</v>
      </c>
      <c r="V222" s="164" t="s">
        <v>1019</v>
      </c>
      <c r="W222" s="164" t="s">
        <v>114</v>
      </c>
      <c r="X222" s="16" t="str">
        <f t="array" ref="X222">_xlfn.XLOOKUP(U222, 'CMFA-CSCDA Grants'!B:B, 'CMFA-CSCDA Grants'!A:A)
</f>
        <v>#N/A</v>
      </c>
      <c r="Y222" s="166"/>
    </row>
    <row r="223" hidden="1">
      <c r="A223" s="235" t="s">
        <v>3557</v>
      </c>
      <c r="B223" s="164" t="s">
        <v>3386</v>
      </c>
      <c r="C223" s="220" t="s">
        <v>3512</v>
      </c>
      <c r="D223" s="220"/>
      <c r="E223" s="164"/>
      <c r="F223" s="164"/>
      <c r="G223" s="164"/>
      <c r="H223" s="164"/>
      <c r="I223" s="164"/>
      <c r="J223" s="164"/>
      <c r="K223" s="236">
        <v>4505211.0</v>
      </c>
      <c r="L223" s="236">
        <v>2375621.0</v>
      </c>
      <c r="M223" s="164"/>
      <c r="N223" s="164"/>
      <c r="O223" s="164"/>
      <c r="P223" s="164"/>
      <c r="Q223" s="164"/>
      <c r="R223" s="166"/>
      <c r="S223" s="164"/>
      <c r="T223" s="164"/>
      <c r="U223" s="220" t="s">
        <v>3496</v>
      </c>
      <c r="V223" s="164" t="s">
        <v>1019</v>
      </c>
      <c r="W223" s="164" t="s">
        <v>114</v>
      </c>
      <c r="X223" s="16" t="str">
        <f t="array" ref="X223">_xlfn.XLOOKUP(U223, 'CMFA-CSCDA Grants'!B:B, 'CMFA-CSCDA Grants'!A:A)
</f>
        <v>#N/A</v>
      </c>
      <c r="Y223" s="166"/>
    </row>
    <row r="224" hidden="1">
      <c r="A224" s="235" t="s">
        <v>3558</v>
      </c>
      <c r="B224" s="164" t="s">
        <v>3386</v>
      </c>
      <c r="C224" s="220" t="s">
        <v>3513</v>
      </c>
      <c r="D224" s="220"/>
      <c r="E224" s="164"/>
      <c r="F224" s="164"/>
      <c r="G224" s="164"/>
      <c r="H224" s="164"/>
      <c r="I224" s="164"/>
      <c r="J224" s="164"/>
      <c r="K224" s="236">
        <v>2728365.0</v>
      </c>
      <c r="L224" s="236">
        <v>1091347.0</v>
      </c>
      <c r="M224" s="164"/>
      <c r="N224" s="164"/>
      <c r="O224" s="164"/>
      <c r="P224" s="164"/>
      <c r="Q224" s="164"/>
      <c r="R224" s="166"/>
      <c r="S224" s="164"/>
      <c r="T224" s="164"/>
      <c r="U224" s="220" t="s">
        <v>3496</v>
      </c>
      <c r="V224" s="164" t="s">
        <v>1019</v>
      </c>
      <c r="W224" s="164" t="s">
        <v>114</v>
      </c>
      <c r="X224" s="16" t="str">
        <f t="array" ref="X224">_xlfn.XLOOKUP(U224, 'CMFA-CSCDA Grants'!B:B, 'CMFA-CSCDA Grants'!A:A)
</f>
        <v>#N/A</v>
      </c>
      <c r="Y224" s="166"/>
    </row>
    <row r="225" hidden="1">
      <c r="A225" s="235" t="s">
        <v>3559</v>
      </c>
      <c r="B225" s="164" t="s">
        <v>3386</v>
      </c>
      <c r="C225" s="220" t="s">
        <v>3514</v>
      </c>
      <c r="D225" s="220"/>
      <c r="E225" s="164"/>
      <c r="F225" s="164"/>
      <c r="G225" s="164"/>
      <c r="H225" s="164"/>
      <c r="I225" s="164"/>
      <c r="J225" s="164"/>
      <c r="K225" s="236">
        <v>2728365.0</v>
      </c>
      <c r="L225" s="236">
        <v>818511.0</v>
      </c>
      <c r="M225" s="164"/>
      <c r="N225" s="164"/>
      <c r="O225" s="164"/>
      <c r="P225" s="164"/>
      <c r="Q225" s="164"/>
      <c r="R225" s="166"/>
      <c r="S225" s="164"/>
      <c r="T225" s="164"/>
      <c r="U225" s="220" t="s">
        <v>3496</v>
      </c>
      <c r="V225" s="164" t="s">
        <v>1019</v>
      </c>
      <c r="W225" s="164" t="s">
        <v>114</v>
      </c>
      <c r="X225" s="16" t="str">
        <f t="array" ref="X225">_xlfn.XLOOKUP(U225, 'CMFA-CSCDA Grants'!B:B, 'CMFA-CSCDA Grants'!A:A)
</f>
        <v>#N/A</v>
      </c>
      <c r="Y225" s="166"/>
    </row>
    <row r="226" hidden="1">
      <c r="A226" s="235" t="s">
        <v>3561</v>
      </c>
      <c r="B226" s="164" t="s">
        <v>3386</v>
      </c>
      <c r="C226" s="220" t="s">
        <v>3515</v>
      </c>
      <c r="D226" s="220"/>
      <c r="E226" s="164"/>
      <c r="F226" s="164"/>
      <c r="G226" s="164"/>
      <c r="H226" s="164"/>
      <c r="I226" s="164"/>
      <c r="J226" s="164"/>
      <c r="K226" s="236">
        <v>2728365.0</v>
      </c>
      <c r="L226" s="236">
        <v>545674.0</v>
      </c>
      <c r="M226" s="164"/>
      <c r="N226" s="164"/>
      <c r="O226" s="164"/>
      <c r="P226" s="164"/>
      <c r="Q226" s="164"/>
      <c r="R226" s="166"/>
      <c r="S226" s="164"/>
      <c r="T226" s="164"/>
      <c r="U226" s="220" t="s">
        <v>3496</v>
      </c>
      <c r="V226" s="164" t="s">
        <v>1019</v>
      </c>
      <c r="W226" s="164" t="s">
        <v>114</v>
      </c>
      <c r="X226" s="16" t="str">
        <f t="array" ref="X226">_xlfn.XLOOKUP(U226, 'CMFA-CSCDA Grants'!B:B, 'CMFA-CSCDA Grants'!A:A)
</f>
        <v>#N/A</v>
      </c>
      <c r="Y226" s="166"/>
    </row>
    <row r="227" hidden="1">
      <c r="A227" s="235" t="s">
        <v>3562</v>
      </c>
      <c r="B227" s="164" t="s">
        <v>3386</v>
      </c>
      <c r="C227" s="220" t="s">
        <v>3518</v>
      </c>
      <c r="D227" s="220"/>
      <c r="E227" s="164"/>
      <c r="F227" s="164"/>
      <c r="G227" s="164"/>
      <c r="H227" s="164"/>
      <c r="I227" s="164"/>
      <c r="J227" s="164"/>
      <c r="K227" s="236">
        <v>2806895.0</v>
      </c>
      <c r="L227" s="236">
        <v>1403448.0</v>
      </c>
      <c r="M227" s="164"/>
      <c r="N227" s="164"/>
      <c r="O227" s="164"/>
      <c r="P227" s="164"/>
      <c r="Q227" s="164"/>
      <c r="R227" s="166"/>
      <c r="S227" s="164"/>
      <c r="T227" s="164"/>
      <c r="U227" s="220" t="s">
        <v>3496</v>
      </c>
      <c r="V227" s="164" t="s">
        <v>1019</v>
      </c>
      <c r="W227" s="164" t="s">
        <v>114</v>
      </c>
      <c r="X227" s="16" t="str">
        <f t="array" ref="X227">_xlfn.XLOOKUP(U227, 'CMFA-CSCDA Grants'!B:B, 'CMFA-CSCDA Grants'!A:A)
</f>
        <v>#N/A</v>
      </c>
      <c r="Y227" s="166"/>
    </row>
    <row r="228" hidden="1">
      <c r="A228" s="235" t="s">
        <v>3563</v>
      </c>
      <c r="B228" s="164" t="s">
        <v>3386</v>
      </c>
      <c r="C228" s="220" t="s">
        <v>3519</v>
      </c>
      <c r="D228" s="220"/>
      <c r="E228" s="164"/>
      <c r="F228" s="164"/>
      <c r="G228" s="164"/>
      <c r="H228" s="164"/>
      <c r="I228" s="164"/>
      <c r="J228" s="164"/>
      <c r="K228" s="236">
        <v>2728365.0</v>
      </c>
      <c r="L228" s="236">
        <v>744299.0</v>
      </c>
      <c r="M228" s="164"/>
      <c r="N228" s="164"/>
      <c r="O228" s="164"/>
      <c r="P228" s="164"/>
      <c r="Q228" s="164"/>
      <c r="R228" s="166"/>
      <c r="S228" s="164"/>
      <c r="T228" s="164"/>
      <c r="U228" s="220" t="s">
        <v>3496</v>
      </c>
      <c r="V228" s="164" t="s">
        <v>1019</v>
      </c>
      <c r="W228" s="164" t="s">
        <v>114</v>
      </c>
      <c r="X228" s="16" t="str">
        <f t="array" ref="X228">_xlfn.XLOOKUP(U228, 'CMFA-CSCDA Grants'!B:B, 'CMFA-CSCDA Grants'!A:A)
</f>
        <v>#N/A</v>
      </c>
      <c r="Y228" s="166"/>
    </row>
    <row r="229" hidden="1">
      <c r="A229" s="235" t="s">
        <v>3564</v>
      </c>
      <c r="B229" s="164" t="s">
        <v>3386</v>
      </c>
      <c r="C229" s="220" t="s">
        <v>3520</v>
      </c>
      <c r="D229" s="220"/>
      <c r="E229" s="164"/>
      <c r="F229" s="164"/>
      <c r="G229" s="164"/>
      <c r="H229" s="164"/>
      <c r="I229" s="164"/>
      <c r="J229" s="164"/>
      <c r="K229" s="236">
        <v>2728365.0</v>
      </c>
      <c r="L229" s="236">
        <v>2232349.0</v>
      </c>
      <c r="M229" s="164"/>
      <c r="N229" s="164"/>
      <c r="O229" s="164"/>
      <c r="P229" s="164"/>
      <c r="Q229" s="164"/>
      <c r="R229" s="166"/>
      <c r="S229" s="164"/>
      <c r="T229" s="164"/>
      <c r="U229" s="220" t="s">
        <v>3496</v>
      </c>
      <c r="V229" s="164" t="s">
        <v>1019</v>
      </c>
      <c r="W229" s="164" t="s">
        <v>114</v>
      </c>
      <c r="X229" s="16" t="str">
        <f t="array" ref="X229">_xlfn.XLOOKUP(U229, 'CMFA-CSCDA Grants'!B:B, 'CMFA-CSCDA Grants'!A:A)
</f>
        <v>#N/A</v>
      </c>
      <c r="Y229" s="166"/>
    </row>
    <row r="230" hidden="1">
      <c r="A230" s="235" t="s">
        <v>3565</v>
      </c>
      <c r="B230" s="164" t="s">
        <v>3386</v>
      </c>
      <c r="C230" s="220" t="s">
        <v>3521</v>
      </c>
      <c r="D230" s="220"/>
      <c r="E230" s="164"/>
      <c r="F230" s="164"/>
      <c r="G230" s="164"/>
      <c r="H230" s="164"/>
      <c r="I230" s="164"/>
      <c r="J230" s="164"/>
      <c r="K230" s="236">
        <v>2728365.0</v>
      </c>
      <c r="L230" s="236">
        <v>992308.0</v>
      </c>
      <c r="M230" s="164"/>
      <c r="N230" s="164"/>
      <c r="O230" s="164"/>
      <c r="P230" s="164"/>
      <c r="Q230" s="164"/>
      <c r="R230" s="166"/>
      <c r="S230" s="164"/>
      <c r="T230" s="164"/>
      <c r="U230" s="220" t="s">
        <v>3496</v>
      </c>
      <c r="V230" s="164" t="s">
        <v>1019</v>
      </c>
      <c r="W230" s="164" t="s">
        <v>114</v>
      </c>
      <c r="X230" s="16" t="str">
        <f t="array" ref="X230">_xlfn.XLOOKUP(U230, 'CMFA-CSCDA Grants'!B:B, 'CMFA-CSCDA Grants'!A:A)
</f>
        <v>#N/A</v>
      </c>
      <c r="Y230" s="166"/>
    </row>
    <row r="231" hidden="1">
      <c r="A231" s="235" t="s">
        <v>3566</v>
      </c>
      <c r="B231" s="164" t="s">
        <v>3386</v>
      </c>
      <c r="C231" s="220" t="s">
        <v>3522</v>
      </c>
      <c r="D231" s="220"/>
      <c r="E231" s="164"/>
      <c r="F231" s="164"/>
      <c r="G231" s="164"/>
      <c r="H231" s="164"/>
      <c r="I231" s="164"/>
      <c r="J231" s="164"/>
      <c r="K231" s="236">
        <v>2806895.0</v>
      </c>
      <c r="L231" s="236">
        <v>1122759.0</v>
      </c>
      <c r="M231" s="164"/>
      <c r="N231" s="164"/>
      <c r="O231" s="164"/>
      <c r="P231" s="164"/>
      <c r="Q231" s="164"/>
      <c r="R231" s="166"/>
      <c r="S231" s="164"/>
      <c r="T231" s="164"/>
      <c r="U231" s="220" t="s">
        <v>3496</v>
      </c>
      <c r="V231" s="164" t="s">
        <v>1019</v>
      </c>
      <c r="W231" s="164" t="s">
        <v>114</v>
      </c>
      <c r="X231" s="16" t="str">
        <f t="array" ref="X231">_xlfn.XLOOKUP(U231, 'CMFA-CSCDA Grants'!B:B, 'CMFA-CSCDA Grants'!A:A)
</f>
        <v>#N/A</v>
      </c>
      <c r="Y231" s="166"/>
    </row>
    <row r="232" hidden="1">
      <c r="A232" s="235" t="s">
        <v>3568</v>
      </c>
      <c r="B232" s="164" t="s">
        <v>3386</v>
      </c>
      <c r="C232" s="220" t="s">
        <v>3523</v>
      </c>
      <c r="D232" s="220"/>
      <c r="E232" s="164"/>
      <c r="F232" s="164"/>
      <c r="G232" s="164"/>
      <c r="H232" s="164"/>
      <c r="I232" s="164"/>
      <c r="J232" s="164"/>
      <c r="K232" s="236">
        <v>2728365.0</v>
      </c>
      <c r="L232" s="236">
        <v>1736332.0</v>
      </c>
      <c r="M232" s="164"/>
      <c r="N232" s="164"/>
      <c r="O232" s="164"/>
      <c r="P232" s="164"/>
      <c r="Q232" s="164"/>
      <c r="R232" s="166"/>
      <c r="S232" s="164"/>
      <c r="T232" s="164"/>
      <c r="U232" s="220" t="s">
        <v>3496</v>
      </c>
      <c r="V232" s="164" t="s">
        <v>1019</v>
      </c>
      <c r="W232" s="164" t="s">
        <v>114</v>
      </c>
      <c r="X232" s="16" t="str">
        <f t="array" ref="X232">_xlfn.XLOOKUP(U232, 'CMFA-CSCDA Grants'!B:B, 'CMFA-CSCDA Grants'!A:A)
</f>
        <v>#N/A</v>
      </c>
      <c r="Y232" s="166"/>
    </row>
    <row r="233" hidden="1">
      <c r="A233" s="235" t="s">
        <v>3569</v>
      </c>
      <c r="B233" s="164" t="s">
        <v>3386</v>
      </c>
      <c r="C233" s="220" t="s">
        <v>3524</v>
      </c>
      <c r="D233" s="220"/>
      <c r="E233" s="164"/>
      <c r="F233" s="164"/>
      <c r="G233" s="164"/>
      <c r="H233" s="164"/>
      <c r="I233" s="164"/>
      <c r="J233" s="164"/>
      <c r="K233" s="236">
        <v>2728365.0</v>
      </c>
      <c r="L233" s="236">
        <v>1091347.0</v>
      </c>
      <c r="M233" s="164"/>
      <c r="N233" s="164"/>
      <c r="O233" s="164"/>
      <c r="P233" s="164"/>
      <c r="Q233" s="164"/>
      <c r="R233" s="166"/>
      <c r="S233" s="164"/>
      <c r="T233" s="164"/>
      <c r="U233" s="220" t="s">
        <v>3496</v>
      </c>
      <c r="V233" s="164" t="s">
        <v>1019</v>
      </c>
      <c r="W233" s="164" t="s">
        <v>114</v>
      </c>
      <c r="X233" s="16" t="str">
        <f t="array" ref="X233">_xlfn.XLOOKUP(U233, 'CMFA-CSCDA Grants'!B:B, 'CMFA-CSCDA Grants'!A:A)
</f>
        <v>#N/A</v>
      </c>
      <c r="Y233" s="166"/>
    </row>
    <row r="234" hidden="1">
      <c r="A234" s="235" t="s">
        <v>3570</v>
      </c>
      <c r="B234" s="164" t="s">
        <v>3386</v>
      </c>
      <c r="C234" s="220" t="s">
        <v>3525</v>
      </c>
      <c r="D234" s="220"/>
      <c r="E234" s="164"/>
      <c r="F234" s="164"/>
      <c r="G234" s="164"/>
      <c r="H234" s="164"/>
      <c r="I234" s="164"/>
      <c r="J234" s="164"/>
      <c r="K234" s="236">
        <v>2728835.0</v>
      </c>
      <c r="L234" s="236">
        <v>818981.0</v>
      </c>
      <c r="M234" s="164"/>
      <c r="N234" s="164"/>
      <c r="O234" s="164"/>
      <c r="P234" s="164"/>
      <c r="Q234" s="164"/>
      <c r="R234" s="166"/>
      <c r="S234" s="164"/>
      <c r="T234" s="164"/>
      <c r="U234" s="220" t="s">
        <v>3496</v>
      </c>
      <c r="V234" s="164" t="s">
        <v>1019</v>
      </c>
      <c r="W234" s="164" t="s">
        <v>114</v>
      </c>
      <c r="X234" s="16" t="str">
        <f t="array" ref="X234">_xlfn.XLOOKUP(U234, 'CMFA-CSCDA Grants'!B:B, 'CMFA-CSCDA Grants'!A:A)
</f>
        <v>#N/A</v>
      </c>
      <c r="Y234" s="166"/>
    </row>
    <row r="235" hidden="1">
      <c r="A235" s="235" t="s">
        <v>3571</v>
      </c>
      <c r="B235" s="164" t="s">
        <v>3386</v>
      </c>
      <c r="C235" s="220" t="s">
        <v>3526</v>
      </c>
      <c r="D235" s="220"/>
      <c r="E235" s="164"/>
      <c r="F235" s="164"/>
      <c r="G235" s="164"/>
      <c r="H235" s="164"/>
      <c r="I235" s="164"/>
      <c r="J235" s="164"/>
      <c r="K235" s="236">
        <v>2809395.0</v>
      </c>
      <c r="L235" s="236">
        <v>2248017.0</v>
      </c>
      <c r="M235" s="164"/>
      <c r="N235" s="164"/>
      <c r="O235" s="164"/>
      <c r="P235" s="164"/>
      <c r="Q235" s="164"/>
      <c r="R235" s="166"/>
      <c r="S235" s="164"/>
      <c r="T235" s="164"/>
      <c r="U235" s="220" t="s">
        <v>3496</v>
      </c>
      <c r="V235" s="164" t="s">
        <v>1019</v>
      </c>
      <c r="W235" s="164" t="s">
        <v>114</v>
      </c>
      <c r="X235" s="16" t="str">
        <f t="array" ref="X235">_xlfn.XLOOKUP(U235, 'CMFA-CSCDA Grants'!B:B, 'CMFA-CSCDA Grants'!A:A)
</f>
        <v>#N/A</v>
      </c>
      <c r="Y235" s="166"/>
    </row>
    <row r="236" hidden="1">
      <c r="A236" s="235" t="s">
        <v>3572</v>
      </c>
      <c r="B236" s="164" t="s">
        <v>3386</v>
      </c>
      <c r="C236" s="220" t="s">
        <v>3527</v>
      </c>
      <c r="D236" s="220"/>
      <c r="E236" s="164"/>
      <c r="F236" s="164"/>
      <c r="G236" s="164"/>
      <c r="H236" s="164"/>
      <c r="I236" s="164"/>
      <c r="J236" s="164"/>
      <c r="K236" s="236">
        <v>2728365.0</v>
      </c>
      <c r="L236" s="236">
        <v>545674.0</v>
      </c>
      <c r="M236" s="164"/>
      <c r="N236" s="164"/>
      <c r="O236" s="164"/>
      <c r="P236" s="164"/>
      <c r="Q236" s="164"/>
      <c r="R236" s="166"/>
      <c r="S236" s="164"/>
      <c r="T236" s="164"/>
      <c r="U236" s="220" t="s">
        <v>3496</v>
      </c>
      <c r="V236" s="164" t="s">
        <v>1019</v>
      </c>
      <c r="W236" s="164" t="s">
        <v>114</v>
      </c>
      <c r="X236" s="16" t="str">
        <f t="array" ref="X236">_xlfn.XLOOKUP(U236, 'CMFA-CSCDA Grants'!B:B, 'CMFA-CSCDA Grants'!A:A)
</f>
        <v>#N/A</v>
      </c>
      <c r="Y236" s="166"/>
    </row>
    <row r="237" hidden="1">
      <c r="A237" s="235" t="s">
        <v>3575</v>
      </c>
      <c r="B237" s="164" t="s">
        <v>3386</v>
      </c>
      <c r="C237" s="220" t="s">
        <v>3528</v>
      </c>
      <c r="D237" s="220"/>
      <c r="E237" s="164"/>
      <c r="F237" s="164"/>
      <c r="G237" s="164"/>
      <c r="H237" s="164"/>
      <c r="I237" s="164"/>
      <c r="J237" s="164"/>
      <c r="K237" s="236">
        <v>2728365.0</v>
      </c>
      <c r="L237" s="236">
        <v>818511.0</v>
      </c>
      <c r="M237" s="164"/>
      <c r="N237" s="164"/>
      <c r="O237" s="164"/>
      <c r="P237" s="164"/>
      <c r="Q237" s="164"/>
      <c r="R237" s="166"/>
      <c r="S237" s="164"/>
      <c r="T237" s="164"/>
      <c r="U237" s="220" t="s">
        <v>3496</v>
      </c>
      <c r="V237" s="164" t="s">
        <v>1019</v>
      </c>
      <c r="W237" s="164" t="s">
        <v>114</v>
      </c>
      <c r="X237" s="16" t="str">
        <f t="array" ref="X237">_xlfn.XLOOKUP(U237, 'CMFA-CSCDA Grants'!B:B, 'CMFA-CSCDA Grants'!A:A)
</f>
        <v>#N/A</v>
      </c>
      <c r="Y237" s="166"/>
    </row>
    <row r="238" hidden="1">
      <c r="A238" s="235" t="s">
        <v>3576</v>
      </c>
      <c r="B238" s="164" t="s">
        <v>3386</v>
      </c>
      <c r="C238" s="220" t="s">
        <v>3529</v>
      </c>
      <c r="D238" s="220"/>
      <c r="E238" s="164"/>
      <c r="F238" s="164"/>
      <c r="G238" s="164"/>
      <c r="H238" s="164"/>
      <c r="I238" s="164"/>
      <c r="J238" s="164"/>
      <c r="K238" s="236">
        <v>2728365.0</v>
      </c>
      <c r="L238" s="236">
        <v>1364183.0</v>
      </c>
      <c r="M238" s="164"/>
      <c r="N238" s="164"/>
      <c r="O238" s="164"/>
      <c r="P238" s="164"/>
      <c r="Q238" s="164"/>
      <c r="R238" s="166"/>
      <c r="S238" s="164"/>
      <c r="T238" s="164"/>
      <c r="U238" s="220" t="s">
        <v>3496</v>
      </c>
      <c r="V238" s="164" t="s">
        <v>1019</v>
      </c>
      <c r="W238" s="164" t="s">
        <v>114</v>
      </c>
      <c r="X238" s="16" t="str">
        <f t="array" ref="X238">_xlfn.XLOOKUP(U238, 'CMFA-CSCDA Grants'!B:B, 'CMFA-CSCDA Grants'!A:A)
</f>
        <v>#N/A</v>
      </c>
      <c r="Y238" s="166"/>
    </row>
    <row r="239" hidden="1">
      <c r="A239" s="235" t="s">
        <v>3577</v>
      </c>
      <c r="B239" s="164" t="s">
        <v>3386</v>
      </c>
      <c r="C239" s="220" t="s">
        <v>3522</v>
      </c>
      <c r="D239" s="220"/>
      <c r="E239" s="164"/>
      <c r="F239" s="164"/>
      <c r="G239" s="164"/>
      <c r="H239" s="164"/>
      <c r="I239" s="164"/>
      <c r="J239" s="164"/>
      <c r="K239" s="236">
        <v>2806895.0</v>
      </c>
      <c r="L239" s="236">
        <v>1403448.0</v>
      </c>
      <c r="M239" s="164"/>
      <c r="N239" s="164"/>
      <c r="O239" s="164"/>
      <c r="P239" s="164"/>
      <c r="Q239" s="164"/>
      <c r="R239" s="166"/>
      <c r="S239" s="164"/>
      <c r="T239" s="164"/>
      <c r="U239" s="220" t="s">
        <v>3496</v>
      </c>
      <c r="V239" s="164" t="s">
        <v>1019</v>
      </c>
      <c r="W239" s="164" t="s">
        <v>114</v>
      </c>
      <c r="X239" s="16" t="str">
        <f t="array" ref="X239">_xlfn.XLOOKUP(U239, 'CMFA-CSCDA Grants'!B:B, 'CMFA-CSCDA Grants'!A:A)
</f>
        <v>#N/A</v>
      </c>
      <c r="Y239" s="166"/>
    </row>
    <row r="240" hidden="1">
      <c r="A240" s="235" t="s">
        <v>3579</v>
      </c>
      <c r="B240" s="164" t="s">
        <v>3386</v>
      </c>
      <c r="C240" s="220" t="s">
        <v>3530</v>
      </c>
      <c r="D240" s="220"/>
      <c r="E240" s="164"/>
      <c r="F240" s="164"/>
      <c r="G240" s="164"/>
      <c r="H240" s="164"/>
      <c r="I240" s="164"/>
      <c r="J240" s="164"/>
      <c r="K240" s="236">
        <v>2728365.0</v>
      </c>
      <c r="L240" s="236">
        <v>1637020.0</v>
      </c>
      <c r="M240" s="164"/>
      <c r="N240" s="164"/>
      <c r="O240" s="164"/>
      <c r="P240" s="164"/>
      <c r="Q240" s="164"/>
      <c r="R240" s="166"/>
      <c r="S240" s="164"/>
      <c r="T240" s="164"/>
      <c r="U240" s="220" t="s">
        <v>3496</v>
      </c>
      <c r="V240" s="164" t="s">
        <v>1019</v>
      </c>
      <c r="W240" s="164" t="s">
        <v>114</v>
      </c>
      <c r="X240" s="16" t="str">
        <f t="array" ref="X240">_xlfn.XLOOKUP(U240, 'CMFA-CSCDA Grants'!B:B, 'CMFA-CSCDA Grants'!A:A)
</f>
        <v>#N/A</v>
      </c>
      <c r="Y240" s="166"/>
    </row>
    <row r="241" hidden="1">
      <c r="A241" s="235" t="s">
        <v>3580</v>
      </c>
      <c r="B241" s="164" t="s">
        <v>3386</v>
      </c>
      <c r="C241" s="220" t="s">
        <v>3531</v>
      </c>
      <c r="D241" s="220"/>
      <c r="E241" s="164"/>
      <c r="F241" s="164"/>
      <c r="G241" s="164"/>
      <c r="H241" s="164"/>
      <c r="I241" s="164"/>
      <c r="J241" s="164"/>
      <c r="K241" s="236">
        <v>2728365.0</v>
      </c>
      <c r="L241" s="236">
        <v>1091347.0</v>
      </c>
      <c r="M241" s="164"/>
      <c r="N241" s="164"/>
      <c r="O241" s="164"/>
      <c r="P241" s="164"/>
      <c r="Q241" s="164"/>
      <c r="R241" s="166"/>
      <c r="S241" s="164"/>
      <c r="T241" s="164"/>
      <c r="U241" s="220" t="s">
        <v>3496</v>
      </c>
      <c r="V241" s="164" t="s">
        <v>1019</v>
      </c>
      <c r="W241" s="164" t="s">
        <v>114</v>
      </c>
      <c r="X241" s="16" t="str">
        <f t="array" ref="X241">_xlfn.XLOOKUP(U241, 'CMFA-CSCDA Grants'!B:B, 'CMFA-CSCDA Grants'!A:A)
</f>
        <v>#N/A</v>
      </c>
      <c r="Y241" s="166"/>
    </row>
    <row r="242" hidden="1">
      <c r="A242" s="235" t="s">
        <v>3581</v>
      </c>
      <c r="B242" s="164" t="s">
        <v>3386</v>
      </c>
      <c r="C242" s="220" t="s">
        <v>3532</v>
      </c>
      <c r="D242" s="220"/>
      <c r="E242" s="164"/>
      <c r="F242" s="164"/>
      <c r="G242" s="164"/>
      <c r="H242" s="164"/>
      <c r="I242" s="164"/>
      <c r="J242" s="164"/>
      <c r="K242" s="236">
        <v>2728365.0</v>
      </c>
      <c r="L242" s="236">
        <v>1091347.0</v>
      </c>
      <c r="M242" s="164"/>
      <c r="N242" s="164"/>
      <c r="O242" s="164"/>
      <c r="P242" s="164"/>
      <c r="Q242" s="164"/>
      <c r="R242" s="166"/>
      <c r="S242" s="164"/>
      <c r="T242" s="164"/>
      <c r="U242" s="220" t="s">
        <v>3496</v>
      </c>
      <c r="V242" s="164" t="s">
        <v>1019</v>
      </c>
      <c r="W242" s="164" t="s">
        <v>114</v>
      </c>
      <c r="X242" s="16" t="str">
        <f t="array" ref="X242">_xlfn.XLOOKUP(U242, 'CMFA-CSCDA Grants'!B:B, 'CMFA-CSCDA Grants'!A:A)
</f>
        <v>#N/A</v>
      </c>
      <c r="Y242" s="166"/>
    </row>
    <row r="243" hidden="1">
      <c r="A243" s="235" t="s">
        <v>3582</v>
      </c>
      <c r="B243" s="164" t="s">
        <v>3386</v>
      </c>
      <c r="C243" s="220" t="s">
        <v>3533</v>
      </c>
      <c r="D243" s="220"/>
      <c r="E243" s="164"/>
      <c r="F243" s="164"/>
      <c r="G243" s="164"/>
      <c r="H243" s="164"/>
      <c r="I243" s="164"/>
      <c r="J243" s="164"/>
      <c r="K243" s="236">
        <v>2806895.0</v>
      </c>
      <c r="L243" s="236">
        <v>1403448.0</v>
      </c>
      <c r="M243" s="164"/>
      <c r="N243" s="164"/>
      <c r="O243" s="164"/>
      <c r="P243" s="164"/>
      <c r="Q243" s="164"/>
      <c r="R243" s="166"/>
      <c r="S243" s="164"/>
      <c r="T243" s="164"/>
      <c r="U243" s="220" t="s">
        <v>3496</v>
      </c>
      <c r="V243" s="164" t="s">
        <v>1019</v>
      </c>
      <c r="W243" s="164" t="s">
        <v>114</v>
      </c>
      <c r="X243" s="16" t="str">
        <f t="array" ref="X243">_xlfn.XLOOKUP(U243, 'CMFA-CSCDA Grants'!B:B, 'CMFA-CSCDA Grants'!A:A)
</f>
        <v>#N/A</v>
      </c>
      <c r="Y243" s="166"/>
    </row>
    <row r="244">
      <c r="A244" s="238" t="s">
        <v>1085</v>
      </c>
      <c r="B244" s="164" t="s">
        <v>3390</v>
      </c>
      <c r="C244" s="164" t="s">
        <v>1086</v>
      </c>
      <c r="D244" s="6" t="str">
        <f t="shared" ref="D244:D245" si="21">IF(ISBLANK(C244),B244,C244)</f>
        <v>2020 3RD ST BERKELEY 94710</v>
      </c>
      <c r="E244" s="164"/>
      <c r="F244" s="164"/>
      <c r="G244" s="164"/>
      <c r="H244" s="164"/>
      <c r="I244" s="164"/>
      <c r="J244" s="164"/>
      <c r="K244" s="239">
        <v>3.1916224E7</v>
      </c>
      <c r="L244" s="239">
        <v>0.0</v>
      </c>
      <c r="M244" s="164"/>
      <c r="N244" s="164"/>
      <c r="O244" s="164"/>
      <c r="P244" s="164"/>
      <c r="Q244" s="164"/>
      <c r="R244" s="166"/>
      <c r="S244" s="164"/>
      <c r="T244" s="164" t="s">
        <v>1044</v>
      </c>
      <c r="U244" s="164" t="s">
        <v>1043</v>
      </c>
      <c r="V244" s="164" t="s">
        <v>211</v>
      </c>
      <c r="W244" s="164" t="s">
        <v>86</v>
      </c>
      <c r="X244" s="16">
        <f t="array" ref="X244">_xlfn.XLOOKUP(U244, 'CMFA-CSCDA Grants'!B:B, 'CMFA-CSCDA Grants'!A:A)
</f>
        <v>56</v>
      </c>
      <c r="Y244" s="166"/>
    </row>
    <row r="245">
      <c r="A245" s="240" t="s">
        <v>2778</v>
      </c>
      <c r="B245" s="164" t="s">
        <v>3399</v>
      </c>
      <c r="C245" s="164" t="s">
        <v>2779</v>
      </c>
      <c r="D245" s="6" t="str">
        <f t="shared" si="21"/>
        <v>2070 Southwest Ex, San Jose, CA 95128</v>
      </c>
      <c r="E245" s="164"/>
      <c r="F245" s="164"/>
      <c r="G245" s="164"/>
      <c r="H245" s="164"/>
      <c r="I245" s="164"/>
      <c r="J245" s="164"/>
      <c r="K245" s="152">
        <v>3.6559633E7</v>
      </c>
      <c r="L245" s="167">
        <v>1.8850147E7</v>
      </c>
      <c r="M245" s="164"/>
      <c r="N245" s="164"/>
      <c r="O245" s="164"/>
      <c r="P245" s="164"/>
      <c r="Q245" s="164"/>
      <c r="R245" s="166"/>
      <c r="S245" s="164"/>
      <c r="T245" s="6" t="s">
        <v>1074</v>
      </c>
      <c r="U245" s="6" t="s">
        <v>1073</v>
      </c>
      <c r="V245" s="164" t="s">
        <v>155</v>
      </c>
      <c r="W245" s="164" t="s">
        <v>129</v>
      </c>
      <c r="X245" s="16">
        <f t="array" ref="X245">_xlfn.XLOOKUP(U245, 'CMFA-CSCDA Grants'!B:B, 'CMFA-CSCDA Grants'!A:A)
</f>
        <v>57</v>
      </c>
      <c r="Y245" s="166"/>
    </row>
    <row r="246" hidden="1">
      <c r="A246" s="241" t="s">
        <v>1111</v>
      </c>
      <c r="B246" s="164" t="s">
        <v>3411</v>
      </c>
      <c r="C246" s="164" t="s">
        <v>3588</v>
      </c>
      <c r="D246" s="164"/>
      <c r="E246" s="164"/>
      <c r="F246" s="164"/>
      <c r="G246" s="164"/>
      <c r="H246" s="164"/>
      <c r="I246" s="164"/>
      <c r="J246" s="164"/>
      <c r="K246" s="152">
        <v>2065837.0</v>
      </c>
      <c r="L246" s="167" t="s">
        <v>146</v>
      </c>
      <c r="M246" s="164"/>
      <c r="N246" s="164"/>
      <c r="O246" s="164"/>
      <c r="P246" s="164"/>
      <c r="Q246" s="164"/>
      <c r="R246" s="166"/>
      <c r="S246" s="164"/>
      <c r="T246" s="164" t="s">
        <v>1145</v>
      </c>
      <c r="U246" s="164" t="s">
        <v>1113</v>
      </c>
      <c r="V246" s="164" t="s">
        <v>114</v>
      </c>
      <c r="W246" s="164" t="s">
        <v>114</v>
      </c>
      <c r="X246" s="16">
        <f t="array" ref="X246">_xlfn.XLOOKUP(U246, 'CMFA-CSCDA Grants'!B:B, 'CMFA-CSCDA Grants'!A:A)
</f>
        <v>62</v>
      </c>
      <c r="Y246" s="166"/>
    </row>
    <row r="247">
      <c r="A247" s="221" t="s">
        <v>1131</v>
      </c>
      <c r="B247" s="164" t="s">
        <v>3415</v>
      </c>
      <c r="C247" s="164" t="s">
        <v>1132</v>
      </c>
      <c r="D247" s="6" t="str">
        <f>IF(ISBLANK(C247),B247,C247)</f>
        <v>7799 VALLEY VIEW ST LA PALMA</v>
      </c>
      <c r="E247" s="164"/>
      <c r="F247" s="164"/>
      <c r="G247" s="164"/>
      <c r="H247" s="164"/>
      <c r="I247" s="164"/>
      <c r="J247" s="164"/>
      <c r="K247" s="152">
        <v>5.3482929E7</v>
      </c>
      <c r="L247" s="25">
        <v>5.3482929E7</v>
      </c>
      <c r="M247" s="164"/>
      <c r="N247" s="164"/>
      <c r="O247" s="164"/>
      <c r="P247" s="164"/>
      <c r="Q247" s="164"/>
      <c r="R247" s="166"/>
      <c r="S247" s="164"/>
      <c r="T247" s="164" t="s">
        <v>1169</v>
      </c>
      <c r="U247" s="164" t="s">
        <v>1168</v>
      </c>
      <c r="V247" s="164" t="s">
        <v>273</v>
      </c>
      <c r="W247" s="164" t="s">
        <v>119</v>
      </c>
      <c r="X247" s="16">
        <f t="array" ref="X247">_xlfn.XLOOKUP(U247, 'CMFA-CSCDA Grants'!B:B, 'CMFA-CSCDA Grants'!A:A)
</f>
        <v>65</v>
      </c>
      <c r="Y247" s="166"/>
    </row>
    <row r="248" hidden="1">
      <c r="A248" s="221" t="s">
        <v>1153</v>
      </c>
      <c r="B248" s="164" t="s">
        <v>3419</v>
      </c>
      <c r="C248" s="164"/>
      <c r="D248" s="164"/>
      <c r="E248" s="164"/>
      <c r="F248" s="164"/>
      <c r="G248" s="164"/>
      <c r="H248" s="164"/>
      <c r="I248" s="164"/>
      <c r="J248" s="164"/>
      <c r="K248" s="152">
        <v>1.4893295E7</v>
      </c>
      <c r="L248" s="167" t="s">
        <v>146</v>
      </c>
      <c r="M248" s="164"/>
      <c r="N248" s="164"/>
      <c r="O248" s="164"/>
      <c r="P248" s="164"/>
      <c r="Q248" s="164"/>
      <c r="R248" s="166"/>
      <c r="S248" s="164"/>
      <c r="T248" s="164" t="s">
        <v>1186</v>
      </c>
      <c r="U248" s="164" t="s">
        <v>1157</v>
      </c>
      <c r="V248" s="164" t="s">
        <v>114</v>
      </c>
      <c r="W248" s="164" t="s">
        <v>114</v>
      </c>
      <c r="X248" s="16">
        <f t="array" ref="X248">_xlfn.XLOOKUP(U248, 'CMFA-CSCDA Grants'!B:B, 'CMFA-CSCDA Grants'!A:A)
</f>
        <v>69</v>
      </c>
      <c r="Y248" s="166"/>
    </row>
    <row r="249">
      <c r="A249" s="244" t="s">
        <v>1164</v>
      </c>
      <c r="B249" s="164" t="s">
        <v>3421</v>
      </c>
      <c r="C249" s="164" t="s">
        <v>1165</v>
      </c>
      <c r="D249" s="6" t="str">
        <f t="shared" ref="D249:D256" si="22">IF(ISBLANK(C249),B249,C249)</f>
        <v>4 Terrace View Ct, Daly City, CA 94015</v>
      </c>
      <c r="E249" s="164"/>
      <c r="F249" s="164"/>
      <c r="G249" s="164"/>
      <c r="H249" s="164"/>
      <c r="I249" s="164"/>
      <c r="J249" s="164"/>
      <c r="K249" s="152">
        <v>3870288.0</v>
      </c>
      <c r="L249" s="167" t="s">
        <v>146</v>
      </c>
      <c r="M249" s="164"/>
      <c r="N249" s="164"/>
      <c r="O249" s="164"/>
      <c r="P249" s="164"/>
      <c r="Q249" s="164"/>
      <c r="R249" s="166"/>
      <c r="S249" s="164"/>
      <c r="T249" s="164" t="s">
        <v>3592</v>
      </c>
      <c r="U249" s="6" t="s">
        <v>1198</v>
      </c>
      <c r="V249" s="164" t="s">
        <v>224</v>
      </c>
      <c r="W249" s="164" t="s">
        <v>124</v>
      </c>
      <c r="X249" s="16">
        <f t="array" ref="X249">_xlfn.XLOOKUP(U249, 'CMFA-CSCDA Grants'!B:B, 'CMFA-CSCDA Grants'!A:A)
</f>
        <v>70</v>
      </c>
      <c r="Y249" s="166"/>
    </row>
    <row r="250">
      <c r="A250" s="247" t="s">
        <v>1166</v>
      </c>
      <c r="B250" s="164" t="s">
        <v>3421</v>
      </c>
      <c r="C250" s="164" t="s">
        <v>1167</v>
      </c>
      <c r="D250" s="6" t="str">
        <f t="shared" si="22"/>
        <v>35 Eastmoor Ave, Daly City, CA 94015</v>
      </c>
      <c r="E250" s="164"/>
      <c r="F250" s="164"/>
      <c r="G250" s="164"/>
      <c r="H250" s="164"/>
      <c r="I250" s="164"/>
      <c r="J250" s="164"/>
      <c r="K250" s="152">
        <v>4765032.0</v>
      </c>
      <c r="L250" s="167" t="s">
        <v>146</v>
      </c>
      <c r="M250" s="164"/>
      <c r="N250" s="164"/>
      <c r="O250" s="164"/>
      <c r="P250" s="164"/>
      <c r="Q250" s="164"/>
      <c r="R250" s="166"/>
      <c r="S250" s="164"/>
      <c r="T250" s="164" t="s">
        <v>3592</v>
      </c>
      <c r="U250" s="6" t="s">
        <v>1198</v>
      </c>
      <c r="V250" s="164" t="s">
        <v>224</v>
      </c>
      <c r="W250" s="164" t="s">
        <v>124</v>
      </c>
      <c r="X250" s="16">
        <f t="array" ref="X250">_xlfn.XLOOKUP(U250, 'CMFA-CSCDA Grants'!B:B, 'CMFA-CSCDA Grants'!A:A)
</f>
        <v>70</v>
      </c>
      <c r="Y250" s="166"/>
    </row>
    <row r="251">
      <c r="A251" s="244" t="s">
        <v>1174</v>
      </c>
      <c r="B251" s="164" t="s">
        <v>3421</v>
      </c>
      <c r="C251" s="164" t="s">
        <v>1175</v>
      </c>
      <c r="D251" s="6" t="str">
        <f t="shared" si="22"/>
        <v>45 Eastmoor Ave, Daly City, CA 94015</v>
      </c>
      <c r="E251" s="164"/>
      <c r="F251" s="164"/>
      <c r="G251" s="164"/>
      <c r="H251" s="164"/>
      <c r="I251" s="164"/>
      <c r="J251" s="164"/>
      <c r="K251" s="152">
        <v>4452912.0</v>
      </c>
      <c r="L251" s="167" t="s">
        <v>146</v>
      </c>
      <c r="M251" s="164"/>
      <c r="N251" s="164"/>
      <c r="O251" s="164"/>
      <c r="P251" s="164"/>
      <c r="Q251" s="164"/>
      <c r="R251" s="166"/>
      <c r="S251" s="164"/>
      <c r="T251" s="164" t="s">
        <v>3592</v>
      </c>
      <c r="U251" s="6" t="s">
        <v>1198</v>
      </c>
      <c r="V251" s="164" t="s">
        <v>224</v>
      </c>
      <c r="W251" s="164" t="s">
        <v>124</v>
      </c>
      <c r="X251" s="16">
        <f t="array" ref="X251">_xlfn.XLOOKUP(U251, 'CMFA-CSCDA Grants'!B:B, 'CMFA-CSCDA Grants'!A:A)
</f>
        <v>70</v>
      </c>
      <c r="Y251" s="166"/>
    </row>
    <row r="252">
      <c r="A252" s="247" t="s">
        <v>1176</v>
      </c>
      <c r="B252" s="164" t="s">
        <v>3421</v>
      </c>
      <c r="C252" s="164" t="s">
        <v>1177</v>
      </c>
      <c r="D252" s="6" t="str">
        <f t="shared" si="22"/>
        <v>55 Eastmoor Ave, Daly City, CA 94015</v>
      </c>
      <c r="E252" s="164"/>
      <c r="F252" s="164"/>
      <c r="G252" s="164"/>
      <c r="H252" s="164"/>
      <c r="I252" s="164"/>
      <c r="J252" s="164"/>
      <c r="K252" s="152">
        <v>4317660.0</v>
      </c>
      <c r="L252" s="167" t="s">
        <v>146</v>
      </c>
      <c r="M252" s="164"/>
      <c r="N252" s="164"/>
      <c r="O252" s="164"/>
      <c r="P252" s="164"/>
      <c r="Q252" s="164"/>
      <c r="R252" s="166"/>
      <c r="S252" s="164"/>
      <c r="T252" s="164" t="s">
        <v>3592</v>
      </c>
      <c r="U252" s="6" t="s">
        <v>1198</v>
      </c>
      <c r="V252" s="164" t="s">
        <v>224</v>
      </c>
      <c r="W252" s="164" t="s">
        <v>124</v>
      </c>
      <c r="X252" s="16">
        <f t="array" ref="X252">_xlfn.XLOOKUP(U252, 'CMFA-CSCDA Grants'!B:B, 'CMFA-CSCDA Grants'!A:A)
</f>
        <v>70</v>
      </c>
      <c r="Y252" s="166"/>
    </row>
    <row r="253">
      <c r="A253" s="244" t="s">
        <v>1182</v>
      </c>
      <c r="B253" s="164" t="s">
        <v>3421</v>
      </c>
      <c r="C253" s="164" t="s">
        <v>1183</v>
      </c>
      <c r="D253" s="6" t="str">
        <f t="shared" si="22"/>
        <v>65 Eastmoor Ave, Daly City, CA 94015</v>
      </c>
      <c r="E253" s="164"/>
      <c r="F253" s="164"/>
      <c r="G253" s="164"/>
      <c r="H253" s="164"/>
      <c r="I253" s="164"/>
      <c r="J253" s="164"/>
      <c r="K253" s="152">
        <v>4317660.0</v>
      </c>
      <c r="L253" s="167" t="s">
        <v>146</v>
      </c>
      <c r="M253" s="164"/>
      <c r="N253" s="164"/>
      <c r="O253" s="164"/>
      <c r="P253" s="164"/>
      <c r="Q253" s="164"/>
      <c r="R253" s="166"/>
      <c r="S253" s="164"/>
      <c r="T253" s="164" t="s">
        <v>3592</v>
      </c>
      <c r="U253" s="6" t="s">
        <v>1198</v>
      </c>
      <c r="V253" s="164" t="s">
        <v>224</v>
      </c>
      <c r="W253" s="164" t="s">
        <v>124</v>
      </c>
      <c r="X253" s="16">
        <f t="array" ref="X253">_xlfn.XLOOKUP(U253, 'CMFA-CSCDA Grants'!B:B, 'CMFA-CSCDA Grants'!A:A)
</f>
        <v>70</v>
      </c>
      <c r="Y253" s="166"/>
    </row>
    <row r="254">
      <c r="A254" s="247" t="s">
        <v>1184</v>
      </c>
      <c r="B254" s="164" t="s">
        <v>3421</v>
      </c>
      <c r="C254" s="164" t="s">
        <v>1185</v>
      </c>
      <c r="D254" s="6" t="str">
        <f t="shared" si="22"/>
        <v>75 Eastmoor Ave, Daly City, CA 94015</v>
      </c>
      <c r="E254" s="164"/>
      <c r="F254" s="164"/>
      <c r="G254" s="164"/>
      <c r="H254" s="164"/>
      <c r="I254" s="164"/>
      <c r="J254" s="164"/>
      <c r="K254" s="152">
        <v>4713012.0</v>
      </c>
      <c r="L254" s="167" t="s">
        <v>146</v>
      </c>
      <c r="M254" s="164"/>
      <c r="N254" s="164"/>
      <c r="O254" s="164"/>
      <c r="P254" s="164"/>
      <c r="Q254" s="164"/>
      <c r="R254" s="166"/>
      <c r="S254" s="164"/>
      <c r="T254" s="164" t="s">
        <v>3592</v>
      </c>
      <c r="U254" s="6" t="s">
        <v>1198</v>
      </c>
      <c r="V254" s="164" t="s">
        <v>224</v>
      </c>
      <c r="W254" s="164" t="s">
        <v>124</v>
      </c>
      <c r="X254" s="16">
        <f t="array" ref="X254">_xlfn.XLOOKUP(U254, 'CMFA-CSCDA Grants'!B:B, 'CMFA-CSCDA Grants'!A:A)
</f>
        <v>70</v>
      </c>
      <c r="Y254" s="166"/>
    </row>
    <row r="255">
      <c r="A255" s="244" t="s">
        <v>1188</v>
      </c>
      <c r="B255" s="164" t="s">
        <v>3421</v>
      </c>
      <c r="C255" s="164" t="s">
        <v>1189</v>
      </c>
      <c r="D255" s="6" t="str">
        <f t="shared" si="22"/>
        <v>85 Eastmoor Ave, Daly City, CA 94015</v>
      </c>
      <c r="E255" s="164"/>
      <c r="F255" s="164"/>
      <c r="G255" s="164"/>
      <c r="H255" s="164"/>
      <c r="I255" s="164"/>
      <c r="J255" s="164"/>
      <c r="K255" s="152">
        <v>5784624.0</v>
      </c>
      <c r="L255" s="167" t="s">
        <v>146</v>
      </c>
      <c r="M255" s="164"/>
      <c r="N255" s="164"/>
      <c r="O255" s="164"/>
      <c r="P255" s="164"/>
      <c r="Q255" s="164"/>
      <c r="R255" s="166"/>
      <c r="S255" s="164"/>
      <c r="T255" s="164" t="s">
        <v>3592</v>
      </c>
      <c r="U255" s="6" t="s">
        <v>1198</v>
      </c>
      <c r="V255" s="164" t="s">
        <v>224</v>
      </c>
      <c r="W255" s="164" t="s">
        <v>124</v>
      </c>
      <c r="X255" s="16">
        <f t="array" ref="X255">_xlfn.XLOOKUP(U255, 'CMFA-CSCDA Grants'!B:B, 'CMFA-CSCDA Grants'!A:A)
</f>
        <v>70</v>
      </c>
      <c r="Y255" s="166"/>
    </row>
    <row r="256">
      <c r="A256" s="247" t="s">
        <v>1190</v>
      </c>
      <c r="B256" s="164" t="s">
        <v>3421</v>
      </c>
      <c r="C256" s="164" t="s">
        <v>1191</v>
      </c>
      <c r="D256" s="6" t="str">
        <f t="shared" si="22"/>
        <v>95 Eastmoor Ave, Daly City, CA 94015</v>
      </c>
      <c r="E256" s="164"/>
      <c r="F256" s="164"/>
      <c r="G256" s="164"/>
      <c r="H256" s="164"/>
      <c r="I256" s="164"/>
      <c r="J256" s="164"/>
      <c r="K256" s="152">
        <v>2590596.0</v>
      </c>
      <c r="L256" s="167" t="s">
        <v>146</v>
      </c>
      <c r="M256" s="164"/>
      <c r="N256" s="164"/>
      <c r="O256" s="164"/>
      <c r="P256" s="164"/>
      <c r="Q256" s="164"/>
      <c r="R256" s="166"/>
      <c r="S256" s="164"/>
      <c r="T256" s="164" t="s">
        <v>3592</v>
      </c>
      <c r="U256" s="6" t="s">
        <v>1198</v>
      </c>
      <c r="V256" s="164" t="s">
        <v>224</v>
      </c>
      <c r="W256" s="164" t="s">
        <v>124</v>
      </c>
      <c r="X256" s="16">
        <f t="array" ref="X256">_xlfn.XLOOKUP(U256, 'CMFA-CSCDA Grants'!B:B, 'CMFA-CSCDA Grants'!A:A)
</f>
        <v>70</v>
      </c>
      <c r="Y256" s="166"/>
    </row>
    <row r="257" hidden="1">
      <c r="A257" s="221" t="s">
        <v>1232</v>
      </c>
      <c r="B257" s="164" t="s">
        <v>3427</v>
      </c>
      <c r="C257" s="164"/>
      <c r="D257" s="164"/>
      <c r="E257" s="164"/>
      <c r="F257" s="164"/>
      <c r="G257" s="164"/>
      <c r="H257" s="164"/>
      <c r="I257" s="164"/>
      <c r="J257" s="164"/>
      <c r="K257" s="152">
        <v>1569525.0</v>
      </c>
      <c r="L257" s="167" t="s">
        <v>146</v>
      </c>
      <c r="M257" s="164"/>
      <c r="N257" s="164"/>
      <c r="O257" s="164"/>
      <c r="P257" s="164"/>
      <c r="Q257" s="164"/>
      <c r="R257" s="166"/>
      <c r="S257" s="164"/>
      <c r="T257" s="164" t="s">
        <v>1237</v>
      </c>
      <c r="U257" s="164" t="s">
        <v>1237</v>
      </c>
      <c r="V257" s="164" t="s">
        <v>114</v>
      </c>
      <c r="W257" s="164" t="s">
        <v>114</v>
      </c>
      <c r="X257" s="16">
        <f t="array" ref="X257">_xlfn.XLOOKUP(U257, 'CMFA-CSCDA Grants'!B:B, 'CMFA-CSCDA Grants'!A:A)
</f>
        <v>76</v>
      </c>
      <c r="Y257" s="166"/>
    </row>
    <row r="258" hidden="1">
      <c r="A258" s="221" t="s">
        <v>1268</v>
      </c>
      <c r="B258" s="164" t="s">
        <v>3431</v>
      </c>
      <c r="C258" s="164"/>
      <c r="D258" s="164"/>
      <c r="E258" s="164"/>
      <c r="F258" s="164"/>
      <c r="G258" s="164"/>
      <c r="H258" s="164"/>
      <c r="I258" s="164"/>
      <c r="J258" s="164"/>
      <c r="K258" s="152">
        <v>5960901.0</v>
      </c>
      <c r="L258" s="167" t="s">
        <v>146</v>
      </c>
      <c r="M258" s="164"/>
      <c r="N258" s="164"/>
      <c r="O258" s="164"/>
      <c r="P258" s="164"/>
      <c r="Q258" s="164"/>
      <c r="R258" s="166"/>
      <c r="S258" s="164"/>
      <c r="T258" s="164" t="s">
        <v>1314</v>
      </c>
      <c r="U258" s="164" t="s">
        <v>1272</v>
      </c>
      <c r="V258" s="164" t="s">
        <v>114</v>
      </c>
      <c r="W258" s="164" t="s">
        <v>114</v>
      </c>
      <c r="X258" s="16">
        <f t="array" ref="X258">_xlfn.XLOOKUP(U258, 'CMFA-CSCDA Grants'!B:B, 'CMFA-CSCDA Grants'!A:A)
</f>
        <v>81</v>
      </c>
      <c r="Y258" s="166"/>
    </row>
    <row r="259" hidden="1">
      <c r="A259" s="221" t="s">
        <v>1300</v>
      </c>
      <c r="B259" s="164" t="s">
        <v>3433</v>
      </c>
      <c r="C259" s="164"/>
      <c r="D259" s="164"/>
      <c r="E259" s="164"/>
      <c r="F259" s="164"/>
      <c r="G259" s="164"/>
      <c r="H259" s="164"/>
      <c r="I259" s="164"/>
      <c r="J259" s="164"/>
      <c r="K259" s="152">
        <v>1363864.0</v>
      </c>
      <c r="L259" s="167" t="s">
        <v>146</v>
      </c>
      <c r="M259" s="164"/>
      <c r="N259" s="164"/>
      <c r="O259" s="164"/>
      <c r="P259" s="164"/>
      <c r="Q259" s="164"/>
      <c r="R259" s="166"/>
      <c r="S259" s="164"/>
      <c r="T259" s="164" t="s">
        <v>1359</v>
      </c>
      <c r="U259" s="164" t="s">
        <v>1305</v>
      </c>
      <c r="V259" s="164" t="s">
        <v>114</v>
      </c>
      <c r="W259" s="164" t="s">
        <v>114</v>
      </c>
      <c r="X259" s="16">
        <f t="array" ref="X259">_xlfn.XLOOKUP(U259, 'CMFA-CSCDA Grants'!B:B, 'CMFA-CSCDA Grants'!A:A)
</f>
        <v>85</v>
      </c>
      <c r="Y259" s="166"/>
    </row>
    <row r="260" hidden="1">
      <c r="A260" s="221" t="s">
        <v>3434</v>
      </c>
      <c r="B260" s="164" t="s">
        <v>3436</v>
      </c>
      <c r="C260" s="164"/>
      <c r="D260" s="164"/>
      <c r="E260" s="164"/>
      <c r="F260" s="164"/>
      <c r="G260" s="164"/>
      <c r="H260" s="164"/>
      <c r="I260" s="164"/>
      <c r="J260" s="164"/>
      <c r="K260" s="152">
        <v>647700.0</v>
      </c>
      <c r="L260" s="167" t="s">
        <v>146</v>
      </c>
      <c r="M260" s="164"/>
      <c r="N260" s="164"/>
      <c r="O260" s="164"/>
      <c r="P260" s="164"/>
      <c r="Q260" s="164"/>
      <c r="R260" s="166"/>
      <c r="S260" s="164"/>
      <c r="T260" s="164" t="s">
        <v>1456</v>
      </c>
      <c r="U260" s="164" t="s">
        <v>1326</v>
      </c>
      <c r="V260" s="164" t="s">
        <v>114</v>
      </c>
      <c r="W260" s="164" t="s">
        <v>114</v>
      </c>
      <c r="X260" s="16">
        <f t="array" ref="X260">_xlfn.XLOOKUP(U260, 'CMFA-CSCDA Grants'!B:B, 'CMFA-CSCDA Grants'!A:A)
</f>
        <v>88</v>
      </c>
      <c r="Y260" s="166"/>
    </row>
    <row r="261" hidden="1">
      <c r="A261" s="221" t="s">
        <v>1346</v>
      </c>
      <c r="B261" s="164" t="s">
        <v>3437</v>
      </c>
      <c r="C261" s="164"/>
      <c r="D261" s="164"/>
      <c r="E261" s="164"/>
      <c r="F261" s="164"/>
      <c r="G261" s="164"/>
      <c r="H261" s="164"/>
      <c r="I261" s="164"/>
      <c r="J261" s="164"/>
      <c r="K261" s="152">
        <v>4.5150518E7</v>
      </c>
      <c r="L261" s="167" t="s">
        <v>146</v>
      </c>
      <c r="M261" s="164"/>
      <c r="N261" s="164"/>
      <c r="O261" s="164"/>
      <c r="P261" s="164"/>
      <c r="Q261" s="164"/>
      <c r="R261" s="166"/>
      <c r="S261" s="164"/>
      <c r="T261" s="164" t="s">
        <v>1555</v>
      </c>
      <c r="U261" s="164" t="s">
        <v>1351</v>
      </c>
      <c r="V261" s="164" t="s">
        <v>1556</v>
      </c>
      <c r="W261" s="164" t="s">
        <v>114</v>
      </c>
      <c r="X261" s="16">
        <f t="array" ref="X261">_xlfn.XLOOKUP(U261, 'CMFA-CSCDA Grants'!B:B, 'CMFA-CSCDA Grants'!A:A)
</f>
        <v>92</v>
      </c>
      <c r="Y261" s="166"/>
    </row>
    <row r="262">
      <c r="A262" s="221" t="s">
        <v>2830</v>
      </c>
      <c r="B262" s="164" t="s">
        <v>3438</v>
      </c>
      <c r="C262" s="164" t="s">
        <v>2831</v>
      </c>
      <c r="D262" s="6" t="str">
        <f t="shared" ref="D262:D265" si="23">IF(ISBLANK(C262),B262,C262)</f>
        <v>1028 S De Anza Bl, San Jose, CA 95129</v>
      </c>
      <c r="E262" s="164"/>
      <c r="F262" s="164"/>
      <c r="G262" s="164"/>
      <c r="H262" s="164"/>
      <c r="I262" s="164"/>
      <c r="J262" s="164"/>
      <c r="K262" s="152">
        <v>4853048.0</v>
      </c>
      <c r="L262" s="167" t="s">
        <v>146</v>
      </c>
      <c r="M262" s="164"/>
      <c r="N262" s="164"/>
      <c r="O262" s="164"/>
      <c r="P262" s="164"/>
      <c r="Q262" s="164"/>
      <c r="R262" s="164"/>
      <c r="S262" s="164"/>
      <c r="T262" s="164" t="s">
        <v>1530</v>
      </c>
      <c r="U262" s="164" t="s">
        <v>1529</v>
      </c>
      <c r="V262" s="164" t="s">
        <v>155</v>
      </c>
      <c r="W262" s="164" t="s">
        <v>129</v>
      </c>
      <c r="X262" s="16">
        <f t="array" ref="X262">_xlfn.XLOOKUP(U262, 'CMFA-CSCDA Grants'!B:B, 'CMFA-CSCDA Grants'!A:A)
</f>
        <v>95</v>
      </c>
      <c r="Y262" s="166"/>
    </row>
    <row r="263">
      <c r="A263" s="223" t="s">
        <v>2840</v>
      </c>
      <c r="B263" s="164" t="s">
        <v>3441</v>
      </c>
      <c r="C263" s="164" t="s">
        <v>2842</v>
      </c>
      <c r="D263" s="6" t="str">
        <f t="shared" si="23"/>
        <v>355 Kiely Bl, San Jose, CA 95129</v>
      </c>
      <c r="E263" s="164"/>
      <c r="F263" s="164"/>
      <c r="G263" s="164"/>
      <c r="H263" s="164"/>
      <c r="I263" s="164"/>
      <c r="J263" s="164"/>
      <c r="K263" s="152">
        <v>1.29482004E8</v>
      </c>
      <c r="L263" s="167" t="s">
        <v>146</v>
      </c>
      <c r="M263" s="164"/>
      <c r="N263" s="164"/>
      <c r="O263" s="164"/>
      <c r="P263" s="164"/>
      <c r="Q263" s="164"/>
      <c r="R263" s="164"/>
      <c r="S263" s="164"/>
      <c r="T263" s="164" t="s">
        <v>1493</v>
      </c>
      <c r="U263" s="164" t="s">
        <v>1492</v>
      </c>
      <c r="V263" s="164" t="s">
        <v>155</v>
      </c>
      <c r="W263" s="164" t="s">
        <v>129</v>
      </c>
      <c r="X263" s="16">
        <f t="array" ref="X263">_xlfn.XLOOKUP(U263, 'CMFA-CSCDA Grants'!B:B, 'CMFA-CSCDA Grants'!A:A)
</f>
        <v>96</v>
      </c>
      <c r="Y263" s="166"/>
    </row>
    <row r="264">
      <c r="A264" s="223" t="s">
        <v>2856</v>
      </c>
      <c r="B264" s="164" t="s">
        <v>3441</v>
      </c>
      <c r="C264" s="164" t="s">
        <v>2857</v>
      </c>
      <c r="D264" s="6" t="str">
        <f t="shared" si="23"/>
        <v>4240 Albany Dr, San Jose, CA 95129</v>
      </c>
      <c r="E264" s="164"/>
      <c r="F264" s="164"/>
      <c r="G264" s="164"/>
      <c r="H264" s="164"/>
      <c r="I264" s="164"/>
      <c r="J264" s="164"/>
      <c r="K264" s="152">
        <v>9.5469825E7</v>
      </c>
      <c r="L264" s="167" t="s">
        <v>146</v>
      </c>
      <c r="M264" s="164"/>
      <c r="N264" s="164"/>
      <c r="O264" s="164"/>
      <c r="P264" s="164"/>
      <c r="Q264" s="164"/>
      <c r="R264" s="166"/>
      <c r="S264" s="164"/>
      <c r="T264" s="164" t="s">
        <v>1493</v>
      </c>
      <c r="U264" s="164" t="s">
        <v>1492</v>
      </c>
      <c r="V264" s="164" t="s">
        <v>155</v>
      </c>
      <c r="W264" s="164" t="s">
        <v>129</v>
      </c>
      <c r="X264" s="16">
        <f t="array" ref="X264">_xlfn.XLOOKUP(U264, 'CMFA-CSCDA Grants'!B:B, 'CMFA-CSCDA Grants'!A:A)
</f>
        <v>96</v>
      </c>
      <c r="Y264" s="166"/>
    </row>
    <row r="265">
      <c r="A265" s="221" t="s">
        <v>2867</v>
      </c>
      <c r="B265" s="164" t="s">
        <v>3441</v>
      </c>
      <c r="C265" s="164" t="s">
        <v>2868</v>
      </c>
      <c r="D265" s="6" t="str">
        <f t="shared" si="23"/>
        <v>4280 Albany Dr, San Jose, CA 95129</v>
      </c>
      <c r="E265" s="164"/>
      <c r="F265" s="164"/>
      <c r="G265" s="164"/>
      <c r="H265" s="164"/>
      <c r="I265" s="164"/>
      <c r="J265" s="164"/>
      <c r="K265" s="152">
        <v>7.2364911E7</v>
      </c>
      <c r="L265" s="167" t="s">
        <v>146</v>
      </c>
      <c r="M265" s="164"/>
      <c r="N265" s="164"/>
      <c r="O265" s="164"/>
      <c r="P265" s="164"/>
      <c r="Q265" s="164"/>
      <c r="R265" s="166"/>
      <c r="S265" s="164"/>
      <c r="T265" s="164" t="s">
        <v>1493</v>
      </c>
      <c r="U265" s="164" t="s">
        <v>1492</v>
      </c>
      <c r="V265" s="164" t="s">
        <v>155</v>
      </c>
      <c r="W265" s="164" t="s">
        <v>129</v>
      </c>
      <c r="X265" s="16">
        <f t="array" ref="X265">_xlfn.XLOOKUP(U265, 'CMFA-CSCDA Grants'!B:B, 'CMFA-CSCDA Grants'!A:A)
</f>
        <v>96</v>
      </c>
      <c r="Y265" s="166"/>
    </row>
    <row r="266" hidden="1">
      <c r="A266" s="223" t="s">
        <v>1459</v>
      </c>
      <c r="B266" s="164" t="s">
        <v>3443</v>
      </c>
      <c r="C266" s="164" t="s">
        <v>3609</v>
      </c>
      <c r="D266" s="164"/>
      <c r="E266" s="164"/>
      <c r="F266" s="164"/>
      <c r="G266" s="164"/>
      <c r="H266" s="164"/>
      <c r="I266" s="164"/>
      <c r="J266" s="164"/>
      <c r="K266" s="152"/>
      <c r="L266" s="167"/>
      <c r="M266" s="164"/>
      <c r="N266" s="164"/>
      <c r="O266" s="164"/>
      <c r="P266" s="164"/>
      <c r="Q266" s="164"/>
      <c r="R266" s="166"/>
      <c r="S266" s="164"/>
      <c r="T266" s="164" t="s">
        <v>1843</v>
      </c>
      <c r="U266" s="164" t="s">
        <v>1463</v>
      </c>
      <c r="V266" s="164" t="s">
        <v>114</v>
      </c>
      <c r="W266" s="164" t="s">
        <v>114</v>
      </c>
      <c r="X266" s="16">
        <f t="array" ref="X266">_xlfn.XLOOKUP(U266, 'CMFA-CSCDA Grants'!B:B, 'CMFA-CSCDA Grants'!A:A)
</f>
        <v>109</v>
      </c>
      <c r="Y266" s="166"/>
    </row>
    <row r="267">
      <c r="A267" s="223" t="s">
        <v>2902</v>
      </c>
      <c r="B267" s="164" t="s">
        <v>3447</v>
      </c>
      <c r="C267" s="164" t="s">
        <v>2903</v>
      </c>
      <c r="D267" s="6" t="str">
        <f t="shared" ref="D267:D269" si="24">IF(ISBLANK(C267),B267,C267)</f>
        <v>5150 Monterey Rd, San Jose, CA 95111</v>
      </c>
      <c r="E267" s="164"/>
      <c r="F267" s="164"/>
      <c r="G267" s="164"/>
      <c r="H267" s="164"/>
      <c r="I267" s="164"/>
      <c r="J267" s="164"/>
      <c r="K267" s="152">
        <v>5.1700304E7</v>
      </c>
      <c r="L267" s="167">
        <v>5.1700304E7</v>
      </c>
      <c r="M267" s="164"/>
      <c r="N267" s="164"/>
      <c r="O267" s="164"/>
      <c r="P267" s="164"/>
      <c r="Q267" s="164"/>
      <c r="R267" s="164"/>
      <c r="S267" s="164"/>
      <c r="T267" s="164" t="s">
        <v>2205</v>
      </c>
      <c r="U267" s="164" t="s">
        <v>2204</v>
      </c>
      <c r="V267" s="164" t="s">
        <v>155</v>
      </c>
      <c r="W267" s="164" t="s">
        <v>129</v>
      </c>
      <c r="X267" s="16">
        <f t="array" ref="X267">_xlfn.XLOOKUP(U267, 'CMFA-CSCDA Grants'!B:B, 'CMFA-CSCDA Grants'!A:A)
</f>
        <v>139</v>
      </c>
      <c r="Y267" s="166"/>
    </row>
    <row r="268">
      <c r="A268" s="221" t="s">
        <v>2915</v>
      </c>
      <c r="B268" s="164" t="s">
        <v>3447</v>
      </c>
      <c r="C268" s="164" t="s">
        <v>2916</v>
      </c>
      <c r="D268" s="6" t="str">
        <f t="shared" si="24"/>
        <v>70 Crocker Ct, San Jose, CA 95111</v>
      </c>
      <c r="E268" s="164"/>
      <c r="F268" s="164"/>
      <c r="G268" s="164"/>
      <c r="H268" s="164"/>
      <c r="I268" s="164"/>
      <c r="J268" s="164"/>
      <c r="K268" s="152">
        <v>8396294.0</v>
      </c>
      <c r="L268" s="167">
        <v>8396294.0</v>
      </c>
      <c r="M268" s="164"/>
      <c r="N268" s="164"/>
      <c r="O268" s="164"/>
      <c r="P268" s="164"/>
      <c r="Q268" s="164"/>
      <c r="R268" s="164"/>
      <c r="S268" s="164"/>
      <c r="T268" s="164" t="s">
        <v>2205</v>
      </c>
      <c r="U268" s="164" t="s">
        <v>2204</v>
      </c>
      <c r="V268" s="164" t="s">
        <v>155</v>
      </c>
      <c r="W268" s="164" t="s">
        <v>129</v>
      </c>
      <c r="X268" s="16">
        <f t="array" ref="X268">_xlfn.XLOOKUP(U268, 'CMFA-CSCDA Grants'!B:B, 'CMFA-CSCDA Grants'!A:A)
</f>
        <v>139</v>
      </c>
      <c r="Y268" s="166"/>
    </row>
    <row r="269">
      <c r="A269" s="221" t="s">
        <v>1830</v>
      </c>
      <c r="B269" s="164" t="s">
        <v>1831</v>
      </c>
      <c r="C269" s="164" t="s">
        <v>1831</v>
      </c>
      <c r="D269" s="6" t="str">
        <f t="shared" si="24"/>
        <v>5669 N FRESNO ST FRESNO CA 93710</v>
      </c>
      <c r="E269" s="164"/>
      <c r="F269" s="164"/>
      <c r="G269" s="164"/>
      <c r="H269" s="164"/>
      <c r="I269" s="164"/>
      <c r="J269" s="164"/>
      <c r="K269" s="152">
        <v>3.0330305E7</v>
      </c>
      <c r="L269" s="167" t="s">
        <v>146</v>
      </c>
      <c r="M269" s="164"/>
      <c r="N269" s="164"/>
      <c r="O269" s="164"/>
      <c r="P269" s="164"/>
      <c r="Q269" s="164"/>
      <c r="R269" s="164"/>
      <c r="S269" s="164"/>
      <c r="T269" s="164" t="s">
        <v>2210</v>
      </c>
      <c r="U269" s="164" t="s">
        <v>2209</v>
      </c>
      <c r="V269" s="164" t="s">
        <v>113</v>
      </c>
      <c r="W269" s="164" t="s">
        <v>113</v>
      </c>
      <c r="X269" s="16">
        <f t="array" ref="X269">_xlfn.XLOOKUP(U269, 'CMFA-CSCDA Grants'!B:B, 'CMFA-CSCDA Grants'!A:A)
</f>
        <v>141</v>
      </c>
      <c r="Y269" s="166"/>
    </row>
    <row r="270" hidden="1">
      <c r="A270" s="223" t="s">
        <v>3450</v>
      </c>
      <c r="B270" s="164" t="s">
        <v>3451</v>
      </c>
      <c r="C270" s="164" t="s">
        <v>3451</v>
      </c>
      <c r="D270" s="164"/>
      <c r="E270" s="164"/>
      <c r="F270" s="164"/>
      <c r="G270" s="164"/>
      <c r="H270" s="164"/>
      <c r="I270" s="164"/>
      <c r="J270" s="164"/>
      <c r="K270" s="152">
        <v>1206999.0</v>
      </c>
      <c r="L270" s="167" t="s">
        <v>146</v>
      </c>
      <c r="M270" s="164"/>
      <c r="N270" s="164"/>
      <c r="O270" s="164"/>
      <c r="P270" s="164"/>
      <c r="Q270" s="164"/>
      <c r="R270" s="166"/>
      <c r="S270" s="164"/>
      <c r="T270" s="164" t="s">
        <v>2213</v>
      </c>
      <c r="U270" s="164" t="s">
        <v>1838</v>
      </c>
      <c r="V270" s="164" t="s">
        <v>114</v>
      </c>
      <c r="W270" s="164" t="s">
        <v>114</v>
      </c>
      <c r="X270" s="16">
        <f t="array" ref="X270">_xlfn.XLOOKUP(U270, 'CMFA-CSCDA Grants'!B:B, 'CMFA-CSCDA Grants'!A:A)
</f>
        <v>142</v>
      </c>
      <c r="Y270" s="166"/>
    </row>
    <row r="271" hidden="1">
      <c r="A271" s="151" t="s">
        <v>3613</v>
      </c>
      <c r="B271" s="6" t="s">
        <v>3614</v>
      </c>
      <c r="C271" s="250" t="s">
        <v>3614</v>
      </c>
      <c r="D271" s="250"/>
      <c r="K271" s="153"/>
      <c r="L271" s="14"/>
      <c r="T271" s="251" t="s">
        <v>409</v>
      </c>
      <c r="U271" s="251" t="s">
        <v>202</v>
      </c>
      <c r="V271" s="251" t="s">
        <v>114</v>
      </c>
      <c r="W271" s="251" t="s">
        <v>114</v>
      </c>
      <c r="X271" s="16">
        <f t="array" ref="X271">_xlfn.XLOOKUP(U271, 'CMFA-CSCDA Grants'!B:B, 'CMFA-CSCDA Grants'!A:A)
</f>
        <v>8</v>
      </c>
    </row>
    <row r="272" hidden="1">
      <c r="A272" s="151" t="s">
        <v>3616</v>
      </c>
      <c r="B272" s="6" t="s">
        <v>3617</v>
      </c>
      <c r="C272" s="250" t="s">
        <v>3617</v>
      </c>
      <c r="D272" s="250"/>
      <c r="K272" s="153"/>
      <c r="L272" s="14"/>
      <c r="T272" s="251" t="s">
        <v>3620</v>
      </c>
      <c r="U272" s="251" t="s">
        <v>220</v>
      </c>
      <c r="V272" s="251" t="s">
        <v>114</v>
      </c>
      <c r="W272" s="251" t="s">
        <v>114</v>
      </c>
      <c r="X272" s="16">
        <f t="array" ref="X272">_xlfn.XLOOKUP(U272, 'CMFA-CSCDA Grants'!B:B, 'CMFA-CSCDA Grants'!A:A)
</f>
        <v>9</v>
      </c>
    </row>
    <row r="273" hidden="1">
      <c r="A273" s="151" t="s">
        <v>3622</v>
      </c>
      <c r="B273" s="6" t="s">
        <v>3623</v>
      </c>
      <c r="C273" s="6" t="s">
        <v>3624</v>
      </c>
      <c r="D273" s="6"/>
      <c r="K273" s="153"/>
      <c r="L273" s="14"/>
      <c r="T273" s="251" t="s">
        <v>3620</v>
      </c>
      <c r="U273" s="251" t="s">
        <v>220</v>
      </c>
      <c r="V273" s="251" t="s">
        <v>114</v>
      </c>
      <c r="W273" s="251" t="s">
        <v>114</v>
      </c>
      <c r="X273" s="16">
        <f t="array" ref="X273">_xlfn.XLOOKUP(U273, 'CMFA-CSCDA Grants'!B:B, 'CMFA-CSCDA Grants'!A:A)
</f>
        <v>9</v>
      </c>
    </row>
    <row r="274" hidden="1">
      <c r="A274" s="151" t="s">
        <v>784</v>
      </c>
      <c r="B274" s="6" t="s">
        <v>785</v>
      </c>
      <c r="C274" s="6" t="s">
        <v>785</v>
      </c>
      <c r="D274" s="6"/>
      <c r="K274" s="153"/>
      <c r="L274" s="14"/>
      <c r="T274" s="251" t="s">
        <v>908</v>
      </c>
      <c r="U274" s="251" t="s">
        <v>788</v>
      </c>
      <c r="V274" s="251" t="s">
        <v>114</v>
      </c>
      <c r="W274" s="251" t="s">
        <v>114</v>
      </c>
      <c r="X274" s="16">
        <f t="array" ref="X274">_xlfn.XLOOKUP(U274, 'CMFA-CSCDA Grants'!B:B, 'CMFA-CSCDA Grants'!A:A)
</f>
        <v>46</v>
      </c>
    </row>
    <row r="275" hidden="1">
      <c r="A275" s="151" t="s">
        <v>795</v>
      </c>
      <c r="B275" s="6" t="s">
        <v>785</v>
      </c>
      <c r="C275" s="6" t="s">
        <v>796</v>
      </c>
      <c r="D275" s="6"/>
      <c r="K275" s="153"/>
      <c r="L275" s="14"/>
      <c r="T275" s="251" t="s">
        <v>908</v>
      </c>
      <c r="U275" s="251" t="s">
        <v>788</v>
      </c>
      <c r="V275" s="251" t="s">
        <v>114</v>
      </c>
      <c r="W275" s="251" t="s">
        <v>114</v>
      </c>
      <c r="X275" s="16">
        <f t="array" ref="X275">_xlfn.XLOOKUP(U275, 'CMFA-CSCDA Grants'!B:B, 'CMFA-CSCDA Grants'!A:A)
</f>
        <v>46</v>
      </c>
    </row>
    <row r="276" hidden="1">
      <c r="A276" s="151" t="s">
        <v>431</v>
      </c>
      <c r="B276" s="6" t="s">
        <v>432</v>
      </c>
      <c r="C276" s="250" t="s">
        <v>432</v>
      </c>
      <c r="D276" s="250"/>
      <c r="K276" s="153"/>
      <c r="L276" s="14"/>
      <c r="T276" s="251" t="s">
        <v>2651</v>
      </c>
      <c r="U276" s="251" t="s">
        <v>435</v>
      </c>
      <c r="V276" s="251" t="s">
        <v>114</v>
      </c>
      <c r="W276" s="251" t="s">
        <v>114</v>
      </c>
      <c r="X276" s="16">
        <f t="array" ref="X276">_xlfn.XLOOKUP(U276, 'CMFA-CSCDA Grants'!B:B, 'CMFA-CSCDA Grants'!A:A)
</f>
        <v>25</v>
      </c>
    </row>
    <row r="277">
      <c r="A277" s="151" t="s">
        <v>821</v>
      </c>
      <c r="B277" s="6" t="s">
        <v>822</v>
      </c>
      <c r="C277" s="6" t="s">
        <v>822</v>
      </c>
      <c r="D277" s="6" t="str">
        <f>IF(ISBLANK(C277),B277,C277)</f>
        <v>21701 FOOTHILL BLVD, HAYWARD, CA 94541</v>
      </c>
      <c r="K277" s="152">
        <v>3.8656726E7</v>
      </c>
      <c r="L277" s="25" t="s">
        <v>146</v>
      </c>
      <c r="T277" s="251" t="s">
        <v>3625</v>
      </c>
      <c r="U277" s="251" t="s">
        <v>1997</v>
      </c>
      <c r="V277" s="251" t="s">
        <v>188</v>
      </c>
      <c r="W277" s="251" t="s">
        <v>86</v>
      </c>
      <c r="X277" s="16">
        <f t="array" ref="X277">_xlfn.XLOOKUP(U277, 'CMFA-CSCDA Grants'!B:B, 'CMFA-CSCDA Grants'!A:A)
</f>
        <v>49</v>
      </c>
    </row>
    <row r="278" hidden="1">
      <c r="A278" s="151" t="s">
        <v>1078</v>
      </c>
      <c r="B278" s="6" t="s">
        <v>1079</v>
      </c>
      <c r="C278" s="6" t="s">
        <v>1079</v>
      </c>
      <c r="D278" s="6"/>
      <c r="K278" s="153"/>
      <c r="L278" s="14"/>
      <c r="T278" s="251" t="s">
        <v>1033</v>
      </c>
      <c r="U278" s="251" t="s">
        <v>1032</v>
      </c>
      <c r="V278" s="251" t="s">
        <v>114</v>
      </c>
      <c r="W278" s="251" t="s">
        <v>114</v>
      </c>
      <c r="X278" s="16">
        <f t="array" ref="X278">_xlfn.XLOOKUP(U278, 'CMFA-CSCDA Grants'!B:B, 'CMFA-CSCDA Grants'!A:A)
</f>
        <v>55</v>
      </c>
    </row>
    <row r="279" hidden="1">
      <c r="A279" s="151" t="s">
        <v>1103</v>
      </c>
      <c r="B279" s="6" t="s">
        <v>1104</v>
      </c>
      <c r="C279" s="6" t="s">
        <v>1104</v>
      </c>
      <c r="D279" s="6"/>
      <c r="K279" s="153"/>
      <c r="L279" s="14"/>
      <c r="T279" s="251" t="s">
        <v>1128</v>
      </c>
      <c r="U279" s="251" t="s">
        <v>1107</v>
      </c>
      <c r="V279" s="251" t="s">
        <v>114</v>
      </c>
      <c r="W279" s="251" t="s">
        <v>114</v>
      </c>
      <c r="X279" s="16">
        <f t="array" ref="X279">_xlfn.XLOOKUP(U279, 'CMFA-CSCDA Grants'!B:B, 'CMFA-CSCDA Grants'!A:A)
</f>
        <v>61</v>
      </c>
    </row>
    <row r="280" hidden="1">
      <c r="A280" s="151" t="s">
        <v>3627</v>
      </c>
      <c r="B280" s="6" t="s">
        <v>3628</v>
      </c>
      <c r="C280" s="6" t="s">
        <v>3629</v>
      </c>
      <c r="D280" s="6"/>
      <c r="K280" s="153"/>
      <c r="L280" s="14"/>
      <c r="T280" s="251" t="s">
        <v>1231</v>
      </c>
      <c r="U280" s="251" t="s">
        <v>1207</v>
      </c>
      <c r="V280" s="251" t="s">
        <v>114</v>
      </c>
      <c r="W280" s="251" t="s">
        <v>114</v>
      </c>
      <c r="X280" s="16">
        <f t="array" ref="X280">_xlfn.XLOOKUP(U280, 'CMFA-CSCDA Grants'!B:B, 'CMFA-CSCDA Grants'!A:A)
</f>
        <v>73</v>
      </c>
    </row>
    <row r="281" hidden="1">
      <c r="A281" s="151" t="s">
        <v>3630</v>
      </c>
      <c r="B281" s="6" t="s">
        <v>3628</v>
      </c>
      <c r="C281" s="6" t="s">
        <v>3628</v>
      </c>
      <c r="D281" s="6"/>
      <c r="K281" s="153"/>
      <c r="L281" s="14"/>
      <c r="T281" s="251" t="s">
        <v>3631</v>
      </c>
      <c r="U281" s="251" t="s">
        <v>3632</v>
      </c>
      <c r="V281" s="251" t="s">
        <v>114</v>
      </c>
      <c r="W281" s="251" t="s">
        <v>114</v>
      </c>
      <c r="X281" s="16" t="str">
        <f t="array" ref="X281">_xlfn.XLOOKUP(U281, 'CMFA-CSCDA Grants'!B:B, 'CMFA-CSCDA Grants'!A:A)
</f>
        <v>#N/A</v>
      </c>
    </row>
    <row r="282" hidden="1">
      <c r="A282" s="151" t="s">
        <v>3633</v>
      </c>
      <c r="B282" s="6" t="s">
        <v>3628</v>
      </c>
      <c r="C282" s="6" t="s">
        <v>146</v>
      </c>
      <c r="D282" s="6"/>
      <c r="K282" s="153"/>
      <c r="L282" s="14"/>
      <c r="T282" s="251" t="s">
        <v>3634</v>
      </c>
      <c r="U282" s="251" t="s">
        <v>3635</v>
      </c>
      <c r="V282" s="251" t="s">
        <v>114</v>
      </c>
      <c r="W282" s="251" t="s">
        <v>114</v>
      </c>
      <c r="X282" s="16" t="str">
        <f t="array" ref="X282">_xlfn.XLOOKUP(U282, 'CMFA-CSCDA Grants'!B:B, 'CMFA-CSCDA Grants'!A:A)
</f>
        <v>#N/A</v>
      </c>
    </row>
    <row r="283" hidden="1">
      <c r="A283" s="151" t="s">
        <v>3636</v>
      </c>
      <c r="B283" s="6" t="s">
        <v>3628</v>
      </c>
      <c r="C283" s="6" t="s">
        <v>3637</v>
      </c>
      <c r="D283" s="6"/>
      <c r="K283" s="153"/>
      <c r="L283" s="14"/>
      <c r="T283" s="251" t="s">
        <v>3638</v>
      </c>
      <c r="U283" s="251" t="s">
        <v>3639</v>
      </c>
      <c r="V283" s="251" t="s">
        <v>114</v>
      </c>
      <c r="W283" s="251" t="s">
        <v>114</v>
      </c>
      <c r="X283" s="16" t="str">
        <f t="array" ref="X283">_xlfn.XLOOKUP(U283, 'CMFA-CSCDA Grants'!B:B, 'CMFA-CSCDA Grants'!A:A)
</f>
        <v>#N/A</v>
      </c>
    </row>
    <row r="284" hidden="1">
      <c r="A284" s="151" t="s">
        <v>3640</v>
      </c>
      <c r="B284" s="6" t="s">
        <v>3628</v>
      </c>
      <c r="C284" s="6" t="s">
        <v>146</v>
      </c>
      <c r="D284" s="6"/>
      <c r="K284" s="153"/>
      <c r="L284" s="14"/>
      <c r="T284" s="251" t="s">
        <v>3641</v>
      </c>
      <c r="U284" s="251" t="s">
        <v>3642</v>
      </c>
      <c r="V284" s="251" t="s">
        <v>114</v>
      </c>
      <c r="W284" s="251" t="s">
        <v>114</v>
      </c>
      <c r="X284" s="16" t="str">
        <f t="array" ref="X284">_xlfn.XLOOKUP(U284, 'CMFA-CSCDA Grants'!B:B, 'CMFA-CSCDA Grants'!A:A)
</f>
        <v>#N/A</v>
      </c>
    </row>
    <row r="285" hidden="1">
      <c r="A285" s="151" t="s">
        <v>1210</v>
      </c>
      <c r="B285" s="6" t="s">
        <v>3628</v>
      </c>
      <c r="C285" s="6" t="s">
        <v>146</v>
      </c>
      <c r="D285" s="6"/>
      <c r="K285" s="153"/>
      <c r="L285" s="14"/>
      <c r="T285" s="251" t="s">
        <v>3645</v>
      </c>
      <c r="U285" s="251" t="s">
        <v>3646</v>
      </c>
      <c r="V285" s="251" t="s">
        <v>114</v>
      </c>
      <c r="W285" s="251" t="s">
        <v>114</v>
      </c>
      <c r="X285" s="16" t="str">
        <f t="array" ref="X285">_xlfn.XLOOKUP(U285, 'CMFA-CSCDA Grants'!B:B, 'CMFA-CSCDA Grants'!A:A)
</f>
        <v>#N/A</v>
      </c>
    </row>
    <row r="286" hidden="1">
      <c r="A286" s="151" t="s">
        <v>1218</v>
      </c>
      <c r="B286" s="6" t="s">
        <v>3628</v>
      </c>
      <c r="C286" s="6" t="s">
        <v>1219</v>
      </c>
      <c r="D286" s="6"/>
      <c r="K286" s="153"/>
      <c r="L286" s="14"/>
      <c r="T286" s="251" t="s">
        <v>3648</v>
      </c>
      <c r="U286" s="251" t="s">
        <v>3649</v>
      </c>
      <c r="V286" s="251" t="s">
        <v>114</v>
      </c>
      <c r="W286" s="251" t="s">
        <v>114</v>
      </c>
      <c r="X286" s="16" t="str">
        <f t="array" ref="X286">_xlfn.XLOOKUP(U286, 'CMFA-CSCDA Grants'!B:B, 'CMFA-CSCDA Grants'!A:A)
</f>
        <v>#N/A</v>
      </c>
    </row>
    <row r="287" hidden="1">
      <c r="A287" s="6" t="s">
        <v>3650</v>
      </c>
      <c r="B287" s="6" t="s">
        <v>1241</v>
      </c>
      <c r="C287" s="6" t="s">
        <v>146</v>
      </c>
      <c r="D287" s="6"/>
      <c r="K287" s="153"/>
      <c r="L287" s="14"/>
      <c r="T287" s="251" t="s">
        <v>1393</v>
      </c>
      <c r="U287" s="251" t="s">
        <v>1242</v>
      </c>
      <c r="V287" s="251" t="s">
        <v>114</v>
      </c>
      <c r="W287" s="251" t="s">
        <v>114</v>
      </c>
      <c r="X287" s="16">
        <f t="array" ref="X287">_xlfn.XLOOKUP(U287, 'CMFA-CSCDA Grants'!B:B, 'CMFA-CSCDA Grants'!A:A)
</f>
        <v>77</v>
      </c>
    </row>
    <row r="288">
      <c r="A288" s="156" t="s">
        <v>1845</v>
      </c>
      <c r="B288" s="180" t="s">
        <v>3446</v>
      </c>
      <c r="C288" s="6" t="s">
        <v>1846</v>
      </c>
      <c r="D288" s="6" t="str">
        <f t="shared" ref="D288:D292" si="25">IF(ISBLANK(C288),B288,C288)</f>
        <v>740 S WESTERN AVE, SANTA MARIA, CA 93458</v>
      </c>
      <c r="K288" s="152">
        <v>6695000.0</v>
      </c>
      <c r="L288" s="25" t="s">
        <v>146</v>
      </c>
      <c r="T288" s="180" t="s">
        <v>3651</v>
      </c>
      <c r="U288" s="180" t="s">
        <v>2221</v>
      </c>
      <c r="V288" s="180" t="s">
        <v>252</v>
      </c>
      <c r="W288" s="180" t="s">
        <v>126</v>
      </c>
      <c r="X288" s="16">
        <f t="array" ref="X288">_xlfn.XLOOKUP(U288, 'CMFA-CSCDA Grants'!B:B, 'CMFA-CSCDA Grants'!A:A)
</f>
        <v>144</v>
      </c>
    </row>
    <row r="289">
      <c r="A289" s="252" t="s">
        <v>3654</v>
      </c>
      <c r="B289" s="180" t="s">
        <v>3446</v>
      </c>
      <c r="C289" s="6" t="s">
        <v>146</v>
      </c>
      <c r="D289" s="6" t="str">
        <f t="shared" si="25"/>
        <v>-</v>
      </c>
      <c r="K289" s="152">
        <v>4460000.0</v>
      </c>
      <c r="L289" s="25" t="s">
        <v>146</v>
      </c>
      <c r="T289" s="180" t="s">
        <v>3651</v>
      </c>
      <c r="U289" s="180" t="s">
        <v>2221</v>
      </c>
      <c r="V289" s="180" t="s">
        <v>252</v>
      </c>
      <c r="W289" s="180" t="s">
        <v>126</v>
      </c>
      <c r="X289" s="16">
        <f t="array" ref="X289">_xlfn.XLOOKUP(U289, 'CMFA-CSCDA Grants'!B:B, 'CMFA-CSCDA Grants'!A:A)
</f>
        <v>144</v>
      </c>
    </row>
    <row r="290">
      <c r="A290" s="253" t="s">
        <v>3655</v>
      </c>
      <c r="B290" s="180" t="s">
        <v>3446</v>
      </c>
      <c r="C290" s="6" t="s">
        <v>146</v>
      </c>
      <c r="D290" s="6" t="str">
        <f t="shared" si="25"/>
        <v>-</v>
      </c>
      <c r="K290" s="152">
        <v>4460000.0</v>
      </c>
      <c r="L290" s="25" t="s">
        <v>146</v>
      </c>
      <c r="T290" s="180" t="s">
        <v>3651</v>
      </c>
      <c r="U290" s="180" t="s">
        <v>2221</v>
      </c>
      <c r="V290" s="180" t="s">
        <v>252</v>
      </c>
      <c r="W290" s="180" t="s">
        <v>126</v>
      </c>
      <c r="X290" s="16">
        <f t="array" ref="X290">_xlfn.XLOOKUP(U290, 'CMFA-CSCDA Grants'!B:B, 'CMFA-CSCDA Grants'!A:A)
</f>
        <v>144</v>
      </c>
    </row>
    <row r="291">
      <c r="A291" s="253" t="s">
        <v>3656</v>
      </c>
      <c r="B291" s="180" t="s">
        <v>3446</v>
      </c>
      <c r="C291" s="6" t="s">
        <v>146</v>
      </c>
      <c r="D291" s="6" t="str">
        <f t="shared" si="25"/>
        <v>-</v>
      </c>
      <c r="K291" s="152">
        <v>7113000.0</v>
      </c>
      <c r="L291" s="25" t="s">
        <v>146</v>
      </c>
      <c r="T291" s="180" t="s">
        <v>3651</v>
      </c>
      <c r="U291" s="180" t="s">
        <v>2221</v>
      </c>
      <c r="V291" s="180" t="s">
        <v>252</v>
      </c>
      <c r="W291" s="180" t="s">
        <v>126</v>
      </c>
      <c r="X291" s="16">
        <f t="array" ref="X291">_xlfn.XLOOKUP(U291, 'CMFA-CSCDA Grants'!B:B, 'CMFA-CSCDA Grants'!A:A)
</f>
        <v>144</v>
      </c>
    </row>
    <row r="292">
      <c r="A292" s="254"/>
      <c r="B292" s="180" t="s">
        <v>1866</v>
      </c>
      <c r="D292" s="6" t="str">
        <f t="shared" si="25"/>
        <v>2130 N Marks Ave, Fresno, CA 93722</v>
      </c>
      <c r="K292" s="152">
        <v>1.0673404E7</v>
      </c>
      <c r="L292" s="14"/>
      <c r="T292" s="180" t="s">
        <v>2226</v>
      </c>
      <c r="U292" s="180" t="s">
        <v>2225</v>
      </c>
      <c r="V292" s="180" t="s">
        <v>113</v>
      </c>
      <c r="W292" s="180" t="s">
        <v>113</v>
      </c>
      <c r="X292" s="16">
        <f t="array" ref="X292">_xlfn.XLOOKUP(U292, 'CMFA-CSCDA Grants'!B:B, 'CMFA-CSCDA Grants'!A:A)
</f>
        <v>145</v>
      </c>
    </row>
    <row r="293" hidden="1">
      <c r="A293" s="151" t="s">
        <v>1882</v>
      </c>
      <c r="B293" s="180" t="s">
        <v>1885</v>
      </c>
      <c r="C293" s="6" t="s">
        <v>1883</v>
      </c>
      <c r="D293" s="6"/>
      <c r="K293" s="153"/>
      <c r="L293" s="14"/>
      <c r="T293" s="180" t="s">
        <v>2229</v>
      </c>
      <c r="U293" s="180" t="s">
        <v>1887</v>
      </c>
      <c r="V293" s="180" t="s">
        <v>114</v>
      </c>
      <c r="W293" s="180" t="s">
        <v>114</v>
      </c>
      <c r="X293" s="16">
        <f t="array" ref="X293">_xlfn.XLOOKUP(U293, 'CMFA-CSCDA Grants'!B:B, 'CMFA-CSCDA Grants'!A:A)
</f>
        <v>146</v>
      </c>
    </row>
    <row r="294">
      <c r="A294" s="151" t="s">
        <v>1905</v>
      </c>
      <c r="B294" s="180" t="s">
        <v>2703</v>
      </c>
      <c r="C294" s="6" t="s">
        <v>1906</v>
      </c>
      <c r="D294" s="6" t="str">
        <f>IF(ISBLANK(C294),B294,C294)</f>
        <v>805 71ST AVE, OAKLAND, CA 94621</v>
      </c>
      <c r="K294" s="152" t="s">
        <v>146</v>
      </c>
      <c r="L294" s="25" t="s">
        <v>146</v>
      </c>
      <c r="T294" s="180" t="s">
        <v>2218</v>
      </c>
      <c r="U294" s="180" t="s">
        <v>2236</v>
      </c>
      <c r="V294" s="180" t="s">
        <v>210</v>
      </c>
      <c r="W294" s="180" t="s">
        <v>86</v>
      </c>
      <c r="X294" s="16">
        <f t="array" ref="X294">_xlfn.XLOOKUP(U294, 'CMFA-CSCDA Grants'!B:B, 'CMFA-CSCDA Grants'!A:A)
</f>
        <v>147</v>
      </c>
    </row>
    <row r="295" hidden="1">
      <c r="A295" s="151" t="s">
        <v>1918</v>
      </c>
      <c r="B295" s="180" t="s">
        <v>1921</v>
      </c>
      <c r="C295" s="6" t="s">
        <v>1919</v>
      </c>
      <c r="D295" s="6"/>
      <c r="K295" s="153"/>
      <c r="L295" s="14"/>
      <c r="T295" s="180" t="s">
        <v>2233</v>
      </c>
      <c r="U295" s="180" t="s">
        <v>1924</v>
      </c>
      <c r="V295" s="180" t="s">
        <v>114</v>
      </c>
      <c r="W295" s="180" t="s">
        <v>114</v>
      </c>
      <c r="X295" s="16">
        <f t="array" ref="X295">_xlfn.XLOOKUP(U295, 'CMFA-CSCDA Grants'!B:B, 'CMFA-CSCDA Grants'!A:A)
</f>
        <v>148</v>
      </c>
    </row>
    <row r="296" hidden="1">
      <c r="A296" s="151" t="s">
        <v>1938</v>
      </c>
      <c r="B296" s="180" t="s">
        <v>1941</v>
      </c>
      <c r="C296" s="6" t="s">
        <v>1939</v>
      </c>
      <c r="D296" s="6"/>
      <c r="K296" s="153"/>
      <c r="L296" s="14"/>
      <c r="T296" s="180" t="s">
        <v>2239</v>
      </c>
      <c r="U296" s="180" t="s">
        <v>1942</v>
      </c>
      <c r="V296" s="180" t="s">
        <v>114</v>
      </c>
      <c r="W296" s="180" t="s">
        <v>114</v>
      </c>
      <c r="X296" s="16">
        <f t="array" ref="X296">_xlfn.XLOOKUP(U296, 'CMFA-CSCDA Grants'!B:B, 'CMFA-CSCDA Grants'!A:A)
</f>
        <v>149</v>
      </c>
    </row>
    <row r="297" hidden="1">
      <c r="A297" s="151" t="s">
        <v>1957</v>
      </c>
      <c r="B297" s="180" t="s">
        <v>1961</v>
      </c>
      <c r="C297" s="6" t="s">
        <v>1958</v>
      </c>
      <c r="D297" s="6"/>
      <c r="K297" s="153"/>
      <c r="L297" s="14"/>
      <c r="T297" s="180" t="s">
        <v>2242</v>
      </c>
      <c r="U297" s="180" t="s">
        <v>1962</v>
      </c>
      <c r="V297" s="180" t="s">
        <v>114</v>
      </c>
      <c r="W297" s="180" t="s">
        <v>114</v>
      </c>
      <c r="X297" s="16">
        <f t="array" ref="X297">_xlfn.XLOOKUP(U297, 'CMFA-CSCDA Grants'!B:B, 'CMFA-CSCDA Grants'!A:A)
</f>
        <v>150</v>
      </c>
    </row>
    <row r="298" hidden="1">
      <c r="A298" s="151" t="s">
        <v>1976</v>
      </c>
      <c r="B298" s="180" t="s">
        <v>1980</v>
      </c>
      <c r="C298" s="6" t="s">
        <v>1978</v>
      </c>
      <c r="D298" s="6"/>
      <c r="K298" s="153"/>
      <c r="L298" s="14"/>
      <c r="T298" s="180" t="s">
        <v>2243</v>
      </c>
      <c r="U298" s="180" t="s">
        <v>1981</v>
      </c>
      <c r="V298" s="180" t="s">
        <v>114</v>
      </c>
      <c r="W298" s="180" t="s">
        <v>114</v>
      </c>
      <c r="X298" s="16">
        <f t="array" ref="X298">_xlfn.XLOOKUP(U298, 'CMFA-CSCDA Grants'!B:B, 'CMFA-CSCDA Grants'!A:A)
</f>
        <v>151</v>
      </c>
    </row>
    <row r="299" hidden="1">
      <c r="A299" s="151" t="s">
        <v>2000</v>
      </c>
      <c r="B299" s="181" t="s">
        <v>3659</v>
      </c>
      <c r="C299" s="6" t="s">
        <v>2002</v>
      </c>
      <c r="D299" s="6"/>
      <c r="K299" s="153"/>
      <c r="L299" s="14"/>
      <c r="T299" s="180" t="s">
        <v>2246</v>
      </c>
      <c r="U299" s="180" t="s">
        <v>2005</v>
      </c>
      <c r="V299" s="180" t="s">
        <v>1019</v>
      </c>
      <c r="W299" s="180" t="s">
        <v>114</v>
      </c>
      <c r="X299" s="16">
        <f t="array" ref="X299">_xlfn.XLOOKUP(U299, 'CMFA-CSCDA Grants'!B:B, 'CMFA-CSCDA Grants'!A:A)
</f>
        <v>152</v>
      </c>
    </row>
    <row r="300" hidden="1">
      <c r="A300" s="151" t="s">
        <v>2017</v>
      </c>
      <c r="B300" s="181" t="s">
        <v>3659</v>
      </c>
      <c r="C300" s="6" t="s">
        <v>2019</v>
      </c>
      <c r="D300" s="6"/>
      <c r="K300" s="153"/>
      <c r="L300" s="14"/>
      <c r="T300" s="180" t="s">
        <v>2246</v>
      </c>
      <c r="U300" s="180" t="s">
        <v>2005</v>
      </c>
      <c r="V300" s="180" t="s">
        <v>1019</v>
      </c>
      <c r="W300" s="180" t="s">
        <v>114</v>
      </c>
      <c r="X300" s="16">
        <f t="array" ref="X300">_xlfn.XLOOKUP(U300, 'CMFA-CSCDA Grants'!B:B, 'CMFA-CSCDA Grants'!A:A)
</f>
        <v>152</v>
      </c>
    </row>
    <row r="301" hidden="1">
      <c r="A301" s="151" t="s">
        <v>2036</v>
      </c>
      <c r="B301" s="180" t="s">
        <v>2041</v>
      </c>
      <c r="C301" s="6" t="s">
        <v>2038</v>
      </c>
      <c r="D301" s="6"/>
      <c r="K301" s="153"/>
      <c r="L301" s="14"/>
      <c r="T301" s="180" t="s">
        <v>2248</v>
      </c>
      <c r="U301" s="180" t="s">
        <v>2043</v>
      </c>
      <c r="V301" s="180" t="s">
        <v>3004</v>
      </c>
      <c r="W301" s="180" t="s">
        <v>114</v>
      </c>
      <c r="X301" s="16">
        <f t="array" ref="X301">_xlfn.XLOOKUP(U301, 'CMFA-CSCDA Grants'!B:B, 'CMFA-CSCDA Grants'!A:A)
</f>
        <v>153</v>
      </c>
    </row>
    <row r="302" hidden="1">
      <c r="A302" s="151" t="s">
        <v>2058</v>
      </c>
      <c r="B302" s="180" t="s">
        <v>2041</v>
      </c>
      <c r="C302" s="6" t="s">
        <v>2059</v>
      </c>
      <c r="D302" s="6"/>
      <c r="K302" s="153"/>
      <c r="L302" s="14"/>
      <c r="T302" s="180" t="s">
        <v>2248</v>
      </c>
      <c r="U302" s="180" t="s">
        <v>2043</v>
      </c>
      <c r="V302" s="180" t="s">
        <v>3004</v>
      </c>
      <c r="W302" s="180" t="s">
        <v>114</v>
      </c>
      <c r="X302" s="16">
        <f t="array" ref="X302">_xlfn.XLOOKUP(U302, 'CMFA-CSCDA Grants'!B:B, 'CMFA-CSCDA Grants'!A:A)
</f>
        <v>153</v>
      </c>
    </row>
    <row r="303">
      <c r="A303" s="151" t="s">
        <v>2072</v>
      </c>
      <c r="B303" s="180" t="s">
        <v>3031</v>
      </c>
      <c r="C303" s="6" t="s">
        <v>2074</v>
      </c>
      <c r="D303" s="6" t="str">
        <f t="shared" ref="D303:D309" si="26">IF(ISBLANK(C303),B303,C303)</f>
        <v>2000 CRYSTAL SPRINGS RD SAN BRUNO</v>
      </c>
      <c r="K303" s="152">
        <v>1.80060039E8</v>
      </c>
      <c r="L303" s="25" t="s">
        <v>146</v>
      </c>
      <c r="T303" s="180" t="s">
        <v>2251</v>
      </c>
      <c r="U303" s="180" t="s">
        <v>2250</v>
      </c>
      <c r="V303" s="180" t="s">
        <v>242</v>
      </c>
      <c r="W303" s="180" t="s">
        <v>124</v>
      </c>
      <c r="X303" s="16">
        <f t="array" ref="X303">_xlfn.XLOOKUP(U303, 'CMFA-CSCDA Grants'!B:B, 'CMFA-CSCDA Grants'!A:A)
</f>
        <v>154</v>
      </c>
    </row>
    <row r="304">
      <c r="A304" s="151" t="s">
        <v>2083</v>
      </c>
      <c r="B304" s="180" t="s">
        <v>2084</v>
      </c>
      <c r="D304" s="6" t="str">
        <f t="shared" si="26"/>
        <v>1070 San Miguel Road, Concord, CA</v>
      </c>
      <c r="K304" s="152">
        <v>3.4848175E7</v>
      </c>
      <c r="L304" s="25" t="s">
        <v>146</v>
      </c>
      <c r="T304" s="180" t="s">
        <v>3651</v>
      </c>
      <c r="U304" s="180" t="s">
        <v>2254</v>
      </c>
      <c r="V304" s="180" t="s">
        <v>320</v>
      </c>
      <c r="W304" s="180" t="s">
        <v>111</v>
      </c>
      <c r="X304" s="16">
        <f t="array" ref="X304">_xlfn.XLOOKUP(U304, 'CMFA-CSCDA Grants'!B:B, 'CMFA-CSCDA Grants'!A:A)
</f>
        <v>155</v>
      </c>
    </row>
    <row r="305">
      <c r="A305" s="151" t="s">
        <v>2100</v>
      </c>
      <c r="B305" s="180" t="s">
        <v>3068</v>
      </c>
      <c r="C305" s="6" t="s">
        <v>2101</v>
      </c>
      <c r="D305" s="6" t="str">
        <f t="shared" si="26"/>
        <v>36000 FREMONT BLVD, FREMONT, CA 94536</v>
      </c>
      <c r="K305" s="152">
        <v>6.5613972E7</v>
      </c>
      <c r="L305" s="25" t="s">
        <v>146</v>
      </c>
      <c r="T305" s="180" t="s">
        <v>3651</v>
      </c>
      <c r="U305" s="180" t="s">
        <v>2257</v>
      </c>
      <c r="V305" s="180" t="s">
        <v>212</v>
      </c>
      <c r="W305" s="180" t="s">
        <v>86</v>
      </c>
      <c r="X305" s="16">
        <f t="array" ref="X305">_xlfn.XLOOKUP(U305, 'CMFA-CSCDA Grants'!B:B, 'CMFA-CSCDA Grants'!A:A)
</f>
        <v>156</v>
      </c>
    </row>
    <row r="306">
      <c r="A306" s="151" t="s">
        <v>2118</v>
      </c>
      <c r="B306" s="180" t="s">
        <v>3099</v>
      </c>
      <c r="C306" s="6" t="s">
        <v>2119</v>
      </c>
      <c r="D306" s="6" t="str">
        <f t="shared" si="26"/>
        <v>439 W EL NORTE PKWY ESCONDIDO CA 92026-1961</v>
      </c>
      <c r="K306" s="152">
        <v>1.2540125E7</v>
      </c>
      <c r="L306" s="25" t="s">
        <v>146</v>
      </c>
      <c r="T306" s="180" t="s">
        <v>2265</v>
      </c>
      <c r="U306" s="180" t="s">
        <v>2264</v>
      </c>
      <c r="V306" s="180" t="s">
        <v>172</v>
      </c>
      <c r="W306" s="180" t="s">
        <v>122</v>
      </c>
      <c r="X306" s="16">
        <f t="array" ref="X306">_xlfn.XLOOKUP(U306, 'CMFA-CSCDA Grants'!B:B, 'CMFA-CSCDA Grants'!A:A)
</f>
        <v>157</v>
      </c>
    </row>
    <row r="307">
      <c r="A307" s="151" t="s">
        <v>2130</v>
      </c>
      <c r="B307" s="180" t="s">
        <v>3099</v>
      </c>
      <c r="C307" s="6" t="s">
        <v>2131</v>
      </c>
      <c r="D307" s="6" t="str">
        <f t="shared" si="26"/>
        <v>1045 MORNING VIEW DR ESCONDIDO CA 92026-3481</v>
      </c>
      <c r="K307" s="152">
        <v>4.1107952E7</v>
      </c>
      <c r="L307" s="25" t="s">
        <v>146</v>
      </c>
      <c r="T307" s="180" t="s">
        <v>2265</v>
      </c>
      <c r="U307" s="180" t="s">
        <v>2264</v>
      </c>
      <c r="V307" s="180" t="s">
        <v>172</v>
      </c>
      <c r="W307" s="180" t="s">
        <v>122</v>
      </c>
      <c r="X307" s="16">
        <f t="array" ref="X307">_xlfn.XLOOKUP(U307, 'CMFA-CSCDA Grants'!B:B, 'CMFA-CSCDA Grants'!A:A)
</f>
        <v>157</v>
      </c>
    </row>
    <row r="308">
      <c r="A308" s="151" t="s">
        <v>2148</v>
      </c>
      <c r="B308" s="180" t="s">
        <v>3099</v>
      </c>
      <c r="C308" s="6" t="s">
        <v>2149</v>
      </c>
      <c r="D308" s="6" t="str">
        <f t="shared" si="26"/>
        <v>443 W EL NORTE PKWY ESCONDIDO CA 92026</v>
      </c>
      <c r="K308" s="152">
        <v>1.8982539E7</v>
      </c>
      <c r="L308" s="25" t="s">
        <v>146</v>
      </c>
      <c r="T308" s="180" t="s">
        <v>2265</v>
      </c>
      <c r="U308" s="180" t="s">
        <v>2264</v>
      </c>
      <c r="V308" s="180" t="s">
        <v>172</v>
      </c>
      <c r="W308" s="180" t="s">
        <v>122</v>
      </c>
      <c r="X308" s="16">
        <f t="array" ref="X308">_xlfn.XLOOKUP(U308, 'CMFA-CSCDA Grants'!B:B, 'CMFA-CSCDA Grants'!A:A)
</f>
        <v>157</v>
      </c>
    </row>
    <row r="309">
      <c r="A309" s="151" t="s">
        <v>2158</v>
      </c>
      <c r="B309" s="180" t="s">
        <v>3099</v>
      </c>
      <c r="C309" s="6" t="s">
        <v>2161</v>
      </c>
      <c r="D309" s="6" t="str">
        <f t="shared" si="26"/>
        <v>457 W EL NORTE PKWY ESCONDIDO CA 92026</v>
      </c>
      <c r="K309" s="152">
        <v>1.2540125E7</v>
      </c>
      <c r="L309" s="25" t="s">
        <v>146</v>
      </c>
      <c r="T309" s="180" t="s">
        <v>2265</v>
      </c>
      <c r="U309" s="180" t="s">
        <v>2264</v>
      </c>
      <c r="V309" s="180" t="s">
        <v>172</v>
      </c>
      <c r="W309" s="180" t="s">
        <v>122</v>
      </c>
      <c r="X309" s="16">
        <f t="array" ref="X309">_xlfn.XLOOKUP(U309, 'CMFA-CSCDA Grants'!B:B, 'CMFA-CSCDA Grants'!A:A)
</f>
        <v>157</v>
      </c>
    </row>
    <row r="310">
      <c r="A310" s="254"/>
      <c r="K310" s="153"/>
      <c r="L310" s="14"/>
    </row>
    <row r="311">
      <c r="A311" s="254"/>
      <c r="K311" s="153"/>
      <c r="L311" s="14"/>
    </row>
    <row r="312">
      <c r="A312" s="254"/>
      <c r="K312" s="153"/>
      <c r="L312" s="14"/>
    </row>
    <row r="313">
      <c r="A313" s="254"/>
      <c r="K313" s="153"/>
      <c r="L313" s="14"/>
    </row>
    <row r="314">
      <c r="A314" s="254"/>
      <c r="K314" s="153"/>
      <c r="L314" s="14"/>
    </row>
    <row r="315">
      <c r="A315" s="254"/>
      <c r="K315" s="153"/>
      <c r="L315" s="14"/>
    </row>
    <row r="316">
      <c r="A316" s="254"/>
      <c r="K316" s="153"/>
      <c r="L316" s="14"/>
    </row>
    <row r="317">
      <c r="A317" s="254"/>
      <c r="K317" s="153"/>
      <c r="L317" s="14"/>
    </row>
    <row r="318">
      <c r="A318" s="254"/>
      <c r="K318" s="153"/>
      <c r="L318" s="14"/>
    </row>
    <row r="319">
      <c r="A319" s="254"/>
      <c r="K319" s="153"/>
      <c r="L319" s="14"/>
    </row>
    <row r="320">
      <c r="A320" s="254"/>
      <c r="K320" s="153"/>
      <c r="L320" s="14"/>
    </row>
    <row r="321">
      <c r="A321" s="254"/>
      <c r="K321" s="153"/>
      <c r="L321" s="14"/>
    </row>
    <row r="322">
      <c r="A322" s="254"/>
      <c r="K322" s="153"/>
      <c r="L322" s="14"/>
    </row>
    <row r="323">
      <c r="A323" s="254"/>
      <c r="K323" s="153"/>
      <c r="L323" s="14"/>
    </row>
  </sheetData>
  <autoFilter ref="$A$1:$Y$323">
    <filterColumn colId="22">
      <filters blank="1">
        <filter val="Napa"/>
        <filter val="Alameda"/>
        <filter val="San Bernardino"/>
        <filter val="Sacramento"/>
        <filter val="Sonoma"/>
        <filter val="Marin"/>
        <filter val="Orange"/>
        <filter val="Santa Barbara"/>
        <filter val="Contra Costa"/>
        <filter val="Santa Clara"/>
        <filter val="San Francisco"/>
        <filter val="San Diego"/>
        <filter val="Fresno"/>
        <filter val="San Mateo"/>
      </filters>
    </filterColumn>
  </autoFilter>
  <conditionalFormatting sqref="U138:U199">
    <cfRule type="expression" dxfId="0" priority="1">
      <formula>$U138=TRUE</formula>
    </cfRule>
  </conditionalFormatting>
  <hyperlinks>
    <hyperlink r:id="rId4" ref="A16"/>
    <hyperlink r:id="rId5" ref="A47"/>
    <hyperlink r:id="rId6" ref="A62"/>
    <hyperlink r:id="rId7" ref="A138"/>
    <hyperlink r:id="rId8" ref="A139"/>
    <hyperlink r:id="rId9" ref="A140"/>
    <hyperlink r:id="rId10" ref="A141"/>
    <hyperlink r:id="rId11" ref="A145"/>
    <hyperlink r:id="rId12" ref="A150"/>
    <hyperlink r:id="rId13" ref="A200"/>
    <hyperlink r:id="rId14" ref="A202"/>
    <hyperlink r:id="rId15" ref="A204"/>
    <hyperlink r:id="rId16" ref="A247"/>
    <hyperlink r:id="rId17" ref="A248"/>
    <hyperlink r:id="rId18" ref="A257"/>
    <hyperlink r:id="rId19" ref="A258"/>
    <hyperlink r:id="rId20" ref="A259"/>
    <hyperlink r:id="rId21" ref="A260"/>
    <hyperlink r:id="rId22" ref="A261"/>
    <hyperlink r:id="rId23" ref="A262"/>
    <hyperlink r:id="rId24" ref="A265"/>
    <hyperlink r:id="rId25" ref="A268"/>
    <hyperlink r:id="rId26" ref="A269"/>
    <hyperlink r:id="rId27" ref="A288"/>
    <hyperlink r:id="rId28" ref="A289"/>
    <hyperlink r:id="rId29" ref="A290"/>
    <hyperlink r:id="rId30" ref="A291"/>
  </hyperlinks>
  <drawing r:id="rId31"/>
  <legacyDrawing r:id="rId3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2" max="2" width="19.38"/>
    <col customWidth="1" min="3" max="3" width="23.75"/>
    <col customWidth="1" min="5" max="5" width="23.5"/>
    <col customWidth="1" min="6" max="6" width="18.75"/>
    <col customWidth="1" min="7" max="7" width="17.63"/>
    <col customWidth="1" min="10" max="10" width="8.25"/>
  </cols>
  <sheetData>
    <row r="1">
      <c r="A1" s="1" t="s">
        <v>3455</v>
      </c>
      <c r="B1" s="1" t="s">
        <v>3456</v>
      </c>
      <c r="C1" s="1" t="s">
        <v>35</v>
      </c>
      <c r="D1" s="1" t="s">
        <v>11</v>
      </c>
      <c r="E1" s="1" t="s">
        <v>3457</v>
      </c>
      <c r="F1" s="1" t="s">
        <v>3458</v>
      </c>
      <c r="G1" s="1" t="s">
        <v>3459</v>
      </c>
      <c r="H1" s="1" t="s">
        <v>3460</v>
      </c>
      <c r="I1" s="1" t="s">
        <v>3461</v>
      </c>
      <c r="J1" s="1" t="s">
        <v>3462</v>
      </c>
      <c r="K1" s="178" t="s">
        <v>3463</v>
      </c>
      <c r="L1" s="4"/>
      <c r="M1" s="4"/>
      <c r="N1" s="4"/>
      <c r="O1" s="4"/>
      <c r="P1" s="4"/>
      <c r="Q1" s="4"/>
      <c r="R1" s="4"/>
      <c r="S1" s="4"/>
      <c r="T1" s="4"/>
      <c r="U1" s="4"/>
      <c r="V1" s="4"/>
      <c r="W1" s="4"/>
      <c r="X1" s="4"/>
      <c r="Y1" s="4"/>
      <c r="Z1" s="4"/>
      <c r="AA1" s="4"/>
      <c r="AB1" s="4"/>
      <c r="AC1" s="4"/>
    </row>
    <row r="2">
      <c r="A2" s="6" t="s">
        <v>802</v>
      </c>
      <c r="B2" s="6" t="s">
        <v>3466</v>
      </c>
      <c r="C2" s="6"/>
      <c r="D2" s="6" t="s">
        <v>124</v>
      </c>
      <c r="E2" s="6" t="s">
        <v>935</v>
      </c>
      <c r="F2" s="25">
        <v>3.1083E7</v>
      </c>
      <c r="G2" s="25">
        <v>7000.0</v>
      </c>
      <c r="H2" s="14">
        <f>F2-G2</f>
        <v>31076000</v>
      </c>
      <c r="I2" s="20">
        <v>0.011201</v>
      </c>
      <c r="K2" s="17">
        <f t="shared" ref="K2:K59" si="1">I2*G2</f>
        <v>78.407</v>
      </c>
    </row>
    <row r="3">
      <c r="A3" s="6" t="s">
        <v>804</v>
      </c>
      <c r="B3" s="6" t="s">
        <v>3466</v>
      </c>
      <c r="C3" s="6"/>
      <c r="D3" s="6" t="s">
        <v>124</v>
      </c>
      <c r="E3" s="6" t="s">
        <v>935</v>
      </c>
      <c r="F3" s="25">
        <v>6.29329E7</v>
      </c>
      <c r="G3" s="25">
        <v>7000.0</v>
      </c>
      <c r="H3" s="25">
        <v>6.29259E7</v>
      </c>
      <c r="I3" s="20">
        <v>0.011201</v>
      </c>
      <c r="K3" s="17">
        <f t="shared" si="1"/>
        <v>78.407</v>
      </c>
    </row>
    <row r="4">
      <c r="A4" s="6" t="s">
        <v>808</v>
      </c>
      <c r="B4" s="6" t="s">
        <v>3466</v>
      </c>
      <c r="C4" s="6" t="s">
        <v>810</v>
      </c>
      <c r="D4" s="6" t="s">
        <v>124</v>
      </c>
      <c r="E4" s="6" t="s">
        <v>935</v>
      </c>
      <c r="F4" s="25">
        <v>4.48214E7</v>
      </c>
      <c r="G4" s="25">
        <v>7000.0</v>
      </c>
      <c r="H4" s="25">
        <v>4.48144E7</v>
      </c>
      <c r="I4" s="20">
        <v>0.011201</v>
      </c>
      <c r="K4" s="17">
        <f t="shared" si="1"/>
        <v>78.407</v>
      </c>
    </row>
    <row r="5">
      <c r="A5" s="6" t="s">
        <v>811</v>
      </c>
      <c r="B5" s="6" t="s">
        <v>3466</v>
      </c>
      <c r="C5" s="6" t="s">
        <v>812</v>
      </c>
      <c r="D5" s="6" t="s">
        <v>124</v>
      </c>
      <c r="E5" s="6" t="s">
        <v>935</v>
      </c>
      <c r="F5" s="46">
        <v>3.11617E7</v>
      </c>
      <c r="G5" s="46">
        <v>7000.0</v>
      </c>
      <c r="H5" s="46">
        <v>3.11547E7</v>
      </c>
      <c r="I5" s="20">
        <v>0.011201</v>
      </c>
      <c r="K5" s="17">
        <f t="shared" si="1"/>
        <v>78.407</v>
      </c>
    </row>
    <row r="6">
      <c r="A6" s="6" t="s">
        <v>813</v>
      </c>
      <c r="B6" s="6" t="s">
        <v>3466</v>
      </c>
      <c r="C6" s="6" t="s">
        <v>814</v>
      </c>
      <c r="D6" s="6" t="s">
        <v>124</v>
      </c>
      <c r="E6" s="6" t="s">
        <v>935</v>
      </c>
      <c r="F6" s="46">
        <v>4.1355E7</v>
      </c>
      <c r="G6" s="6">
        <v>0.0</v>
      </c>
      <c r="H6" s="46">
        <v>4.1355E7</v>
      </c>
      <c r="I6" s="20">
        <v>0.011201</v>
      </c>
      <c r="K6" s="17">
        <f t="shared" si="1"/>
        <v>0</v>
      </c>
    </row>
    <row r="7">
      <c r="A7" s="6" t="s">
        <v>817</v>
      </c>
      <c r="B7" s="6" t="s">
        <v>3466</v>
      </c>
      <c r="C7" s="6" t="s">
        <v>818</v>
      </c>
      <c r="D7" s="6" t="s">
        <v>124</v>
      </c>
      <c r="E7" s="6" t="s">
        <v>935</v>
      </c>
      <c r="F7" s="46">
        <v>4.10085E7</v>
      </c>
      <c r="G7" s="6">
        <v>0.0</v>
      </c>
      <c r="H7" s="46">
        <v>4.10085E7</v>
      </c>
      <c r="I7" s="20">
        <v>0.011201</v>
      </c>
      <c r="K7" s="17">
        <f t="shared" si="1"/>
        <v>0</v>
      </c>
    </row>
    <row r="8">
      <c r="A8" s="179">
        <v>5.136019023E9</v>
      </c>
      <c r="B8" s="180" t="s">
        <v>108</v>
      </c>
      <c r="C8" s="158" t="s">
        <v>2653</v>
      </c>
      <c r="D8" s="181" t="s">
        <v>114</v>
      </c>
      <c r="E8" s="158" t="s">
        <v>2657</v>
      </c>
      <c r="F8" s="25">
        <v>4447710.0</v>
      </c>
      <c r="G8" s="182">
        <v>4262686.0</v>
      </c>
      <c r="H8" s="25">
        <v>185024.0</v>
      </c>
      <c r="I8" s="20">
        <f>0.01+0.00012232+0.00007+0.00048543+0.00119605</f>
        <v>0.0118738</v>
      </c>
      <c r="K8" s="17">
        <f t="shared" si="1"/>
        <v>50614.28103</v>
      </c>
    </row>
    <row r="9">
      <c r="A9" s="183">
        <v>4.291019007E9</v>
      </c>
      <c r="B9" s="181" t="s">
        <v>3469</v>
      </c>
      <c r="C9" s="181" t="s">
        <v>2934</v>
      </c>
      <c r="D9" s="181" t="s">
        <v>114</v>
      </c>
      <c r="E9" s="180" t="s">
        <v>2738</v>
      </c>
      <c r="F9" s="25">
        <v>8520000.0</v>
      </c>
      <c r="G9" s="25">
        <v>1937646.0</v>
      </c>
      <c r="H9" s="25">
        <v>6582354.0</v>
      </c>
      <c r="I9" s="10">
        <f t="shared" ref="I9:I18" si="2">0.01+0.00007+0.00078622+0.00118135</f>
        <v>0.01203757</v>
      </c>
      <c r="K9" s="17">
        <f t="shared" si="1"/>
        <v>23324.54936</v>
      </c>
    </row>
    <row r="10">
      <c r="A10" s="183">
        <v>4.291020005E9</v>
      </c>
      <c r="B10" s="181" t="s">
        <v>3469</v>
      </c>
      <c r="C10" s="181" t="s">
        <v>3471</v>
      </c>
      <c r="D10" s="181" t="s">
        <v>114</v>
      </c>
      <c r="E10" s="181" t="s">
        <v>2747</v>
      </c>
      <c r="F10" s="184">
        <v>7650000.0</v>
      </c>
      <c r="G10" s="184">
        <v>3491875.0</v>
      </c>
      <c r="H10" s="25">
        <v>4158125.0</v>
      </c>
      <c r="I10" s="10">
        <f t="shared" si="2"/>
        <v>0.01203757</v>
      </c>
      <c r="K10" s="17">
        <f t="shared" si="1"/>
        <v>42033.68974</v>
      </c>
    </row>
    <row r="11">
      <c r="A11" s="185">
        <v>4.291020006E9</v>
      </c>
      <c r="B11" s="186" t="s">
        <v>3469</v>
      </c>
      <c r="C11" s="186" t="s">
        <v>2958</v>
      </c>
      <c r="D11" s="186" t="s">
        <v>114</v>
      </c>
      <c r="E11" s="186" t="s">
        <v>3472</v>
      </c>
      <c r="F11" s="187">
        <v>7650000.0</v>
      </c>
      <c r="G11" s="187">
        <v>3491875.0</v>
      </c>
      <c r="H11" s="188">
        <v>4158125.0</v>
      </c>
      <c r="I11" s="189">
        <f t="shared" si="2"/>
        <v>0.01203757</v>
      </c>
      <c r="J11" s="190"/>
      <c r="K11" s="191">
        <f t="shared" si="1"/>
        <v>42033.68974</v>
      </c>
    </row>
    <row r="12">
      <c r="A12" s="185">
        <v>4.291020007E9</v>
      </c>
      <c r="B12" s="186" t="s">
        <v>3469</v>
      </c>
      <c r="C12" s="186" t="s">
        <v>2961</v>
      </c>
      <c r="D12" s="186" t="s">
        <v>114</v>
      </c>
      <c r="E12" s="186" t="s">
        <v>3472</v>
      </c>
      <c r="F12" s="187">
        <v>7770000.0</v>
      </c>
      <c r="G12" s="187">
        <v>3594576.0</v>
      </c>
      <c r="H12" s="188">
        <v>4175424.0</v>
      </c>
      <c r="I12" s="189">
        <f t="shared" si="2"/>
        <v>0.01203757</v>
      </c>
      <c r="J12" s="190"/>
      <c r="K12" s="191">
        <f t="shared" si="1"/>
        <v>43269.96022</v>
      </c>
    </row>
    <row r="13">
      <c r="A13" s="185">
        <v>4.291020018E9</v>
      </c>
      <c r="B13" s="186" t="s">
        <v>3469</v>
      </c>
      <c r="C13" s="186" t="s">
        <v>2962</v>
      </c>
      <c r="D13" s="186" t="s">
        <v>114</v>
      </c>
      <c r="E13" s="186" t="s">
        <v>2754</v>
      </c>
      <c r="F13" s="187">
        <v>1.045E7</v>
      </c>
      <c r="G13" s="187">
        <v>5443405.0</v>
      </c>
      <c r="H13" s="188">
        <v>5006595.0</v>
      </c>
      <c r="I13" s="189">
        <f t="shared" si="2"/>
        <v>0.01203757</v>
      </c>
      <c r="J13" s="190"/>
      <c r="K13" s="191">
        <f t="shared" si="1"/>
        <v>65525.36873</v>
      </c>
    </row>
    <row r="14">
      <c r="A14" s="185">
        <v>4.291020019E9</v>
      </c>
      <c r="B14" s="186" t="s">
        <v>3469</v>
      </c>
      <c r="C14" s="186" t="s">
        <v>3474</v>
      </c>
      <c r="D14" s="186" t="s">
        <v>114</v>
      </c>
      <c r="E14" s="186" t="s">
        <v>2754</v>
      </c>
      <c r="F14" s="187">
        <v>1.045E7</v>
      </c>
      <c r="G14" s="187">
        <v>5443405.0</v>
      </c>
      <c r="H14" s="188">
        <v>5006595.0</v>
      </c>
      <c r="I14" s="189">
        <f t="shared" si="2"/>
        <v>0.01203757</v>
      </c>
      <c r="J14" s="190"/>
      <c r="K14" s="191">
        <f t="shared" si="1"/>
        <v>65525.36873</v>
      </c>
    </row>
    <row r="15">
      <c r="A15" s="185">
        <v>4.291022015E9</v>
      </c>
      <c r="B15" s="186" t="s">
        <v>3469</v>
      </c>
      <c r="C15" s="186" t="s">
        <v>3475</v>
      </c>
      <c r="D15" s="186" t="s">
        <v>114</v>
      </c>
      <c r="E15" s="186" t="s">
        <v>2760</v>
      </c>
      <c r="F15" s="187">
        <v>4620825.0</v>
      </c>
      <c r="G15" s="187">
        <v>4088045.0</v>
      </c>
      <c r="H15" s="188">
        <v>532780.0</v>
      </c>
      <c r="I15" s="189">
        <f t="shared" si="2"/>
        <v>0.01203757</v>
      </c>
      <c r="J15" s="190"/>
      <c r="K15" s="191">
        <f t="shared" si="1"/>
        <v>49210.12785</v>
      </c>
    </row>
    <row r="16">
      <c r="A16" s="185">
        <v>4.291024007E9</v>
      </c>
      <c r="B16" s="186" t="s">
        <v>3469</v>
      </c>
      <c r="C16" s="186" t="s">
        <v>3476</v>
      </c>
      <c r="D16" s="186" t="s">
        <v>114</v>
      </c>
      <c r="E16" s="186" t="s">
        <v>2757</v>
      </c>
      <c r="F16" s="187">
        <v>4530218.0</v>
      </c>
      <c r="G16" s="187">
        <v>3659058.0</v>
      </c>
      <c r="H16" s="188">
        <v>871160.0</v>
      </c>
      <c r="I16" s="189">
        <f t="shared" si="2"/>
        <v>0.01203757</v>
      </c>
      <c r="J16" s="190"/>
      <c r="K16" s="191">
        <f t="shared" si="1"/>
        <v>44046.16681</v>
      </c>
    </row>
    <row r="17">
      <c r="A17" s="185">
        <v>4.275024005E9</v>
      </c>
      <c r="B17" s="186" t="s">
        <v>3469</v>
      </c>
      <c r="C17" s="192" t="s">
        <v>3477</v>
      </c>
      <c r="D17" s="186" t="s">
        <v>114</v>
      </c>
      <c r="E17" s="192" t="s">
        <v>3478</v>
      </c>
      <c r="F17" s="194">
        <v>8990000.0</v>
      </c>
      <c r="G17" s="194">
        <v>8990000.0</v>
      </c>
      <c r="H17" s="194">
        <v>0.0</v>
      </c>
      <c r="I17" s="189">
        <f t="shared" si="2"/>
        <v>0.01203757</v>
      </c>
      <c r="J17" s="190"/>
      <c r="K17" s="191">
        <f t="shared" si="1"/>
        <v>108217.7543</v>
      </c>
    </row>
    <row r="18">
      <c r="A18" s="185">
        <v>4.275024015E9</v>
      </c>
      <c r="B18" s="186" t="s">
        <v>3469</v>
      </c>
      <c r="C18" s="192" t="s">
        <v>3040</v>
      </c>
      <c r="D18" s="186" t="s">
        <v>114</v>
      </c>
      <c r="E18" s="192" t="s">
        <v>3478</v>
      </c>
      <c r="F18" s="194">
        <v>2.036E7</v>
      </c>
      <c r="G18" s="194">
        <v>1.3362409E7</v>
      </c>
      <c r="H18" s="194">
        <v>6997591.0</v>
      </c>
      <c r="I18" s="189">
        <f t="shared" si="2"/>
        <v>0.01203757</v>
      </c>
      <c r="J18" s="190"/>
      <c r="K18" s="191">
        <f t="shared" si="1"/>
        <v>160850.9337</v>
      </c>
    </row>
    <row r="19">
      <c r="A19" s="185">
        <v>3.004004033E9</v>
      </c>
      <c r="B19" s="196" t="s">
        <v>1008</v>
      </c>
      <c r="C19" s="197" t="s">
        <v>3479</v>
      </c>
      <c r="D19" s="186" t="s">
        <v>114</v>
      </c>
      <c r="E19" s="192" t="s">
        <v>3480</v>
      </c>
      <c r="F19" s="187">
        <v>1.4702565E7</v>
      </c>
      <c r="G19" s="194">
        <v>4371074.0</v>
      </c>
      <c r="H19" s="198">
        <v>1.0331491E7</v>
      </c>
      <c r="I19" s="199">
        <f>0.01+0.0007049+0.00038641+0.00027907+0.00096048</f>
        <v>0.01233086</v>
      </c>
      <c r="J19" s="200" t="s">
        <v>3481</v>
      </c>
      <c r="K19" s="191">
        <f t="shared" si="1"/>
        <v>53899.10154</v>
      </c>
    </row>
    <row r="20">
      <c r="A20" s="201">
        <v>5.024017036E9</v>
      </c>
      <c r="B20" s="196" t="s">
        <v>343</v>
      </c>
      <c r="C20" s="197" t="s">
        <v>3483</v>
      </c>
      <c r="D20" s="202" t="s">
        <v>114</v>
      </c>
      <c r="E20" s="192" t="s">
        <v>3484</v>
      </c>
      <c r="F20" s="187">
        <v>2.691486E7</v>
      </c>
      <c r="G20" s="194">
        <v>2.691486E7</v>
      </c>
      <c r="H20" s="203" t="s">
        <v>3485</v>
      </c>
      <c r="I20" s="204">
        <f t="shared" ref="I20:I22" si="3">0.01+0.00012232+0.00007+0.00048543+0.00119605</f>
        <v>0.0118738</v>
      </c>
      <c r="J20" s="205"/>
      <c r="K20" s="191">
        <f t="shared" si="1"/>
        <v>319581.6647</v>
      </c>
    </row>
    <row r="21">
      <c r="A21" s="206">
        <v>7.455002027E9</v>
      </c>
      <c r="B21" s="202" t="s">
        <v>443</v>
      </c>
      <c r="C21" s="196" t="s">
        <v>3488</v>
      </c>
      <c r="D21" s="202" t="s">
        <v>114</v>
      </c>
      <c r="E21" s="197" t="s">
        <v>3104</v>
      </c>
      <c r="F21" s="187">
        <v>2.4458373E7</v>
      </c>
      <c r="G21" s="187">
        <v>1.6429375E7</v>
      </c>
      <c r="H21" s="207">
        <v>8028998.0</v>
      </c>
      <c r="I21" s="204">
        <f t="shared" si="3"/>
        <v>0.0118738</v>
      </c>
      <c r="J21" s="205"/>
      <c r="K21" s="191">
        <f t="shared" si="1"/>
        <v>195079.1129</v>
      </c>
    </row>
    <row r="22">
      <c r="A22" s="208">
        <v>2.102015045E9</v>
      </c>
      <c r="B22" s="196" t="s">
        <v>389</v>
      </c>
      <c r="C22" s="209" t="s">
        <v>3489</v>
      </c>
      <c r="D22" s="202" t="s">
        <v>114</v>
      </c>
      <c r="E22" s="209" t="s">
        <v>2802</v>
      </c>
      <c r="F22" s="210">
        <v>1.79955E7</v>
      </c>
      <c r="G22" s="210">
        <v>1.5786989E7</v>
      </c>
      <c r="H22" s="210">
        <v>2208511.0</v>
      </c>
      <c r="I22" s="211">
        <f t="shared" si="3"/>
        <v>0.0118738</v>
      </c>
      <c r="J22" s="208"/>
      <c r="K22" s="191">
        <f t="shared" si="1"/>
        <v>187451.55</v>
      </c>
    </row>
    <row r="23">
      <c r="A23" s="206">
        <v>1.5434025E7</v>
      </c>
      <c r="B23" s="196" t="s">
        <v>288</v>
      </c>
      <c r="C23" s="196" t="s">
        <v>145</v>
      </c>
      <c r="D23" s="212" t="s">
        <v>129</v>
      </c>
      <c r="E23" s="196" t="s">
        <v>3198</v>
      </c>
      <c r="F23" s="213">
        <v>1.6774347E7</v>
      </c>
      <c r="G23" s="214">
        <v>1.6718409E7</v>
      </c>
      <c r="H23" s="215">
        <f>F23-G23</f>
        <v>55938</v>
      </c>
      <c r="I23" s="216">
        <v>0.01156</v>
      </c>
      <c r="J23" s="217" t="s">
        <v>3492</v>
      </c>
      <c r="K23" s="191">
        <f t="shared" si="1"/>
        <v>193264.808</v>
      </c>
    </row>
    <row r="24">
      <c r="A24" s="208">
        <v>7.157031001E9</v>
      </c>
      <c r="B24" s="202" t="s">
        <v>3494</v>
      </c>
      <c r="C24" s="209" t="s">
        <v>3495</v>
      </c>
      <c r="D24" s="202" t="s">
        <v>114</v>
      </c>
      <c r="E24" s="209" t="s">
        <v>3496</v>
      </c>
      <c r="F24" s="210">
        <v>2857832.0</v>
      </c>
      <c r="G24" s="210">
        <v>1693979.0</v>
      </c>
      <c r="H24" s="210">
        <v>1163853.0</v>
      </c>
      <c r="I24" s="189">
        <f t="shared" ref="I24:I56" si="4">0.01+0.00007+0.0003501+0.00164489</f>
        <v>0.01206499</v>
      </c>
      <c r="J24" s="217" t="s">
        <v>3497</v>
      </c>
      <c r="K24" s="191">
        <f t="shared" si="1"/>
        <v>20437.8397</v>
      </c>
    </row>
    <row r="25">
      <c r="A25" s="208">
        <v>7.157031002E9</v>
      </c>
      <c r="B25" s="202" t="s">
        <v>3494</v>
      </c>
      <c r="C25" s="218" t="s">
        <v>3500</v>
      </c>
      <c r="D25" s="202" t="s">
        <v>114</v>
      </c>
      <c r="E25" s="209" t="s">
        <v>3496</v>
      </c>
      <c r="F25" s="210">
        <v>2780364.0</v>
      </c>
      <c r="G25" s="210">
        <v>1263955.0</v>
      </c>
      <c r="H25" s="210">
        <v>1516409.0</v>
      </c>
      <c r="I25" s="189">
        <f t="shared" si="4"/>
        <v>0.01206499</v>
      </c>
      <c r="J25" s="190"/>
      <c r="K25" s="191">
        <f t="shared" si="1"/>
        <v>15249.60444</v>
      </c>
    </row>
    <row r="26">
      <c r="A26" s="219">
        <v>7.157031003E9</v>
      </c>
      <c r="B26" s="6" t="s">
        <v>3494</v>
      </c>
      <c r="C26" s="220" t="s">
        <v>3501</v>
      </c>
      <c r="D26" s="6" t="s">
        <v>114</v>
      </c>
      <c r="E26" s="220" t="s">
        <v>3496</v>
      </c>
      <c r="F26" s="222">
        <v>2780364.0</v>
      </c>
      <c r="G26" s="222">
        <v>1516689.0</v>
      </c>
      <c r="H26" s="222">
        <v>1263675.0</v>
      </c>
      <c r="I26" s="10">
        <f t="shared" si="4"/>
        <v>0.01206499</v>
      </c>
      <c r="K26" s="17">
        <f t="shared" si="1"/>
        <v>18298.83762</v>
      </c>
    </row>
    <row r="27">
      <c r="A27" s="219">
        <v>7.157031004E9</v>
      </c>
      <c r="B27" s="6" t="s">
        <v>3494</v>
      </c>
      <c r="C27" s="220" t="s">
        <v>3502</v>
      </c>
      <c r="D27" s="6" t="s">
        <v>114</v>
      </c>
      <c r="E27" s="220" t="s">
        <v>3496</v>
      </c>
      <c r="F27" s="222">
        <v>2806895.0</v>
      </c>
      <c r="G27" s="222">
        <v>1276016.0</v>
      </c>
      <c r="H27" s="222">
        <v>1530879.0</v>
      </c>
      <c r="I27" s="10">
        <f t="shared" si="4"/>
        <v>0.01206499</v>
      </c>
      <c r="K27" s="17">
        <f t="shared" si="1"/>
        <v>15395.12028</v>
      </c>
    </row>
    <row r="28">
      <c r="A28" s="219">
        <v>7.157031005E9</v>
      </c>
      <c r="B28" s="6" t="s">
        <v>3494</v>
      </c>
      <c r="C28" s="220" t="s">
        <v>3503</v>
      </c>
      <c r="D28" s="6" t="s">
        <v>114</v>
      </c>
      <c r="E28" s="220" t="s">
        <v>3496</v>
      </c>
      <c r="F28" s="222">
        <v>5889027.0</v>
      </c>
      <c r="G28" s="222">
        <v>2263665.0</v>
      </c>
      <c r="H28" s="222">
        <v>3625362.0</v>
      </c>
      <c r="I28" s="10">
        <f t="shared" si="4"/>
        <v>0.01206499</v>
      </c>
      <c r="K28" s="17">
        <f t="shared" si="1"/>
        <v>27311.09559</v>
      </c>
    </row>
    <row r="29">
      <c r="A29" s="219">
        <v>7.157031006E9</v>
      </c>
      <c r="B29" s="6" t="s">
        <v>3494</v>
      </c>
      <c r="C29" s="220" t="s">
        <v>3504</v>
      </c>
      <c r="D29" s="6" t="s">
        <v>114</v>
      </c>
      <c r="E29" s="220" t="s">
        <v>3496</v>
      </c>
      <c r="F29" s="222">
        <v>2633916.0</v>
      </c>
      <c r="G29" s="222">
        <v>1580350.0</v>
      </c>
      <c r="H29" s="222">
        <v>1053566.0</v>
      </c>
      <c r="I29" s="10">
        <f t="shared" si="4"/>
        <v>0.01206499</v>
      </c>
      <c r="K29" s="17">
        <f t="shared" si="1"/>
        <v>19066.90695</v>
      </c>
    </row>
    <row r="30">
      <c r="A30" s="219">
        <v>7.157031007E9</v>
      </c>
      <c r="B30" s="6" t="s">
        <v>3494</v>
      </c>
      <c r="C30" s="220" t="s">
        <v>3505</v>
      </c>
      <c r="D30" s="6" t="s">
        <v>114</v>
      </c>
      <c r="E30" s="220" t="s">
        <v>3496</v>
      </c>
      <c r="F30" s="222">
        <v>2633916.0</v>
      </c>
      <c r="G30" s="222">
        <v>790176.0</v>
      </c>
      <c r="H30" s="222">
        <v>1843740.0</v>
      </c>
      <c r="I30" s="10">
        <f t="shared" si="4"/>
        <v>0.01206499</v>
      </c>
      <c r="K30" s="17">
        <f t="shared" si="1"/>
        <v>9533.465538</v>
      </c>
    </row>
    <row r="31">
      <c r="A31" s="219">
        <v>7.157031008E9</v>
      </c>
      <c r="B31" s="6" t="s">
        <v>3494</v>
      </c>
      <c r="C31" s="220" t="s">
        <v>3506</v>
      </c>
      <c r="D31" s="6" t="s">
        <v>114</v>
      </c>
      <c r="E31" s="220" t="s">
        <v>3496</v>
      </c>
      <c r="F31" s="222">
        <v>2633916.0</v>
      </c>
      <c r="G31" s="222">
        <v>790176.0</v>
      </c>
      <c r="H31" s="222">
        <v>1843740.0</v>
      </c>
      <c r="I31" s="10">
        <f t="shared" si="4"/>
        <v>0.01206499</v>
      </c>
      <c r="K31" s="17">
        <f t="shared" si="1"/>
        <v>9533.465538</v>
      </c>
    </row>
    <row r="32">
      <c r="A32" s="219">
        <v>7.157031009E9</v>
      </c>
      <c r="B32" s="6" t="s">
        <v>3494</v>
      </c>
      <c r="C32" s="220" t="s">
        <v>3508</v>
      </c>
      <c r="D32" s="6" t="s">
        <v>114</v>
      </c>
      <c r="E32" s="220" t="s">
        <v>3496</v>
      </c>
      <c r="F32" s="222">
        <v>2633916.0</v>
      </c>
      <c r="G32" s="222">
        <v>526784.0</v>
      </c>
      <c r="H32" s="222">
        <v>2107132.0</v>
      </c>
      <c r="I32" s="10">
        <f t="shared" si="4"/>
        <v>0.01206499</v>
      </c>
      <c r="K32" s="17">
        <f t="shared" si="1"/>
        <v>6355.643692</v>
      </c>
    </row>
    <row r="33">
      <c r="A33" s="219">
        <v>7.15703101E9</v>
      </c>
      <c r="B33" s="6" t="s">
        <v>3494</v>
      </c>
      <c r="C33" s="220" t="s">
        <v>3509</v>
      </c>
      <c r="D33" s="6" t="s">
        <v>114</v>
      </c>
      <c r="E33" s="220" t="s">
        <v>3496</v>
      </c>
      <c r="F33" s="222">
        <v>2633916.0</v>
      </c>
      <c r="G33" s="222">
        <v>1316958.0</v>
      </c>
      <c r="H33" s="222">
        <v>1316958.0</v>
      </c>
      <c r="I33" s="10">
        <f t="shared" si="4"/>
        <v>0.01206499</v>
      </c>
      <c r="K33" s="17">
        <f t="shared" si="1"/>
        <v>15889.0851</v>
      </c>
    </row>
    <row r="34">
      <c r="A34" s="219">
        <v>7.157031011E9</v>
      </c>
      <c r="B34" s="6" t="s">
        <v>3494</v>
      </c>
      <c r="C34" s="220" t="s">
        <v>3510</v>
      </c>
      <c r="D34" s="6" t="s">
        <v>114</v>
      </c>
      <c r="E34" s="220" t="s">
        <v>3496</v>
      </c>
      <c r="F34" s="222">
        <v>2633916.0</v>
      </c>
      <c r="G34" s="222">
        <v>1316958.0</v>
      </c>
      <c r="H34" s="222">
        <v>1316958.0</v>
      </c>
      <c r="I34" s="10">
        <f t="shared" si="4"/>
        <v>0.01206499</v>
      </c>
      <c r="K34" s="17">
        <f t="shared" si="1"/>
        <v>15889.0851</v>
      </c>
    </row>
    <row r="35">
      <c r="A35" s="219">
        <v>7.157031012E9</v>
      </c>
      <c r="B35" s="6" t="s">
        <v>3494</v>
      </c>
      <c r="C35" s="220" t="s">
        <v>3511</v>
      </c>
      <c r="D35" s="6" t="s">
        <v>114</v>
      </c>
      <c r="E35" s="220" t="s">
        <v>3496</v>
      </c>
      <c r="F35" s="222">
        <v>2659386.0</v>
      </c>
      <c r="G35" s="222">
        <v>797817.0</v>
      </c>
      <c r="H35" s="222">
        <v>1861569.0</v>
      </c>
      <c r="I35" s="10">
        <f t="shared" si="4"/>
        <v>0.01206499</v>
      </c>
      <c r="K35" s="17">
        <f t="shared" si="1"/>
        <v>9625.654127</v>
      </c>
    </row>
    <row r="36">
      <c r="A36" s="219">
        <v>7.157031013E9</v>
      </c>
      <c r="B36" s="6" t="s">
        <v>3494</v>
      </c>
      <c r="C36" s="220" t="s">
        <v>3512</v>
      </c>
      <c r="D36" s="6" t="s">
        <v>114</v>
      </c>
      <c r="E36" s="220" t="s">
        <v>3496</v>
      </c>
      <c r="F36" s="222">
        <v>4505211.0</v>
      </c>
      <c r="G36" s="222">
        <v>2375621.0</v>
      </c>
      <c r="H36" s="222">
        <v>2129590.0</v>
      </c>
      <c r="I36" s="10">
        <f t="shared" si="4"/>
        <v>0.01206499</v>
      </c>
      <c r="K36" s="17">
        <f t="shared" si="1"/>
        <v>28661.84361</v>
      </c>
    </row>
    <row r="37">
      <c r="A37" s="219">
        <v>7.157031014E9</v>
      </c>
      <c r="B37" s="6" t="s">
        <v>3494</v>
      </c>
      <c r="C37" s="220" t="s">
        <v>3513</v>
      </c>
      <c r="D37" s="6" t="s">
        <v>114</v>
      </c>
      <c r="E37" s="220" t="s">
        <v>3496</v>
      </c>
      <c r="F37" s="222">
        <v>2728365.0</v>
      </c>
      <c r="G37" s="222">
        <v>1091347.0</v>
      </c>
      <c r="H37" s="222">
        <v>1637018.0</v>
      </c>
      <c r="I37" s="10">
        <f t="shared" si="4"/>
        <v>0.01206499</v>
      </c>
      <c r="K37" s="17">
        <f t="shared" si="1"/>
        <v>13167.09064</v>
      </c>
    </row>
    <row r="38">
      <c r="A38" s="219">
        <v>7.157031015E9</v>
      </c>
      <c r="B38" s="6" t="s">
        <v>3494</v>
      </c>
      <c r="C38" s="220" t="s">
        <v>3514</v>
      </c>
      <c r="D38" s="6" t="s">
        <v>114</v>
      </c>
      <c r="E38" s="220" t="s">
        <v>3496</v>
      </c>
      <c r="F38" s="222">
        <v>2728365.0</v>
      </c>
      <c r="G38" s="222">
        <v>818511.0</v>
      </c>
      <c r="H38" s="222">
        <v>1909854.0</v>
      </c>
      <c r="I38" s="10">
        <f t="shared" si="4"/>
        <v>0.01206499</v>
      </c>
      <c r="K38" s="17">
        <f t="shared" si="1"/>
        <v>9875.32703</v>
      </c>
    </row>
    <row r="39">
      <c r="A39" s="219">
        <v>7.157031016E9</v>
      </c>
      <c r="B39" s="6" t="s">
        <v>3494</v>
      </c>
      <c r="C39" s="220" t="s">
        <v>3515</v>
      </c>
      <c r="D39" s="6" t="s">
        <v>114</v>
      </c>
      <c r="E39" s="220" t="s">
        <v>3496</v>
      </c>
      <c r="F39" s="222">
        <v>2728365.0</v>
      </c>
      <c r="G39" s="222">
        <v>545674.0</v>
      </c>
      <c r="H39" s="222">
        <v>2182691.0</v>
      </c>
      <c r="I39" s="10">
        <f t="shared" si="4"/>
        <v>0.01206499</v>
      </c>
      <c r="K39" s="17">
        <f t="shared" si="1"/>
        <v>6583.551353</v>
      </c>
    </row>
    <row r="40">
      <c r="A40" s="219">
        <v>7.157031017E9</v>
      </c>
      <c r="B40" s="6" t="s">
        <v>3494</v>
      </c>
      <c r="C40" s="220" t="s">
        <v>3518</v>
      </c>
      <c r="D40" s="6" t="s">
        <v>114</v>
      </c>
      <c r="E40" s="220" t="s">
        <v>3496</v>
      </c>
      <c r="F40" s="222">
        <v>2806895.0</v>
      </c>
      <c r="G40" s="222">
        <v>1403448.0</v>
      </c>
      <c r="H40" s="222">
        <v>1403447.0</v>
      </c>
      <c r="I40" s="10">
        <f t="shared" si="4"/>
        <v>0.01206499</v>
      </c>
      <c r="K40" s="17">
        <f t="shared" si="1"/>
        <v>16932.58609</v>
      </c>
    </row>
    <row r="41">
      <c r="A41" s="219">
        <v>7.157031018E9</v>
      </c>
      <c r="B41" s="6" t="s">
        <v>3494</v>
      </c>
      <c r="C41" s="220" t="s">
        <v>3519</v>
      </c>
      <c r="D41" s="6" t="s">
        <v>114</v>
      </c>
      <c r="E41" s="220" t="s">
        <v>3496</v>
      </c>
      <c r="F41" s="222">
        <v>2728365.0</v>
      </c>
      <c r="G41" s="222">
        <v>744299.0</v>
      </c>
      <c r="H41" s="222">
        <v>1984066.0</v>
      </c>
      <c r="I41" s="10">
        <f t="shared" si="4"/>
        <v>0.01206499</v>
      </c>
      <c r="K41" s="17">
        <f t="shared" si="1"/>
        <v>8979.959992</v>
      </c>
    </row>
    <row r="42">
      <c r="A42" s="219">
        <v>7.157031019E9</v>
      </c>
      <c r="B42" s="6" t="s">
        <v>3494</v>
      </c>
      <c r="C42" s="220" t="s">
        <v>3520</v>
      </c>
      <c r="D42" s="6" t="s">
        <v>114</v>
      </c>
      <c r="E42" s="220" t="s">
        <v>3496</v>
      </c>
      <c r="F42" s="222">
        <v>2728365.0</v>
      </c>
      <c r="G42" s="222">
        <v>2232349.0</v>
      </c>
      <c r="H42" s="222">
        <v>496016.0</v>
      </c>
      <c r="I42" s="10">
        <f t="shared" si="4"/>
        <v>0.01206499</v>
      </c>
      <c r="K42" s="17">
        <f t="shared" si="1"/>
        <v>26933.26836</v>
      </c>
    </row>
    <row r="43">
      <c r="A43" s="219">
        <v>7.15703102E9</v>
      </c>
      <c r="B43" s="6" t="s">
        <v>3494</v>
      </c>
      <c r="C43" s="220" t="s">
        <v>3521</v>
      </c>
      <c r="D43" s="6" t="s">
        <v>114</v>
      </c>
      <c r="E43" s="220" t="s">
        <v>3496</v>
      </c>
      <c r="F43" s="222">
        <v>2728365.0</v>
      </c>
      <c r="G43" s="222">
        <v>992308.0</v>
      </c>
      <c r="H43" s="222">
        <v>1736057.0</v>
      </c>
      <c r="I43" s="10">
        <f t="shared" si="4"/>
        <v>0.01206499</v>
      </c>
      <c r="K43" s="17">
        <f t="shared" si="1"/>
        <v>11972.1861</v>
      </c>
    </row>
    <row r="44">
      <c r="A44" s="219">
        <v>7.157031021E9</v>
      </c>
      <c r="B44" s="6" t="s">
        <v>3494</v>
      </c>
      <c r="C44" s="220" t="s">
        <v>3522</v>
      </c>
      <c r="D44" s="6" t="s">
        <v>114</v>
      </c>
      <c r="E44" s="220" t="s">
        <v>3496</v>
      </c>
      <c r="F44" s="222">
        <v>2806895.0</v>
      </c>
      <c r="G44" s="222">
        <v>1122759.0</v>
      </c>
      <c r="H44" s="222">
        <v>1684136.0</v>
      </c>
      <c r="I44" s="10">
        <f t="shared" si="4"/>
        <v>0.01206499</v>
      </c>
      <c r="K44" s="17">
        <f t="shared" si="1"/>
        <v>13546.07611</v>
      </c>
    </row>
    <row r="45">
      <c r="A45" s="219">
        <v>7.157031022E9</v>
      </c>
      <c r="B45" s="6" t="s">
        <v>3494</v>
      </c>
      <c r="C45" s="220" t="s">
        <v>3523</v>
      </c>
      <c r="D45" s="6" t="s">
        <v>114</v>
      </c>
      <c r="E45" s="220" t="s">
        <v>3496</v>
      </c>
      <c r="F45" s="222">
        <v>2728365.0</v>
      </c>
      <c r="G45" s="222">
        <v>1736332.0</v>
      </c>
      <c r="H45" s="222">
        <v>992033.0</v>
      </c>
      <c r="I45" s="10">
        <f t="shared" si="4"/>
        <v>0.01206499</v>
      </c>
      <c r="K45" s="17">
        <f t="shared" si="1"/>
        <v>20948.82822</v>
      </c>
    </row>
    <row r="46">
      <c r="A46" s="219">
        <v>7.157031023E9</v>
      </c>
      <c r="B46" s="6" t="s">
        <v>3494</v>
      </c>
      <c r="C46" s="220" t="s">
        <v>3524</v>
      </c>
      <c r="D46" s="6" t="s">
        <v>114</v>
      </c>
      <c r="E46" s="220" t="s">
        <v>3496</v>
      </c>
      <c r="F46" s="222">
        <v>2728365.0</v>
      </c>
      <c r="G46" s="222">
        <v>1091347.0</v>
      </c>
      <c r="H46" s="222">
        <v>1637018.0</v>
      </c>
      <c r="I46" s="10">
        <f t="shared" si="4"/>
        <v>0.01206499</v>
      </c>
      <c r="K46" s="17">
        <f t="shared" si="1"/>
        <v>13167.09064</v>
      </c>
    </row>
    <row r="47">
      <c r="A47" s="219">
        <v>7.157031024E9</v>
      </c>
      <c r="B47" s="6" t="s">
        <v>3494</v>
      </c>
      <c r="C47" s="220" t="s">
        <v>3525</v>
      </c>
      <c r="D47" s="6" t="s">
        <v>114</v>
      </c>
      <c r="E47" s="220" t="s">
        <v>3496</v>
      </c>
      <c r="F47" s="222">
        <v>2728835.0</v>
      </c>
      <c r="G47" s="222">
        <v>818981.0</v>
      </c>
      <c r="H47" s="222">
        <v>1909854.0</v>
      </c>
      <c r="I47" s="10">
        <f t="shared" si="4"/>
        <v>0.01206499</v>
      </c>
      <c r="K47" s="17">
        <f t="shared" si="1"/>
        <v>9880.997575</v>
      </c>
    </row>
    <row r="48">
      <c r="A48" s="219">
        <v>7.157031025E9</v>
      </c>
      <c r="B48" s="6" t="s">
        <v>3494</v>
      </c>
      <c r="C48" s="220" t="s">
        <v>3526</v>
      </c>
      <c r="D48" s="6" t="s">
        <v>114</v>
      </c>
      <c r="E48" s="220" t="s">
        <v>3496</v>
      </c>
      <c r="F48" s="222">
        <v>2809395.0</v>
      </c>
      <c r="G48" s="222">
        <v>2248017.0</v>
      </c>
      <c r="H48" s="222">
        <v>561378.0</v>
      </c>
      <c r="I48" s="10">
        <f t="shared" si="4"/>
        <v>0.01206499</v>
      </c>
      <c r="K48" s="17">
        <f t="shared" si="1"/>
        <v>27122.30262</v>
      </c>
    </row>
    <row r="49">
      <c r="A49" s="219">
        <v>7.157031026E9</v>
      </c>
      <c r="B49" s="6" t="s">
        <v>3494</v>
      </c>
      <c r="C49" s="220" t="s">
        <v>3527</v>
      </c>
      <c r="D49" s="6" t="s">
        <v>114</v>
      </c>
      <c r="E49" s="220" t="s">
        <v>3496</v>
      </c>
      <c r="F49" s="222">
        <v>2728365.0</v>
      </c>
      <c r="G49" s="222">
        <v>545674.0</v>
      </c>
      <c r="H49" s="222">
        <v>2182691.0</v>
      </c>
      <c r="I49" s="10">
        <f t="shared" si="4"/>
        <v>0.01206499</v>
      </c>
      <c r="K49" s="17">
        <f t="shared" si="1"/>
        <v>6583.551353</v>
      </c>
    </row>
    <row r="50">
      <c r="A50" s="219">
        <v>7.157031027E9</v>
      </c>
      <c r="B50" s="6" t="s">
        <v>3494</v>
      </c>
      <c r="C50" s="220" t="s">
        <v>3528</v>
      </c>
      <c r="D50" s="6" t="s">
        <v>114</v>
      </c>
      <c r="E50" s="220" t="s">
        <v>3496</v>
      </c>
      <c r="F50" s="222">
        <v>2728365.0</v>
      </c>
      <c r="G50" s="222">
        <v>818511.0</v>
      </c>
      <c r="H50" s="222">
        <v>1909854.0</v>
      </c>
      <c r="I50" s="10">
        <f t="shared" si="4"/>
        <v>0.01206499</v>
      </c>
      <c r="K50" s="17">
        <f t="shared" si="1"/>
        <v>9875.32703</v>
      </c>
    </row>
    <row r="51">
      <c r="A51" s="219">
        <v>7.157031028E9</v>
      </c>
      <c r="B51" s="6" t="s">
        <v>3494</v>
      </c>
      <c r="C51" s="220" t="s">
        <v>3529</v>
      </c>
      <c r="D51" s="6" t="s">
        <v>114</v>
      </c>
      <c r="E51" s="220" t="s">
        <v>3496</v>
      </c>
      <c r="F51" s="222">
        <v>2728365.0</v>
      </c>
      <c r="G51" s="222">
        <v>1364183.0</v>
      </c>
      <c r="H51" s="222">
        <v>1364182.0</v>
      </c>
      <c r="I51" s="10">
        <f t="shared" si="4"/>
        <v>0.01206499</v>
      </c>
      <c r="K51" s="17">
        <f t="shared" si="1"/>
        <v>16458.85425</v>
      </c>
    </row>
    <row r="52">
      <c r="A52" s="219">
        <v>7.157031029E9</v>
      </c>
      <c r="B52" s="6" t="s">
        <v>3494</v>
      </c>
      <c r="C52" s="220" t="s">
        <v>3522</v>
      </c>
      <c r="D52" s="6" t="s">
        <v>114</v>
      </c>
      <c r="E52" s="220" t="s">
        <v>3496</v>
      </c>
      <c r="F52" s="222">
        <v>2806895.0</v>
      </c>
      <c r="G52" s="222">
        <v>1403448.0</v>
      </c>
      <c r="H52" s="222">
        <v>1403447.0</v>
      </c>
      <c r="I52" s="10">
        <f t="shared" si="4"/>
        <v>0.01206499</v>
      </c>
      <c r="K52" s="17">
        <f t="shared" si="1"/>
        <v>16932.58609</v>
      </c>
    </row>
    <row r="53">
      <c r="A53" s="219">
        <v>7.15703103E9</v>
      </c>
      <c r="B53" s="6" t="s">
        <v>3494</v>
      </c>
      <c r="C53" s="220" t="s">
        <v>3530</v>
      </c>
      <c r="D53" s="6" t="s">
        <v>114</v>
      </c>
      <c r="E53" s="220" t="s">
        <v>3496</v>
      </c>
      <c r="F53" s="222">
        <v>2728365.0</v>
      </c>
      <c r="G53" s="222">
        <v>1637020.0</v>
      </c>
      <c r="H53" s="222">
        <v>1091345.0</v>
      </c>
      <c r="I53" s="10">
        <f t="shared" si="4"/>
        <v>0.01206499</v>
      </c>
      <c r="K53" s="17">
        <f t="shared" si="1"/>
        <v>19750.62993</v>
      </c>
    </row>
    <row r="54">
      <c r="A54" s="219">
        <v>7.157031031E9</v>
      </c>
      <c r="B54" s="6" t="s">
        <v>3494</v>
      </c>
      <c r="C54" s="220" t="s">
        <v>3531</v>
      </c>
      <c r="D54" s="6" t="s">
        <v>114</v>
      </c>
      <c r="E54" s="220" t="s">
        <v>3496</v>
      </c>
      <c r="F54" s="222">
        <v>2728365.0</v>
      </c>
      <c r="G54" s="222">
        <v>1091347.0</v>
      </c>
      <c r="H54" s="222">
        <v>1637018.0</v>
      </c>
      <c r="I54" s="10">
        <f t="shared" si="4"/>
        <v>0.01206499</v>
      </c>
      <c r="K54" s="17">
        <f t="shared" si="1"/>
        <v>13167.09064</v>
      </c>
    </row>
    <row r="55">
      <c r="A55" s="219">
        <v>7.157031032E9</v>
      </c>
      <c r="B55" s="6" t="s">
        <v>3494</v>
      </c>
      <c r="C55" s="220" t="s">
        <v>3532</v>
      </c>
      <c r="D55" s="6" t="s">
        <v>114</v>
      </c>
      <c r="E55" s="220" t="s">
        <v>3496</v>
      </c>
      <c r="F55" s="222">
        <v>2728365.0</v>
      </c>
      <c r="G55" s="222">
        <v>1091347.0</v>
      </c>
      <c r="H55" s="222">
        <v>1637018.0</v>
      </c>
      <c r="I55" s="10">
        <f t="shared" si="4"/>
        <v>0.01206499</v>
      </c>
      <c r="K55" s="17">
        <f t="shared" si="1"/>
        <v>13167.09064</v>
      </c>
    </row>
    <row r="56">
      <c r="A56" s="219">
        <v>7.157031033E9</v>
      </c>
      <c r="B56" s="6" t="s">
        <v>3494</v>
      </c>
      <c r="C56" s="220" t="s">
        <v>3533</v>
      </c>
      <c r="D56" s="6" t="s">
        <v>114</v>
      </c>
      <c r="E56" s="220" t="s">
        <v>3496</v>
      </c>
      <c r="F56" s="222">
        <v>2806895.0</v>
      </c>
      <c r="G56" s="222">
        <v>1403448.0</v>
      </c>
      <c r="H56" s="222">
        <v>1403447.0</v>
      </c>
      <c r="I56" s="10">
        <f t="shared" si="4"/>
        <v>0.01206499</v>
      </c>
      <c r="K56" s="17">
        <f t="shared" si="1"/>
        <v>16932.58609</v>
      </c>
    </row>
    <row r="57">
      <c r="A57" s="224" t="s">
        <v>184</v>
      </c>
      <c r="B57" s="225" t="s">
        <v>382</v>
      </c>
      <c r="C57" s="226" t="s">
        <v>393</v>
      </c>
      <c r="D57" s="226" t="s">
        <v>86</v>
      </c>
      <c r="E57" s="225" t="s">
        <v>383</v>
      </c>
      <c r="F57" s="227">
        <v>1.7336168E7</v>
      </c>
      <c r="G57" s="228">
        <f>F57*0.36</f>
        <v>6241020.48</v>
      </c>
      <c r="H57" s="228">
        <f>F57-G57</f>
        <v>11095147.52</v>
      </c>
      <c r="I57" s="229">
        <v>0.011724</v>
      </c>
      <c r="J57" s="225"/>
      <c r="K57" s="230">
        <f t="shared" si="1"/>
        <v>73169.72411</v>
      </c>
      <c r="L57" s="225"/>
      <c r="M57" s="225"/>
      <c r="N57" s="225"/>
      <c r="O57" s="225"/>
      <c r="P57" s="225"/>
      <c r="Q57" s="225"/>
      <c r="R57" s="225"/>
      <c r="S57" s="225"/>
      <c r="T57" s="225"/>
      <c r="U57" s="225"/>
      <c r="V57" s="225"/>
      <c r="W57" s="225"/>
      <c r="X57" s="225"/>
      <c r="Y57" s="225"/>
      <c r="Z57" s="225"/>
      <c r="AA57" s="225"/>
      <c r="AB57" s="225"/>
      <c r="AC57" s="225"/>
    </row>
    <row r="58">
      <c r="A58" s="224" t="s">
        <v>261</v>
      </c>
      <c r="B58" s="225" t="s">
        <v>457</v>
      </c>
      <c r="C58" s="226" t="s">
        <v>3536</v>
      </c>
      <c r="D58" s="226" t="s">
        <v>86</v>
      </c>
      <c r="E58" s="225" t="s">
        <v>458</v>
      </c>
      <c r="F58" s="231">
        <v>1.7724726E7</v>
      </c>
      <c r="G58" s="231">
        <v>7089890.0</v>
      </c>
      <c r="H58" s="231">
        <v>1.0634836E7</v>
      </c>
      <c r="I58" s="229">
        <v>0.011724</v>
      </c>
      <c r="J58" s="225"/>
      <c r="K58" s="230">
        <f t="shared" si="1"/>
        <v>83121.87036</v>
      </c>
      <c r="L58" s="225"/>
      <c r="M58" s="225"/>
      <c r="N58" s="225"/>
      <c r="O58" s="225"/>
      <c r="P58" s="225"/>
      <c r="Q58" s="225"/>
      <c r="R58" s="225"/>
      <c r="S58" s="225"/>
      <c r="T58" s="225"/>
      <c r="U58" s="225"/>
      <c r="V58" s="225"/>
      <c r="W58" s="225"/>
      <c r="X58" s="225"/>
      <c r="Y58" s="225"/>
      <c r="Z58" s="225"/>
      <c r="AA58" s="225"/>
      <c r="AB58" s="225"/>
      <c r="AC58" s="225"/>
    </row>
    <row r="59">
      <c r="A59" s="224" t="s">
        <v>1085</v>
      </c>
      <c r="B59" s="225" t="s">
        <v>1043</v>
      </c>
      <c r="C59" s="226" t="s">
        <v>1048</v>
      </c>
      <c r="D59" s="226" t="s">
        <v>86</v>
      </c>
      <c r="E59" s="225" t="s">
        <v>1044</v>
      </c>
      <c r="F59" s="231">
        <v>3.1916224E7</v>
      </c>
      <c r="G59" s="226">
        <v>0.0</v>
      </c>
      <c r="H59" s="231">
        <v>3.1916224E7</v>
      </c>
      <c r="I59" s="229">
        <v>0.011724</v>
      </c>
      <c r="J59" s="225"/>
      <c r="K59" s="230">
        <f t="shared" si="1"/>
        <v>0</v>
      </c>
      <c r="L59" s="225"/>
      <c r="M59" s="225"/>
      <c r="N59" s="225"/>
      <c r="O59" s="225"/>
      <c r="P59" s="225"/>
      <c r="Q59" s="225"/>
      <c r="R59" s="225"/>
      <c r="S59" s="225"/>
      <c r="T59" s="225"/>
      <c r="U59" s="225"/>
      <c r="V59" s="225"/>
      <c r="W59" s="225"/>
      <c r="X59" s="225"/>
      <c r="Y59" s="225"/>
      <c r="Z59" s="225"/>
      <c r="AA59" s="225"/>
      <c r="AB59" s="225"/>
      <c r="AC59" s="225"/>
    </row>
    <row r="60">
      <c r="A60" s="233" t="s">
        <v>2778</v>
      </c>
      <c r="B60" s="6" t="s">
        <v>1073</v>
      </c>
      <c r="D60" s="6" t="s">
        <v>129</v>
      </c>
      <c r="E60" s="6" t="s">
        <v>1074</v>
      </c>
      <c r="F60" s="147">
        <v>3.6559633E7</v>
      </c>
      <c r="G60" s="167">
        <v>1.8850147E7</v>
      </c>
      <c r="K60" s="17"/>
    </row>
    <row r="61">
      <c r="K61" s="17"/>
    </row>
    <row r="62">
      <c r="K62" s="17"/>
    </row>
    <row r="63">
      <c r="K63" s="17"/>
    </row>
    <row r="64">
      <c r="K64" s="17"/>
    </row>
    <row r="65">
      <c r="K65" s="17"/>
    </row>
    <row r="66">
      <c r="K66" s="17"/>
    </row>
    <row r="67">
      <c r="K67" s="17"/>
    </row>
    <row r="68">
      <c r="K68" s="17"/>
    </row>
    <row r="69">
      <c r="K69" s="17"/>
    </row>
    <row r="70">
      <c r="K70" s="17"/>
    </row>
    <row r="71">
      <c r="K71" s="17"/>
    </row>
    <row r="72">
      <c r="K72" s="17"/>
    </row>
    <row r="73">
      <c r="K73" s="17"/>
    </row>
    <row r="74">
      <c r="K74" s="17"/>
    </row>
    <row r="75">
      <c r="K75" s="17"/>
    </row>
    <row r="76">
      <c r="K76" s="17"/>
    </row>
    <row r="77">
      <c r="K77" s="17"/>
    </row>
    <row r="78">
      <c r="K78" s="17"/>
    </row>
    <row r="79">
      <c r="K79" s="17"/>
    </row>
    <row r="80">
      <c r="K80" s="17"/>
    </row>
    <row r="81">
      <c r="K81" s="17"/>
    </row>
    <row r="82">
      <c r="K82" s="17"/>
    </row>
    <row r="83">
      <c r="K83" s="17"/>
    </row>
    <row r="84">
      <c r="K84" s="17"/>
    </row>
    <row r="85">
      <c r="K85" s="17"/>
    </row>
    <row r="86">
      <c r="K86" s="17"/>
    </row>
    <row r="87">
      <c r="K87" s="17"/>
    </row>
    <row r="88">
      <c r="K88" s="17"/>
    </row>
    <row r="89">
      <c r="K89" s="17"/>
    </row>
    <row r="90">
      <c r="K90" s="17"/>
    </row>
    <row r="91">
      <c r="K91" s="17"/>
    </row>
    <row r="92">
      <c r="K92" s="17"/>
    </row>
    <row r="93">
      <c r="K93" s="17"/>
    </row>
    <row r="94">
      <c r="K94" s="17"/>
    </row>
    <row r="95">
      <c r="K95" s="17"/>
    </row>
    <row r="96">
      <c r="K96" s="17"/>
    </row>
    <row r="97">
      <c r="K97" s="17"/>
    </row>
    <row r="98">
      <c r="K98" s="17"/>
    </row>
    <row r="99">
      <c r="K99" s="17"/>
    </row>
    <row r="100">
      <c r="K100" s="17"/>
    </row>
    <row r="101">
      <c r="K101" s="17"/>
    </row>
    <row r="102">
      <c r="K102" s="17"/>
    </row>
    <row r="103">
      <c r="K103" s="17"/>
    </row>
    <row r="104">
      <c r="K104" s="17"/>
    </row>
    <row r="105">
      <c r="K105" s="17"/>
    </row>
    <row r="106">
      <c r="K106" s="17"/>
    </row>
    <row r="107">
      <c r="K107" s="17"/>
    </row>
    <row r="108">
      <c r="K108" s="17"/>
    </row>
    <row r="109">
      <c r="K109" s="17"/>
    </row>
    <row r="110">
      <c r="K110" s="17"/>
    </row>
    <row r="111">
      <c r="K111" s="17"/>
    </row>
    <row r="112">
      <c r="K112" s="17"/>
    </row>
    <row r="113">
      <c r="K113" s="17"/>
    </row>
    <row r="114">
      <c r="K114" s="17"/>
    </row>
    <row r="115">
      <c r="K115" s="17"/>
    </row>
    <row r="116">
      <c r="K116" s="17"/>
    </row>
    <row r="117">
      <c r="K117" s="17"/>
    </row>
    <row r="118">
      <c r="K118" s="17"/>
    </row>
    <row r="119">
      <c r="K119" s="17"/>
    </row>
    <row r="120">
      <c r="K120" s="17"/>
    </row>
    <row r="121">
      <c r="K121" s="17"/>
    </row>
    <row r="122">
      <c r="K122" s="17"/>
    </row>
    <row r="123">
      <c r="K123" s="17"/>
    </row>
    <row r="124">
      <c r="K124" s="17"/>
    </row>
    <row r="125">
      <c r="K125" s="17"/>
    </row>
    <row r="126">
      <c r="K126" s="17"/>
    </row>
    <row r="127">
      <c r="K127" s="17"/>
    </row>
    <row r="128">
      <c r="K128" s="17"/>
    </row>
    <row r="129">
      <c r="K129" s="17"/>
    </row>
    <row r="130">
      <c r="K130" s="17"/>
    </row>
    <row r="131">
      <c r="K131" s="17"/>
    </row>
    <row r="132">
      <c r="K132" s="17"/>
    </row>
    <row r="133">
      <c r="K133" s="17"/>
    </row>
    <row r="134">
      <c r="K134" s="17"/>
    </row>
    <row r="135">
      <c r="K135" s="17"/>
    </row>
    <row r="136">
      <c r="K136" s="17"/>
    </row>
    <row r="137">
      <c r="K137" s="17"/>
    </row>
    <row r="138">
      <c r="K138" s="17"/>
    </row>
    <row r="139">
      <c r="K139" s="17"/>
    </row>
    <row r="140">
      <c r="K140" s="17"/>
    </row>
    <row r="141">
      <c r="K141" s="17"/>
    </row>
    <row r="142">
      <c r="K142" s="17"/>
    </row>
    <row r="143">
      <c r="K143" s="17"/>
    </row>
    <row r="144">
      <c r="K144" s="17"/>
    </row>
    <row r="145">
      <c r="K145" s="17"/>
    </row>
    <row r="146">
      <c r="K146" s="17"/>
    </row>
    <row r="147">
      <c r="K147" s="17"/>
    </row>
    <row r="148">
      <c r="K148" s="17"/>
    </row>
    <row r="149">
      <c r="K149" s="17"/>
    </row>
    <row r="150">
      <c r="K150" s="17"/>
    </row>
    <row r="151">
      <c r="K151" s="17"/>
    </row>
    <row r="152">
      <c r="K152" s="17"/>
    </row>
    <row r="153">
      <c r="K153" s="17"/>
    </row>
    <row r="154">
      <c r="K154" s="17"/>
    </row>
    <row r="155">
      <c r="K155" s="17"/>
    </row>
    <row r="156">
      <c r="K156" s="17"/>
    </row>
    <row r="157">
      <c r="K157" s="17"/>
    </row>
    <row r="158">
      <c r="K158" s="17"/>
    </row>
    <row r="159">
      <c r="K159" s="17"/>
    </row>
    <row r="160">
      <c r="K160" s="17"/>
    </row>
    <row r="161">
      <c r="K161" s="17"/>
    </row>
    <row r="162">
      <c r="K162" s="17"/>
    </row>
    <row r="163">
      <c r="K163" s="17"/>
    </row>
    <row r="164">
      <c r="K164" s="17"/>
    </row>
    <row r="165">
      <c r="K165" s="17"/>
    </row>
    <row r="166">
      <c r="K166" s="17"/>
    </row>
    <row r="167">
      <c r="K167" s="17"/>
    </row>
    <row r="168">
      <c r="K168" s="17"/>
    </row>
    <row r="169">
      <c r="K169" s="17"/>
    </row>
    <row r="170">
      <c r="K170" s="17"/>
    </row>
    <row r="171">
      <c r="K171" s="17"/>
    </row>
    <row r="172">
      <c r="K172" s="17"/>
    </row>
    <row r="173">
      <c r="K173" s="17"/>
    </row>
    <row r="174">
      <c r="K174" s="17"/>
    </row>
    <row r="175">
      <c r="K175" s="17"/>
    </row>
    <row r="176">
      <c r="K176" s="17"/>
    </row>
    <row r="177">
      <c r="K177" s="17"/>
    </row>
    <row r="178">
      <c r="K178" s="17"/>
    </row>
    <row r="179">
      <c r="K179" s="17"/>
    </row>
    <row r="180">
      <c r="K180" s="17"/>
    </row>
    <row r="181">
      <c r="K181" s="17"/>
    </row>
    <row r="182">
      <c r="K182" s="17"/>
    </row>
    <row r="183">
      <c r="K183" s="17"/>
    </row>
    <row r="184">
      <c r="K184" s="17"/>
    </row>
    <row r="185">
      <c r="K185" s="17"/>
    </row>
    <row r="186">
      <c r="K186" s="17"/>
    </row>
    <row r="187">
      <c r="K187" s="17"/>
    </row>
    <row r="188">
      <c r="K188" s="17"/>
    </row>
    <row r="189">
      <c r="K189" s="17"/>
    </row>
    <row r="190">
      <c r="K190" s="17"/>
    </row>
    <row r="191">
      <c r="K191" s="17"/>
    </row>
    <row r="192">
      <c r="K192" s="17"/>
    </row>
    <row r="193">
      <c r="K193" s="17"/>
    </row>
    <row r="194">
      <c r="K194" s="17"/>
    </row>
    <row r="195">
      <c r="K195" s="17"/>
    </row>
    <row r="196">
      <c r="K196" s="17"/>
    </row>
    <row r="197">
      <c r="K197" s="17"/>
    </row>
    <row r="198">
      <c r="K198" s="17"/>
    </row>
    <row r="199">
      <c r="K199" s="17"/>
    </row>
    <row r="200">
      <c r="K200" s="17"/>
    </row>
    <row r="201">
      <c r="K201" s="17"/>
    </row>
    <row r="202">
      <c r="K202" s="17"/>
    </row>
    <row r="203">
      <c r="K203" s="17"/>
    </row>
    <row r="204">
      <c r="K204" s="17"/>
    </row>
    <row r="205">
      <c r="K205" s="17"/>
    </row>
    <row r="206">
      <c r="K206" s="17"/>
    </row>
    <row r="207">
      <c r="K207" s="17"/>
    </row>
    <row r="208">
      <c r="K208" s="17"/>
    </row>
    <row r="209">
      <c r="K209" s="17"/>
    </row>
    <row r="210">
      <c r="K210" s="17"/>
    </row>
    <row r="211">
      <c r="K211" s="17"/>
    </row>
    <row r="212">
      <c r="K212" s="17"/>
    </row>
    <row r="213">
      <c r="K213" s="17"/>
    </row>
    <row r="214">
      <c r="K214" s="17"/>
    </row>
    <row r="215">
      <c r="K215" s="17"/>
    </row>
    <row r="216">
      <c r="K216" s="17"/>
    </row>
    <row r="217">
      <c r="K217" s="17"/>
    </row>
    <row r="218">
      <c r="K218" s="17"/>
    </row>
    <row r="219">
      <c r="K219" s="17"/>
    </row>
    <row r="220">
      <c r="K220" s="17"/>
    </row>
    <row r="221">
      <c r="K221" s="17"/>
    </row>
    <row r="222">
      <c r="K222" s="17"/>
    </row>
    <row r="223">
      <c r="K223" s="17"/>
    </row>
    <row r="224">
      <c r="K224" s="17"/>
    </row>
    <row r="225">
      <c r="K225" s="17"/>
    </row>
    <row r="226">
      <c r="K226" s="17"/>
    </row>
    <row r="227">
      <c r="K227" s="17"/>
    </row>
    <row r="228">
      <c r="K228" s="17"/>
    </row>
    <row r="229">
      <c r="K229" s="17"/>
    </row>
    <row r="230">
      <c r="K230" s="17"/>
    </row>
    <row r="231">
      <c r="K231" s="17"/>
    </row>
    <row r="232">
      <c r="K232" s="17"/>
    </row>
    <row r="233">
      <c r="K233" s="17"/>
    </row>
    <row r="234">
      <c r="K234" s="17"/>
    </row>
    <row r="235">
      <c r="K235" s="17"/>
    </row>
    <row r="236">
      <c r="K236" s="17"/>
    </row>
    <row r="237">
      <c r="K237" s="17"/>
    </row>
    <row r="238">
      <c r="K238" s="17"/>
    </row>
    <row r="239">
      <c r="K239" s="17"/>
    </row>
    <row r="240">
      <c r="K240" s="17"/>
    </row>
    <row r="241">
      <c r="K241" s="17"/>
    </row>
    <row r="242">
      <c r="K242" s="17"/>
    </row>
    <row r="243">
      <c r="K243" s="17"/>
    </row>
    <row r="244">
      <c r="K244" s="17"/>
    </row>
    <row r="245">
      <c r="K245" s="17"/>
    </row>
    <row r="246">
      <c r="K246" s="17"/>
    </row>
    <row r="247">
      <c r="K247" s="17"/>
    </row>
    <row r="248">
      <c r="K248" s="17"/>
    </row>
    <row r="249">
      <c r="K249" s="17"/>
    </row>
    <row r="250">
      <c r="K250" s="17"/>
    </row>
    <row r="251">
      <c r="K251" s="17"/>
    </row>
    <row r="252">
      <c r="K252" s="17"/>
    </row>
    <row r="253">
      <c r="K253" s="17"/>
    </row>
    <row r="254">
      <c r="K254" s="17"/>
    </row>
    <row r="255">
      <c r="K255" s="17"/>
    </row>
    <row r="256">
      <c r="K256" s="17"/>
    </row>
    <row r="257">
      <c r="K257" s="17"/>
    </row>
    <row r="258">
      <c r="K258" s="17"/>
    </row>
    <row r="259">
      <c r="K259" s="17"/>
    </row>
    <row r="260">
      <c r="K260" s="17"/>
    </row>
    <row r="261">
      <c r="K261" s="17"/>
    </row>
    <row r="262">
      <c r="K262" s="17"/>
    </row>
    <row r="263">
      <c r="K263" s="17"/>
    </row>
    <row r="264">
      <c r="K264" s="17"/>
    </row>
    <row r="265">
      <c r="K265" s="17"/>
    </row>
    <row r="266">
      <c r="K266" s="17"/>
    </row>
    <row r="267">
      <c r="K267" s="17"/>
    </row>
    <row r="268">
      <c r="K268" s="17"/>
    </row>
    <row r="269">
      <c r="K269" s="17"/>
    </row>
    <row r="270">
      <c r="K270" s="17"/>
    </row>
    <row r="271">
      <c r="K271" s="17"/>
    </row>
    <row r="272">
      <c r="K272" s="17"/>
    </row>
    <row r="273">
      <c r="K273" s="17"/>
    </row>
    <row r="274">
      <c r="K274" s="17"/>
    </row>
    <row r="275">
      <c r="K275" s="17"/>
    </row>
    <row r="276">
      <c r="K276" s="17"/>
    </row>
    <row r="277">
      <c r="K277" s="17"/>
    </row>
    <row r="278">
      <c r="K278" s="17"/>
    </row>
    <row r="279">
      <c r="K279" s="17"/>
    </row>
    <row r="280">
      <c r="K280" s="17"/>
    </row>
    <row r="281">
      <c r="K281" s="17"/>
    </row>
    <row r="282">
      <c r="K282" s="17"/>
    </row>
    <row r="283">
      <c r="K283" s="17"/>
    </row>
    <row r="284">
      <c r="K284" s="17"/>
    </row>
    <row r="285">
      <c r="K285" s="17"/>
    </row>
    <row r="286">
      <c r="K286" s="17"/>
    </row>
    <row r="287">
      <c r="K287" s="17"/>
    </row>
    <row r="288">
      <c r="K288" s="17"/>
    </row>
    <row r="289">
      <c r="K289" s="17"/>
    </row>
    <row r="290">
      <c r="K290" s="17"/>
    </row>
    <row r="291">
      <c r="K291" s="17"/>
    </row>
    <row r="292">
      <c r="K292" s="17"/>
    </row>
    <row r="293">
      <c r="K293" s="17"/>
    </row>
    <row r="294">
      <c r="K294" s="17"/>
    </row>
    <row r="295">
      <c r="K295" s="17"/>
    </row>
    <row r="296">
      <c r="K296" s="17"/>
    </row>
    <row r="297">
      <c r="K297" s="17"/>
    </row>
    <row r="298">
      <c r="K298" s="17"/>
    </row>
    <row r="299">
      <c r="K299" s="17"/>
    </row>
    <row r="300">
      <c r="K300" s="17"/>
    </row>
    <row r="301">
      <c r="K301" s="17"/>
    </row>
    <row r="302">
      <c r="K302" s="17"/>
    </row>
    <row r="303">
      <c r="K303" s="17"/>
    </row>
    <row r="304">
      <c r="K304" s="17"/>
    </row>
    <row r="305">
      <c r="K305" s="17"/>
    </row>
    <row r="306">
      <c r="K306" s="17"/>
    </row>
    <row r="307">
      <c r="K307" s="17"/>
    </row>
    <row r="308">
      <c r="K308" s="17"/>
    </row>
    <row r="309">
      <c r="K309" s="17"/>
    </row>
    <row r="310">
      <c r="K310" s="17"/>
    </row>
    <row r="311">
      <c r="K311" s="17"/>
    </row>
    <row r="312">
      <c r="K312" s="17"/>
    </row>
    <row r="313">
      <c r="K313" s="17"/>
    </row>
    <row r="314">
      <c r="K314" s="17"/>
    </row>
    <row r="315">
      <c r="K315" s="17"/>
    </row>
    <row r="316">
      <c r="K316" s="17"/>
    </row>
    <row r="317">
      <c r="K317" s="17"/>
    </row>
    <row r="318">
      <c r="K318" s="17"/>
    </row>
    <row r="319">
      <c r="K319" s="17"/>
    </row>
    <row r="320">
      <c r="K320" s="17"/>
    </row>
    <row r="321">
      <c r="K321" s="17"/>
    </row>
    <row r="322">
      <c r="K322" s="17"/>
    </row>
    <row r="323">
      <c r="K323" s="17"/>
    </row>
    <row r="324">
      <c r="K324" s="17"/>
    </row>
    <row r="325">
      <c r="K325" s="17"/>
    </row>
    <row r="326">
      <c r="K326" s="17"/>
    </row>
    <row r="327">
      <c r="K327" s="17"/>
    </row>
    <row r="328">
      <c r="K328" s="17"/>
    </row>
    <row r="329">
      <c r="K329" s="17"/>
    </row>
    <row r="330">
      <c r="K330" s="17"/>
    </row>
    <row r="331">
      <c r="K331" s="17"/>
    </row>
    <row r="332">
      <c r="K332" s="17"/>
    </row>
    <row r="333">
      <c r="K333" s="17"/>
    </row>
    <row r="334">
      <c r="K334" s="17"/>
    </row>
    <row r="335">
      <c r="K335" s="17"/>
    </row>
    <row r="336">
      <c r="K336" s="17"/>
    </row>
    <row r="337">
      <c r="K337" s="17"/>
    </row>
    <row r="338">
      <c r="K338" s="17"/>
    </row>
    <row r="339">
      <c r="K339" s="17"/>
    </row>
    <row r="340">
      <c r="K340" s="17"/>
    </row>
    <row r="341">
      <c r="K341" s="17"/>
    </row>
    <row r="342">
      <c r="K342" s="17"/>
    </row>
    <row r="343">
      <c r="K343" s="17"/>
    </row>
    <row r="344">
      <c r="K344" s="17"/>
    </row>
    <row r="345">
      <c r="K345" s="17"/>
    </row>
    <row r="346">
      <c r="K346" s="17"/>
    </row>
    <row r="347">
      <c r="K347" s="17"/>
    </row>
    <row r="348">
      <c r="K348" s="17"/>
    </row>
    <row r="349">
      <c r="K349" s="17"/>
    </row>
    <row r="350">
      <c r="K350" s="17"/>
    </row>
    <row r="351">
      <c r="K351" s="17"/>
    </row>
    <row r="352">
      <c r="K352" s="17"/>
    </row>
    <row r="353">
      <c r="K353" s="17"/>
    </row>
    <row r="354">
      <c r="K354" s="17"/>
    </row>
    <row r="355">
      <c r="K355" s="17"/>
    </row>
    <row r="356">
      <c r="K356" s="17"/>
    </row>
    <row r="357">
      <c r="K357" s="17"/>
    </row>
    <row r="358">
      <c r="K358" s="17"/>
    </row>
    <row r="359">
      <c r="K359" s="17"/>
    </row>
    <row r="360">
      <c r="K360" s="17"/>
    </row>
    <row r="361">
      <c r="K361" s="17"/>
    </row>
    <row r="362">
      <c r="K362" s="17"/>
    </row>
    <row r="363">
      <c r="K363" s="17"/>
    </row>
    <row r="364">
      <c r="K364" s="17"/>
    </row>
    <row r="365">
      <c r="K365" s="17"/>
    </row>
    <row r="366">
      <c r="K366" s="17"/>
    </row>
    <row r="367">
      <c r="K367" s="17"/>
    </row>
    <row r="368">
      <c r="K368" s="17"/>
    </row>
    <row r="369">
      <c r="K369" s="17"/>
    </row>
    <row r="370">
      <c r="K370" s="17"/>
    </row>
    <row r="371">
      <c r="K371" s="17"/>
    </row>
    <row r="372">
      <c r="K372" s="17"/>
    </row>
    <row r="373">
      <c r="K373" s="17"/>
    </row>
    <row r="374">
      <c r="K374" s="17"/>
    </row>
    <row r="375">
      <c r="K375" s="17"/>
    </row>
    <row r="376">
      <c r="K376" s="17"/>
    </row>
    <row r="377">
      <c r="K377" s="17"/>
    </row>
    <row r="378">
      <c r="K378" s="17"/>
    </row>
    <row r="379">
      <c r="K379" s="17"/>
    </row>
    <row r="380">
      <c r="K380" s="17"/>
    </row>
    <row r="381">
      <c r="K381" s="17"/>
    </row>
    <row r="382">
      <c r="K382" s="17"/>
    </row>
    <row r="383">
      <c r="K383" s="17"/>
    </row>
    <row r="384">
      <c r="K384" s="17"/>
    </row>
    <row r="385">
      <c r="K385" s="17"/>
    </row>
    <row r="386">
      <c r="K386" s="17"/>
    </row>
    <row r="387">
      <c r="K387" s="17"/>
    </row>
    <row r="388">
      <c r="K388" s="17"/>
    </row>
    <row r="389">
      <c r="K389" s="17"/>
    </row>
    <row r="390">
      <c r="K390" s="17"/>
    </row>
    <row r="391">
      <c r="K391" s="17"/>
    </row>
    <row r="392">
      <c r="K392" s="17"/>
    </row>
    <row r="393">
      <c r="K393" s="17"/>
    </row>
    <row r="394">
      <c r="K394" s="17"/>
    </row>
    <row r="395">
      <c r="K395" s="17"/>
    </row>
    <row r="396">
      <c r="K396" s="17"/>
    </row>
    <row r="397">
      <c r="K397" s="17"/>
    </row>
    <row r="398">
      <c r="K398" s="17"/>
    </row>
    <row r="399">
      <c r="K399" s="17"/>
    </row>
    <row r="400">
      <c r="K400" s="17"/>
    </row>
    <row r="401">
      <c r="K401" s="17"/>
    </row>
    <row r="402">
      <c r="K402" s="17"/>
    </row>
    <row r="403">
      <c r="K403" s="17"/>
    </row>
    <row r="404">
      <c r="K404" s="17"/>
    </row>
    <row r="405">
      <c r="K405" s="17"/>
    </row>
    <row r="406">
      <c r="K406" s="17"/>
    </row>
    <row r="407">
      <c r="K407" s="17"/>
    </row>
    <row r="408">
      <c r="K408" s="17"/>
    </row>
    <row r="409">
      <c r="K409" s="17"/>
    </row>
    <row r="410">
      <c r="K410" s="17"/>
    </row>
    <row r="411">
      <c r="K411" s="17"/>
    </row>
    <row r="412">
      <c r="K412" s="17"/>
    </row>
    <row r="413">
      <c r="K413" s="17"/>
    </row>
    <row r="414">
      <c r="K414" s="17"/>
    </row>
    <row r="415">
      <c r="K415" s="17"/>
    </row>
    <row r="416">
      <c r="K416" s="17"/>
    </row>
    <row r="417">
      <c r="K417" s="17"/>
    </row>
    <row r="418">
      <c r="K418" s="17"/>
    </row>
    <row r="419">
      <c r="K419" s="17"/>
    </row>
    <row r="420">
      <c r="K420" s="17"/>
    </row>
    <row r="421">
      <c r="K421" s="17"/>
    </row>
    <row r="422">
      <c r="K422" s="17"/>
    </row>
    <row r="423">
      <c r="K423" s="17"/>
    </row>
    <row r="424">
      <c r="K424" s="17"/>
    </row>
    <row r="425">
      <c r="K425" s="17"/>
    </row>
    <row r="426">
      <c r="K426" s="17"/>
    </row>
    <row r="427">
      <c r="K427" s="17"/>
    </row>
    <row r="428">
      <c r="K428" s="17"/>
    </row>
    <row r="429">
      <c r="K429" s="17"/>
    </row>
    <row r="430">
      <c r="K430" s="17"/>
    </row>
    <row r="431">
      <c r="K431" s="17"/>
    </row>
    <row r="432">
      <c r="K432" s="17"/>
    </row>
    <row r="433">
      <c r="K433" s="17"/>
    </row>
    <row r="434">
      <c r="K434" s="17"/>
    </row>
    <row r="435">
      <c r="K435" s="17"/>
    </row>
    <row r="436">
      <c r="K436" s="17"/>
    </row>
    <row r="437">
      <c r="K437" s="17"/>
    </row>
    <row r="438">
      <c r="K438" s="17"/>
    </row>
    <row r="439">
      <c r="K439" s="17"/>
    </row>
    <row r="440">
      <c r="K440" s="17"/>
    </row>
    <row r="441">
      <c r="K441" s="17"/>
    </row>
    <row r="442">
      <c r="K442" s="17"/>
    </row>
    <row r="443">
      <c r="K443" s="17"/>
    </row>
    <row r="444">
      <c r="K444" s="17"/>
    </row>
    <row r="445">
      <c r="K445" s="17"/>
    </row>
    <row r="446">
      <c r="K446" s="17"/>
    </row>
    <row r="447">
      <c r="K447" s="17"/>
    </row>
    <row r="448">
      <c r="K448" s="17"/>
    </row>
    <row r="449">
      <c r="K449" s="17"/>
    </row>
    <row r="450">
      <c r="K450" s="17"/>
    </row>
    <row r="451">
      <c r="K451" s="17"/>
    </row>
    <row r="452">
      <c r="K452" s="17"/>
    </row>
    <row r="453">
      <c r="K453" s="17"/>
    </row>
    <row r="454">
      <c r="K454" s="17"/>
    </row>
    <row r="455">
      <c r="K455" s="17"/>
    </row>
    <row r="456">
      <c r="K456" s="17"/>
    </row>
    <row r="457">
      <c r="K457" s="17"/>
    </row>
    <row r="458">
      <c r="K458" s="17"/>
    </row>
    <row r="459">
      <c r="K459" s="17"/>
    </row>
    <row r="460">
      <c r="K460" s="17"/>
    </row>
    <row r="461">
      <c r="K461" s="17"/>
    </row>
    <row r="462">
      <c r="K462" s="17"/>
    </row>
    <row r="463">
      <c r="K463" s="17"/>
    </row>
    <row r="464">
      <c r="K464" s="17"/>
    </row>
    <row r="465">
      <c r="K465" s="17"/>
    </row>
    <row r="466">
      <c r="K466" s="17"/>
    </row>
    <row r="467">
      <c r="K467" s="17"/>
    </row>
    <row r="468">
      <c r="K468" s="17"/>
    </row>
    <row r="469">
      <c r="K469" s="17"/>
    </row>
    <row r="470">
      <c r="K470" s="17"/>
    </row>
    <row r="471">
      <c r="K471" s="17"/>
    </row>
    <row r="472">
      <c r="K472" s="17"/>
    </row>
    <row r="473">
      <c r="K473" s="17"/>
    </row>
    <row r="474">
      <c r="K474" s="17"/>
    </row>
    <row r="475">
      <c r="K475" s="17"/>
    </row>
    <row r="476">
      <c r="K476" s="17"/>
    </row>
    <row r="477">
      <c r="K477" s="17"/>
    </row>
    <row r="478">
      <c r="K478" s="17"/>
    </row>
    <row r="479">
      <c r="K479" s="17"/>
    </row>
    <row r="480">
      <c r="K480" s="17"/>
    </row>
    <row r="481">
      <c r="K481" s="17"/>
    </row>
    <row r="482">
      <c r="K482" s="17"/>
    </row>
    <row r="483">
      <c r="K483" s="17"/>
    </row>
    <row r="484">
      <c r="K484" s="17"/>
    </row>
    <row r="485">
      <c r="K485" s="17"/>
    </row>
    <row r="486">
      <c r="K486" s="17"/>
    </row>
    <row r="487">
      <c r="K487" s="17"/>
    </row>
    <row r="488">
      <c r="K488" s="17"/>
    </row>
    <row r="489">
      <c r="K489" s="17"/>
    </row>
    <row r="490">
      <c r="K490" s="17"/>
    </row>
    <row r="491">
      <c r="K491" s="17"/>
    </row>
    <row r="492">
      <c r="K492" s="17"/>
    </row>
    <row r="493">
      <c r="K493" s="17"/>
    </row>
    <row r="494">
      <c r="K494" s="17"/>
    </row>
    <row r="495">
      <c r="K495" s="17"/>
    </row>
    <row r="496">
      <c r="K496" s="17"/>
    </row>
    <row r="497">
      <c r="K497" s="17"/>
    </row>
    <row r="498">
      <c r="K498" s="17"/>
    </row>
    <row r="499">
      <c r="K499" s="17"/>
    </row>
    <row r="500">
      <c r="K500" s="17"/>
    </row>
    <row r="501">
      <c r="K501" s="17"/>
    </row>
    <row r="502">
      <c r="K502" s="17"/>
    </row>
    <row r="503">
      <c r="K503" s="17"/>
    </row>
    <row r="504">
      <c r="K504" s="17"/>
    </row>
    <row r="505">
      <c r="K505" s="17"/>
    </row>
    <row r="506">
      <c r="K506" s="17"/>
    </row>
    <row r="507">
      <c r="K507" s="17"/>
    </row>
    <row r="508">
      <c r="K508" s="17"/>
    </row>
    <row r="509">
      <c r="K509" s="17"/>
    </row>
    <row r="510">
      <c r="K510" s="17"/>
    </row>
    <row r="511">
      <c r="K511" s="17"/>
    </row>
    <row r="512">
      <c r="K512" s="17"/>
    </row>
    <row r="513">
      <c r="K513" s="17"/>
    </row>
    <row r="514">
      <c r="K514" s="17"/>
    </row>
    <row r="515">
      <c r="K515" s="17"/>
    </row>
    <row r="516">
      <c r="K516" s="17"/>
    </row>
    <row r="517">
      <c r="K517" s="17"/>
    </row>
    <row r="518">
      <c r="K518" s="17"/>
    </row>
    <row r="519">
      <c r="K519" s="17"/>
    </row>
    <row r="520">
      <c r="K520" s="17"/>
    </row>
    <row r="521">
      <c r="K521" s="17"/>
    </row>
    <row r="522">
      <c r="K522" s="17"/>
    </row>
    <row r="523">
      <c r="K523" s="17"/>
    </row>
    <row r="524">
      <c r="K524" s="17"/>
    </row>
    <row r="525">
      <c r="K525" s="17"/>
    </row>
    <row r="526">
      <c r="K526" s="17"/>
    </row>
    <row r="527">
      <c r="K527" s="17"/>
    </row>
    <row r="528">
      <c r="K528" s="17"/>
    </row>
    <row r="529">
      <c r="K529" s="17"/>
    </row>
    <row r="530">
      <c r="K530" s="17"/>
    </row>
    <row r="531">
      <c r="K531" s="17"/>
    </row>
    <row r="532">
      <c r="K532" s="17"/>
    </row>
    <row r="533">
      <c r="K533" s="17"/>
    </row>
    <row r="534">
      <c r="K534" s="17"/>
    </row>
    <row r="535">
      <c r="K535" s="17"/>
    </row>
    <row r="536">
      <c r="K536" s="17"/>
    </row>
    <row r="537">
      <c r="K537" s="17"/>
    </row>
    <row r="538">
      <c r="K538" s="17"/>
    </row>
    <row r="539">
      <c r="K539" s="17"/>
    </row>
    <row r="540">
      <c r="K540" s="17"/>
    </row>
    <row r="541">
      <c r="K541" s="17"/>
    </row>
    <row r="542">
      <c r="K542" s="17"/>
    </row>
    <row r="543">
      <c r="K543" s="17"/>
    </row>
    <row r="544">
      <c r="K544" s="17"/>
    </row>
    <row r="545">
      <c r="K545" s="17"/>
    </row>
    <row r="546">
      <c r="K546" s="17"/>
    </row>
    <row r="547">
      <c r="K547" s="17"/>
    </row>
    <row r="548">
      <c r="K548" s="17"/>
    </row>
    <row r="549">
      <c r="K549" s="17"/>
    </row>
    <row r="550">
      <c r="K550" s="17"/>
    </row>
    <row r="551">
      <c r="K551" s="17"/>
    </row>
    <row r="552">
      <c r="K552" s="17"/>
    </row>
    <row r="553">
      <c r="K553" s="17"/>
    </row>
    <row r="554">
      <c r="K554" s="17"/>
    </row>
    <row r="555">
      <c r="K555" s="17"/>
    </row>
    <row r="556">
      <c r="K556" s="17"/>
    </row>
    <row r="557">
      <c r="K557" s="17"/>
    </row>
    <row r="558">
      <c r="K558" s="17"/>
    </row>
    <row r="559">
      <c r="K559" s="17"/>
    </row>
    <row r="560">
      <c r="K560" s="17"/>
    </row>
    <row r="561">
      <c r="K561" s="17"/>
    </row>
    <row r="562">
      <c r="K562" s="17"/>
    </row>
    <row r="563">
      <c r="K563" s="17"/>
    </row>
    <row r="564">
      <c r="K564" s="17"/>
    </row>
    <row r="565">
      <c r="K565" s="17"/>
    </row>
    <row r="566">
      <c r="K566" s="17"/>
    </row>
    <row r="567">
      <c r="K567" s="17"/>
    </row>
    <row r="568">
      <c r="K568" s="17"/>
    </row>
    <row r="569">
      <c r="K569" s="17"/>
    </row>
    <row r="570">
      <c r="K570" s="17"/>
    </row>
    <row r="571">
      <c r="K571" s="17"/>
    </row>
    <row r="572">
      <c r="K572" s="17"/>
    </row>
    <row r="573">
      <c r="K573" s="17"/>
    </row>
    <row r="574">
      <c r="K574" s="17"/>
    </row>
    <row r="575">
      <c r="K575" s="17"/>
    </row>
    <row r="576">
      <c r="K576" s="17"/>
    </row>
    <row r="577">
      <c r="K577" s="17"/>
    </row>
    <row r="578">
      <c r="K578" s="17"/>
    </row>
    <row r="579">
      <c r="K579" s="17"/>
    </row>
    <row r="580">
      <c r="K580" s="17"/>
    </row>
    <row r="581">
      <c r="K581" s="17"/>
    </row>
    <row r="582">
      <c r="K582" s="17"/>
    </row>
    <row r="583">
      <c r="K583" s="17"/>
    </row>
    <row r="584">
      <c r="K584" s="17"/>
    </row>
    <row r="585">
      <c r="K585" s="17"/>
    </row>
    <row r="586">
      <c r="K586" s="17"/>
    </row>
    <row r="587">
      <c r="K587" s="17"/>
    </row>
    <row r="588">
      <c r="K588" s="17"/>
    </row>
    <row r="589">
      <c r="K589" s="17"/>
    </row>
    <row r="590">
      <c r="K590" s="17"/>
    </row>
    <row r="591">
      <c r="K591" s="17"/>
    </row>
    <row r="592">
      <c r="K592" s="17"/>
    </row>
    <row r="593">
      <c r="K593" s="17"/>
    </row>
    <row r="594">
      <c r="K594" s="17"/>
    </row>
    <row r="595">
      <c r="K595" s="17"/>
    </row>
    <row r="596">
      <c r="K596" s="17"/>
    </row>
    <row r="597">
      <c r="K597" s="17"/>
    </row>
    <row r="598">
      <c r="K598" s="17"/>
    </row>
    <row r="599">
      <c r="K599" s="17"/>
    </row>
    <row r="600">
      <c r="K600" s="17"/>
    </row>
    <row r="601">
      <c r="K601" s="17"/>
    </row>
    <row r="602">
      <c r="K602" s="17"/>
    </row>
    <row r="603">
      <c r="K603" s="17"/>
    </row>
    <row r="604">
      <c r="K604" s="17"/>
    </row>
    <row r="605">
      <c r="K605" s="17"/>
    </row>
    <row r="606">
      <c r="K606" s="17"/>
    </row>
    <row r="607">
      <c r="K607" s="17"/>
    </row>
    <row r="608">
      <c r="K608" s="17"/>
    </row>
    <row r="609">
      <c r="K609" s="17"/>
    </row>
    <row r="610">
      <c r="K610" s="17"/>
    </row>
    <row r="611">
      <c r="K611" s="17"/>
    </row>
    <row r="612">
      <c r="K612" s="17"/>
    </row>
    <row r="613">
      <c r="K613" s="17"/>
    </row>
    <row r="614">
      <c r="K614" s="17"/>
    </row>
    <row r="615">
      <c r="K615" s="17"/>
    </row>
    <row r="616">
      <c r="K616" s="17"/>
    </row>
    <row r="617">
      <c r="K617" s="17"/>
    </row>
    <row r="618">
      <c r="K618" s="17"/>
    </row>
    <row r="619">
      <c r="K619" s="17"/>
    </row>
    <row r="620">
      <c r="K620" s="17"/>
    </row>
    <row r="621">
      <c r="K621" s="17"/>
    </row>
    <row r="622">
      <c r="K622" s="17"/>
    </row>
    <row r="623">
      <c r="K623" s="17"/>
    </row>
    <row r="624">
      <c r="K624" s="17"/>
    </row>
    <row r="625">
      <c r="K625" s="17"/>
    </row>
    <row r="626">
      <c r="K626" s="17"/>
    </row>
    <row r="627">
      <c r="K627" s="17"/>
    </row>
    <row r="628">
      <c r="K628" s="17"/>
    </row>
    <row r="629">
      <c r="K629" s="17"/>
    </row>
    <row r="630">
      <c r="K630" s="17"/>
    </row>
    <row r="631">
      <c r="K631" s="17"/>
    </row>
    <row r="632">
      <c r="K632" s="17"/>
    </row>
    <row r="633">
      <c r="K633" s="17"/>
    </row>
    <row r="634">
      <c r="K634" s="17"/>
    </row>
    <row r="635">
      <c r="K635" s="17"/>
    </row>
    <row r="636">
      <c r="K636" s="17"/>
    </row>
    <row r="637">
      <c r="K637" s="17"/>
    </row>
    <row r="638">
      <c r="K638" s="17"/>
    </row>
    <row r="639">
      <c r="K639" s="17"/>
    </row>
    <row r="640">
      <c r="K640" s="17"/>
    </row>
    <row r="641">
      <c r="K641" s="17"/>
    </row>
    <row r="642">
      <c r="K642" s="17"/>
    </row>
    <row r="643">
      <c r="K643" s="17"/>
    </row>
    <row r="644">
      <c r="K644" s="17"/>
    </row>
    <row r="645">
      <c r="K645" s="17"/>
    </row>
    <row r="646">
      <c r="K646" s="17"/>
    </row>
    <row r="647">
      <c r="K647" s="17"/>
    </row>
    <row r="648">
      <c r="K648" s="17"/>
    </row>
    <row r="649">
      <c r="K649" s="17"/>
    </row>
    <row r="650">
      <c r="K650" s="17"/>
    </row>
    <row r="651">
      <c r="K651" s="17"/>
    </row>
    <row r="652">
      <c r="K652" s="17"/>
    </row>
    <row r="653">
      <c r="K653" s="17"/>
    </row>
    <row r="654">
      <c r="K654" s="17"/>
    </row>
    <row r="655">
      <c r="K655" s="17"/>
    </row>
    <row r="656">
      <c r="K656" s="17"/>
    </row>
    <row r="657">
      <c r="K657" s="17"/>
    </row>
    <row r="658">
      <c r="K658" s="17"/>
    </row>
    <row r="659">
      <c r="K659" s="17"/>
    </row>
    <row r="660">
      <c r="K660" s="17"/>
    </row>
    <row r="661">
      <c r="K661" s="17"/>
    </row>
    <row r="662">
      <c r="K662" s="17"/>
    </row>
    <row r="663">
      <c r="K663" s="17"/>
    </row>
    <row r="664">
      <c r="K664" s="17"/>
    </row>
    <row r="665">
      <c r="K665" s="17"/>
    </row>
    <row r="666">
      <c r="K666" s="17"/>
    </row>
    <row r="667">
      <c r="K667" s="17"/>
    </row>
    <row r="668">
      <c r="K668" s="17"/>
    </row>
    <row r="669">
      <c r="K669" s="17"/>
    </row>
    <row r="670">
      <c r="K670" s="17"/>
    </row>
    <row r="671">
      <c r="K671" s="17"/>
    </row>
    <row r="672">
      <c r="K672" s="17"/>
    </row>
    <row r="673">
      <c r="K673" s="17"/>
    </row>
    <row r="674">
      <c r="K674" s="17"/>
    </row>
    <row r="675">
      <c r="K675" s="17"/>
    </row>
    <row r="676">
      <c r="K676" s="17"/>
    </row>
    <row r="677">
      <c r="K677" s="17"/>
    </row>
    <row r="678">
      <c r="K678" s="17"/>
    </row>
    <row r="679">
      <c r="K679" s="17"/>
    </row>
    <row r="680">
      <c r="K680" s="17"/>
    </row>
    <row r="681">
      <c r="K681" s="17"/>
    </row>
    <row r="682">
      <c r="K682" s="17"/>
    </row>
    <row r="683">
      <c r="K683" s="17"/>
    </row>
    <row r="684">
      <c r="K684" s="17"/>
    </row>
    <row r="685">
      <c r="K685" s="17"/>
    </row>
    <row r="686">
      <c r="K686" s="17"/>
    </row>
    <row r="687">
      <c r="K687" s="17"/>
    </row>
    <row r="688">
      <c r="K688" s="17"/>
    </row>
    <row r="689">
      <c r="K689" s="17"/>
    </row>
    <row r="690">
      <c r="K690" s="17"/>
    </row>
    <row r="691">
      <c r="K691" s="17"/>
    </row>
    <row r="692">
      <c r="K692" s="17"/>
    </row>
    <row r="693">
      <c r="K693" s="17"/>
    </row>
    <row r="694">
      <c r="K694" s="17"/>
    </row>
    <row r="695">
      <c r="K695" s="17"/>
    </row>
    <row r="696">
      <c r="K696" s="17"/>
    </row>
    <row r="697">
      <c r="K697" s="17"/>
    </row>
    <row r="698">
      <c r="K698" s="17"/>
    </row>
    <row r="699">
      <c r="K699" s="17"/>
    </row>
    <row r="700">
      <c r="K700" s="17"/>
    </row>
    <row r="701">
      <c r="K701" s="17"/>
    </row>
    <row r="702">
      <c r="K702" s="17"/>
    </row>
    <row r="703">
      <c r="K703" s="17"/>
    </row>
    <row r="704">
      <c r="K704" s="17"/>
    </row>
    <row r="705">
      <c r="K705" s="17"/>
    </row>
    <row r="706">
      <c r="K706" s="17"/>
    </row>
    <row r="707">
      <c r="K707" s="17"/>
    </row>
    <row r="708">
      <c r="K708" s="17"/>
    </row>
    <row r="709">
      <c r="K709" s="17"/>
    </row>
    <row r="710">
      <c r="K710" s="17"/>
    </row>
    <row r="711">
      <c r="K711" s="17"/>
    </row>
    <row r="712">
      <c r="K712" s="17"/>
    </row>
    <row r="713">
      <c r="K713" s="17"/>
    </row>
    <row r="714">
      <c r="K714" s="17"/>
    </row>
    <row r="715">
      <c r="K715" s="17"/>
    </row>
    <row r="716">
      <c r="K716" s="17"/>
    </row>
    <row r="717">
      <c r="K717" s="17"/>
    </row>
    <row r="718">
      <c r="K718" s="17"/>
    </row>
    <row r="719">
      <c r="K719" s="17"/>
    </row>
    <row r="720">
      <c r="K720" s="17"/>
    </row>
    <row r="721">
      <c r="K721" s="17"/>
    </row>
    <row r="722">
      <c r="K722" s="17"/>
    </row>
    <row r="723">
      <c r="K723" s="17"/>
    </row>
    <row r="724">
      <c r="K724" s="17"/>
    </row>
    <row r="725">
      <c r="K725" s="17"/>
    </row>
    <row r="726">
      <c r="K726" s="17"/>
    </row>
    <row r="727">
      <c r="K727" s="17"/>
    </row>
    <row r="728">
      <c r="K728" s="17"/>
    </row>
    <row r="729">
      <c r="K729" s="17"/>
    </row>
    <row r="730">
      <c r="K730" s="17"/>
    </row>
    <row r="731">
      <c r="K731" s="17"/>
    </row>
    <row r="732">
      <c r="K732" s="17"/>
    </row>
    <row r="733">
      <c r="K733" s="17"/>
    </row>
    <row r="734">
      <c r="K734" s="17"/>
    </row>
    <row r="735">
      <c r="K735" s="17"/>
    </row>
    <row r="736">
      <c r="K736" s="17"/>
    </row>
    <row r="737">
      <c r="K737" s="17"/>
    </row>
    <row r="738">
      <c r="K738" s="17"/>
    </row>
    <row r="739">
      <c r="K739" s="17"/>
    </row>
    <row r="740">
      <c r="K740" s="17"/>
    </row>
    <row r="741">
      <c r="K741" s="17"/>
    </row>
    <row r="742">
      <c r="K742" s="17"/>
    </row>
    <row r="743">
      <c r="K743" s="17"/>
    </row>
    <row r="744">
      <c r="K744" s="17"/>
    </row>
    <row r="745">
      <c r="K745" s="17"/>
    </row>
    <row r="746">
      <c r="K746" s="17"/>
    </row>
    <row r="747">
      <c r="K747" s="17"/>
    </row>
    <row r="748">
      <c r="K748" s="17"/>
    </row>
    <row r="749">
      <c r="K749" s="17"/>
    </row>
    <row r="750">
      <c r="K750" s="17"/>
    </row>
    <row r="751">
      <c r="K751" s="17"/>
    </row>
    <row r="752">
      <c r="K752" s="17"/>
    </row>
    <row r="753">
      <c r="K753" s="17"/>
    </row>
    <row r="754">
      <c r="K754" s="17"/>
    </row>
    <row r="755">
      <c r="K755" s="17"/>
    </row>
    <row r="756">
      <c r="K756" s="17"/>
    </row>
    <row r="757">
      <c r="K757" s="17"/>
    </row>
    <row r="758">
      <c r="K758" s="17"/>
    </row>
    <row r="759">
      <c r="K759" s="17"/>
    </row>
    <row r="760">
      <c r="K760" s="17"/>
    </row>
    <row r="761">
      <c r="K761" s="17"/>
    </row>
    <row r="762">
      <c r="K762" s="17"/>
    </row>
    <row r="763">
      <c r="K763" s="17"/>
    </row>
    <row r="764">
      <c r="K764" s="17"/>
    </row>
    <row r="765">
      <c r="K765" s="17"/>
    </row>
    <row r="766">
      <c r="K766" s="17"/>
    </row>
    <row r="767">
      <c r="K767" s="17"/>
    </row>
    <row r="768">
      <c r="K768" s="17"/>
    </row>
    <row r="769">
      <c r="K769" s="17"/>
    </row>
    <row r="770">
      <c r="K770" s="17"/>
    </row>
    <row r="771">
      <c r="K771" s="17"/>
    </row>
    <row r="772">
      <c r="K772" s="17"/>
    </row>
    <row r="773">
      <c r="K773" s="17"/>
    </row>
    <row r="774">
      <c r="K774" s="17"/>
    </row>
    <row r="775">
      <c r="K775" s="17"/>
    </row>
    <row r="776">
      <c r="K776" s="17"/>
    </row>
    <row r="777">
      <c r="K777" s="17"/>
    </row>
    <row r="778">
      <c r="K778" s="17"/>
    </row>
    <row r="779">
      <c r="K779" s="17"/>
    </row>
    <row r="780">
      <c r="K780" s="17"/>
    </row>
    <row r="781">
      <c r="K781" s="17"/>
    </row>
    <row r="782">
      <c r="K782" s="17"/>
    </row>
    <row r="783">
      <c r="K783" s="17"/>
    </row>
    <row r="784">
      <c r="K784" s="17"/>
    </row>
    <row r="785">
      <c r="K785" s="17"/>
    </row>
    <row r="786">
      <c r="K786" s="17"/>
    </row>
    <row r="787">
      <c r="K787" s="17"/>
    </row>
    <row r="788">
      <c r="K788" s="17"/>
    </row>
    <row r="789">
      <c r="K789" s="17"/>
    </row>
    <row r="790">
      <c r="K790" s="17"/>
    </row>
    <row r="791">
      <c r="K791" s="17"/>
    </row>
    <row r="792">
      <c r="K792" s="17"/>
    </row>
    <row r="793">
      <c r="K793" s="17"/>
    </row>
    <row r="794">
      <c r="K794" s="17"/>
    </row>
    <row r="795">
      <c r="K795" s="17"/>
    </row>
    <row r="796">
      <c r="K796" s="17"/>
    </row>
    <row r="797">
      <c r="K797" s="17"/>
    </row>
    <row r="798">
      <c r="K798" s="17"/>
    </row>
    <row r="799">
      <c r="K799" s="17"/>
    </row>
    <row r="800">
      <c r="K800" s="17"/>
    </row>
    <row r="801">
      <c r="K801" s="17"/>
    </row>
    <row r="802">
      <c r="K802" s="17"/>
    </row>
    <row r="803">
      <c r="K803" s="17"/>
    </row>
    <row r="804">
      <c r="K804" s="17"/>
    </row>
    <row r="805">
      <c r="K805" s="17"/>
    </row>
    <row r="806">
      <c r="K806" s="17"/>
    </row>
    <row r="807">
      <c r="K807" s="17"/>
    </row>
    <row r="808">
      <c r="K808" s="17"/>
    </row>
    <row r="809">
      <c r="K809" s="17"/>
    </row>
    <row r="810">
      <c r="K810" s="17"/>
    </row>
    <row r="811">
      <c r="K811" s="17"/>
    </row>
    <row r="812">
      <c r="K812" s="17"/>
    </row>
    <row r="813">
      <c r="K813" s="17"/>
    </row>
    <row r="814">
      <c r="K814" s="17"/>
    </row>
    <row r="815">
      <c r="K815" s="17"/>
    </row>
    <row r="816">
      <c r="K816" s="17"/>
    </row>
    <row r="817">
      <c r="K817" s="17"/>
    </row>
    <row r="818">
      <c r="K818" s="17"/>
    </row>
    <row r="819">
      <c r="K819" s="17"/>
    </row>
    <row r="820">
      <c r="K820" s="17"/>
    </row>
    <row r="821">
      <c r="K821" s="17"/>
    </row>
    <row r="822">
      <c r="K822" s="17"/>
    </row>
    <row r="823">
      <c r="K823" s="17"/>
    </row>
    <row r="824">
      <c r="K824" s="17"/>
    </row>
    <row r="825">
      <c r="K825" s="17"/>
    </row>
    <row r="826">
      <c r="K826" s="17"/>
    </row>
    <row r="827">
      <c r="K827" s="17"/>
    </row>
    <row r="828">
      <c r="K828" s="17"/>
    </row>
    <row r="829">
      <c r="K829" s="17"/>
    </row>
    <row r="830">
      <c r="K830" s="17"/>
    </row>
    <row r="831">
      <c r="K831" s="17"/>
    </row>
    <row r="832">
      <c r="K832" s="17"/>
    </row>
    <row r="833">
      <c r="K833" s="17"/>
    </row>
    <row r="834">
      <c r="K834" s="17"/>
    </row>
    <row r="835">
      <c r="K835" s="17"/>
    </row>
    <row r="836">
      <c r="K836" s="17"/>
    </row>
    <row r="837">
      <c r="K837" s="17"/>
    </row>
    <row r="838">
      <c r="K838" s="17"/>
    </row>
    <row r="839">
      <c r="K839" s="17"/>
    </row>
    <row r="840">
      <c r="K840" s="17"/>
    </row>
    <row r="841">
      <c r="K841" s="17"/>
    </row>
    <row r="842">
      <c r="K842" s="17"/>
    </row>
    <row r="843">
      <c r="K843" s="17"/>
    </row>
    <row r="844">
      <c r="K844" s="17"/>
    </row>
    <row r="845">
      <c r="K845" s="17"/>
    </row>
    <row r="846">
      <c r="K846" s="17"/>
    </row>
    <row r="847">
      <c r="K847" s="17"/>
    </row>
    <row r="848">
      <c r="K848" s="17"/>
    </row>
    <row r="849">
      <c r="K849" s="17"/>
    </row>
    <row r="850">
      <c r="K850" s="17"/>
    </row>
    <row r="851">
      <c r="K851" s="17"/>
    </row>
    <row r="852">
      <c r="K852" s="17"/>
    </row>
    <row r="853">
      <c r="K853" s="17"/>
    </row>
    <row r="854">
      <c r="K854" s="17"/>
    </row>
    <row r="855">
      <c r="K855" s="17"/>
    </row>
    <row r="856">
      <c r="K856" s="17"/>
    </row>
    <row r="857">
      <c r="K857" s="17"/>
    </row>
    <row r="858">
      <c r="K858" s="17"/>
    </row>
    <row r="859">
      <c r="K859" s="17"/>
    </row>
    <row r="860">
      <c r="K860" s="17"/>
    </row>
    <row r="861">
      <c r="K861" s="17"/>
    </row>
    <row r="862">
      <c r="K862" s="17"/>
    </row>
    <row r="863">
      <c r="K863" s="17"/>
    </row>
    <row r="864">
      <c r="K864" s="17"/>
    </row>
    <row r="865">
      <c r="K865" s="17"/>
    </row>
    <row r="866">
      <c r="K866" s="17"/>
    </row>
    <row r="867">
      <c r="K867" s="17"/>
    </row>
    <row r="868">
      <c r="K868" s="17"/>
    </row>
    <row r="869">
      <c r="K869" s="17"/>
    </row>
    <row r="870">
      <c r="K870" s="17"/>
    </row>
    <row r="871">
      <c r="K871" s="17"/>
    </row>
    <row r="872">
      <c r="K872" s="17"/>
    </row>
    <row r="873">
      <c r="K873" s="17"/>
    </row>
    <row r="874">
      <c r="K874" s="17"/>
    </row>
    <row r="875">
      <c r="K875" s="17"/>
    </row>
    <row r="876">
      <c r="K876" s="17"/>
    </row>
    <row r="877">
      <c r="K877" s="17"/>
    </row>
    <row r="878">
      <c r="K878" s="17"/>
    </row>
    <row r="879">
      <c r="K879" s="17"/>
    </row>
    <row r="880">
      <c r="K880" s="17"/>
    </row>
    <row r="881">
      <c r="K881" s="17"/>
    </row>
    <row r="882">
      <c r="K882" s="17"/>
    </row>
    <row r="883">
      <c r="K883" s="17"/>
    </row>
    <row r="884">
      <c r="K884" s="17"/>
    </row>
    <row r="885">
      <c r="K885" s="17"/>
    </row>
    <row r="886">
      <c r="K886" s="17"/>
    </row>
    <row r="887">
      <c r="K887" s="17"/>
    </row>
    <row r="888">
      <c r="K888" s="17"/>
    </row>
    <row r="889">
      <c r="K889" s="17"/>
    </row>
    <row r="890">
      <c r="K890" s="17"/>
    </row>
    <row r="891">
      <c r="K891" s="17"/>
    </row>
    <row r="892">
      <c r="K892" s="17"/>
    </row>
    <row r="893">
      <c r="K893" s="17"/>
    </row>
    <row r="894">
      <c r="K894" s="17"/>
    </row>
    <row r="895">
      <c r="K895" s="17"/>
    </row>
    <row r="896">
      <c r="K896" s="17"/>
    </row>
    <row r="897">
      <c r="K897" s="17"/>
    </row>
    <row r="898">
      <c r="K898" s="17"/>
    </row>
    <row r="899">
      <c r="K899" s="17"/>
    </row>
    <row r="900">
      <c r="K900" s="17"/>
    </row>
    <row r="901">
      <c r="K901" s="17"/>
    </row>
    <row r="902">
      <c r="K902" s="17"/>
    </row>
    <row r="903">
      <c r="K903" s="17"/>
    </row>
    <row r="904">
      <c r="K904" s="17"/>
    </row>
    <row r="905">
      <c r="K905" s="17"/>
    </row>
    <row r="906">
      <c r="K906" s="17"/>
    </row>
    <row r="907">
      <c r="K907" s="17"/>
    </row>
    <row r="908">
      <c r="K908" s="17"/>
    </row>
    <row r="909">
      <c r="K909" s="17"/>
    </row>
    <row r="910">
      <c r="K910" s="17"/>
    </row>
    <row r="911">
      <c r="K911" s="17"/>
    </row>
    <row r="912">
      <c r="K912" s="17"/>
    </row>
    <row r="913">
      <c r="K913" s="17"/>
    </row>
    <row r="914">
      <c r="K914" s="17"/>
    </row>
    <row r="915">
      <c r="K915" s="17"/>
    </row>
    <row r="916">
      <c r="K916" s="17"/>
    </row>
    <row r="917">
      <c r="K917" s="17"/>
    </row>
    <row r="918">
      <c r="K918" s="17"/>
    </row>
    <row r="919">
      <c r="K919" s="17"/>
    </row>
    <row r="920">
      <c r="K920" s="17"/>
    </row>
    <row r="921">
      <c r="K921" s="17"/>
    </row>
    <row r="922">
      <c r="K922" s="17"/>
    </row>
    <row r="923">
      <c r="K923" s="17"/>
    </row>
    <row r="924">
      <c r="K924" s="17"/>
    </row>
    <row r="925">
      <c r="K925" s="17"/>
    </row>
    <row r="926">
      <c r="K926" s="17"/>
    </row>
    <row r="927">
      <c r="K927" s="17"/>
    </row>
    <row r="928">
      <c r="K928" s="17"/>
    </row>
    <row r="929">
      <c r="K929" s="17"/>
    </row>
    <row r="930">
      <c r="K930" s="17"/>
    </row>
    <row r="931">
      <c r="K931" s="17"/>
    </row>
    <row r="932">
      <c r="K932" s="17"/>
    </row>
    <row r="933">
      <c r="K933" s="17"/>
    </row>
    <row r="934">
      <c r="K934" s="17"/>
    </row>
    <row r="935">
      <c r="K935" s="17"/>
    </row>
    <row r="936">
      <c r="K936" s="17"/>
    </row>
    <row r="937">
      <c r="K937" s="17"/>
    </row>
    <row r="938">
      <c r="K938" s="17"/>
    </row>
    <row r="939">
      <c r="K939" s="17"/>
    </row>
    <row r="940">
      <c r="K940" s="17"/>
    </row>
    <row r="941">
      <c r="K941" s="17"/>
    </row>
    <row r="942">
      <c r="K942" s="17"/>
    </row>
    <row r="943">
      <c r="K943" s="17"/>
    </row>
    <row r="944">
      <c r="K944" s="17"/>
    </row>
    <row r="945">
      <c r="K945" s="17"/>
    </row>
    <row r="946">
      <c r="K946" s="17"/>
    </row>
    <row r="947">
      <c r="K947" s="17"/>
    </row>
    <row r="948">
      <c r="K948" s="17"/>
    </row>
    <row r="949">
      <c r="K949" s="17"/>
    </row>
    <row r="950">
      <c r="K950" s="17"/>
    </row>
    <row r="951">
      <c r="K951" s="17"/>
    </row>
    <row r="952">
      <c r="K952" s="17"/>
    </row>
    <row r="953">
      <c r="K953" s="17"/>
    </row>
    <row r="954">
      <c r="K954" s="17"/>
    </row>
    <row r="955">
      <c r="K955" s="17"/>
    </row>
    <row r="956">
      <c r="K956" s="17"/>
    </row>
    <row r="957">
      <c r="K957" s="17"/>
    </row>
    <row r="958">
      <c r="K958" s="17"/>
    </row>
    <row r="959">
      <c r="K959" s="17"/>
    </row>
    <row r="960">
      <c r="K960" s="17"/>
    </row>
    <row r="961">
      <c r="K961" s="17"/>
    </row>
    <row r="962">
      <c r="K962" s="17"/>
    </row>
    <row r="963">
      <c r="K963" s="17"/>
    </row>
    <row r="964">
      <c r="K964" s="17"/>
    </row>
    <row r="965">
      <c r="K965" s="17"/>
    </row>
    <row r="966">
      <c r="K966" s="17"/>
    </row>
    <row r="967">
      <c r="K967" s="17"/>
    </row>
    <row r="968">
      <c r="K968" s="17"/>
    </row>
    <row r="969">
      <c r="K969" s="17"/>
    </row>
    <row r="970">
      <c r="K970" s="17"/>
    </row>
    <row r="971">
      <c r="K971" s="17"/>
    </row>
    <row r="972">
      <c r="K972" s="17"/>
    </row>
    <row r="973">
      <c r="K973" s="17"/>
    </row>
    <row r="974">
      <c r="K974" s="17"/>
    </row>
    <row r="975">
      <c r="K975" s="17"/>
    </row>
    <row r="976">
      <c r="K976" s="17"/>
    </row>
    <row r="977">
      <c r="K977" s="17"/>
    </row>
    <row r="978">
      <c r="K978" s="17"/>
    </row>
    <row r="979">
      <c r="K979" s="17"/>
    </row>
    <row r="980">
      <c r="K980" s="17"/>
    </row>
    <row r="981">
      <c r="K981" s="17"/>
    </row>
    <row r="982">
      <c r="K982" s="17"/>
    </row>
    <row r="983">
      <c r="K983" s="17"/>
    </row>
    <row r="984">
      <c r="K984" s="17"/>
    </row>
    <row r="985">
      <c r="K985" s="17"/>
    </row>
    <row r="986">
      <c r="K986" s="17"/>
    </row>
    <row r="987">
      <c r="K987" s="17"/>
    </row>
    <row r="988">
      <c r="K988" s="17"/>
    </row>
    <row r="989">
      <c r="K989" s="17"/>
    </row>
    <row r="990">
      <c r="K990" s="17"/>
    </row>
    <row r="991">
      <c r="K991" s="17"/>
    </row>
    <row r="992">
      <c r="K992" s="17"/>
    </row>
    <row r="993">
      <c r="K993" s="17"/>
    </row>
    <row r="994">
      <c r="K994" s="17"/>
    </row>
    <row r="995">
      <c r="K995" s="17"/>
    </row>
    <row r="996">
      <c r="K996" s="17"/>
    </row>
    <row r="997">
      <c r="K997" s="17"/>
    </row>
    <row r="998">
      <c r="K998" s="17"/>
    </row>
    <row r="999">
      <c r="K999" s="17"/>
    </row>
    <row r="1000">
      <c r="K1000" s="17"/>
    </row>
    <row r="1001">
      <c r="K1001" s="17"/>
    </row>
    <row r="1002">
      <c r="K1002" s="17"/>
    </row>
    <row r="1003">
      <c r="K1003" s="17"/>
    </row>
  </sheetData>
  <autoFilter ref="$A$1:$AC$1003"/>
  <hyperlinks>
    <hyperlink r:id="rId4" ref="J19"/>
    <hyperlink r:id="rId5" ref="F23"/>
    <hyperlink r:id="rId6" ref="J23"/>
    <hyperlink r:id="rId7" ref="J24"/>
  </hyperlinks>
  <drawing r:id="rId8"/>
  <legacyDrawing r:id="rId9"/>
</worksheet>
</file>